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fky\App-Progress-CMI\"/>
    </mc:Choice>
  </mc:AlternateContent>
  <xr:revisionPtr revIDLastSave="0" documentId="13_ncr:1_{6DDEEBA9-47FE-4B71-84BA-BFAE732C5440}" xr6:coauthVersionLast="45" xr6:coauthVersionMax="45" xr10:uidLastSave="{00000000-0000-0000-0000-000000000000}"/>
  <bookViews>
    <workbookView xWindow="-120" yWindow="-120" windowWidth="29040" windowHeight="16440" tabRatio="833" xr2:uid="{00000000-000D-0000-FFFF-FFFF00000000}"/>
  </bookViews>
  <sheets>
    <sheet name="Reloc" sheetId="1" r:id="rId1"/>
    <sheet name="Account" sheetId="2" r:id="rId2"/>
    <sheet name="List Material Inbound" sheetId="3" r:id="rId3"/>
    <sheet name="LOS Survey" sheetId="4" r:id="rId4"/>
    <sheet name="List team" sheetId="5" r:id="rId5"/>
    <sheet name="Email Permit" sheetId="6" r:id="rId6"/>
    <sheet name="SPH" sheetId="7" r:id="rId7"/>
    <sheet name="oret2" sheetId="8" r:id="rId8"/>
    <sheet name="Update Boram" sheetId="9" r:id="rId9"/>
    <sheet name="CMI-RLC-Nasional" sheetId="10" r:id="rId10"/>
  </sheets>
  <definedNames>
    <definedName name="_xlnm._FilterDatabase" localSheetId="9" hidden="1">'CMI-RLC-Nasional'!$A$5:$CC$366</definedName>
    <definedName name="_xlnm._FilterDatabase" localSheetId="5" hidden="1">'Email Permit'!$A$1:$G$78</definedName>
    <definedName name="_xlnm._FilterDatabase" localSheetId="4" hidden="1">'List team'!$A$1:$I$1</definedName>
    <definedName name="_xlnm._FilterDatabase" localSheetId="6" hidden="1">SPH!$B$3:$P$157</definedName>
    <definedName name="_xlnm._FilterDatabase" localSheetId="8" hidden="1">'Update Boram'!$A$3:$N$126</definedName>
    <definedName name="Category">#REF!</definedName>
    <definedName name="_xlnm.Print_Area" localSheetId="2">'List Material Inbound'!$B$4:$J$151</definedName>
    <definedName name="_xlnm.Print_Area" localSheetId="3">'LOS Survey'!$C$1:$P$11</definedName>
    <definedName name="_xlnm.Print_Titles" localSheetId="7">oret2!$3:$3</definedName>
    <definedName name="Trans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V366" i="10" l="1"/>
  <c r="BS366" i="10"/>
  <c r="BM366" i="10"/>
  <c r="BL366" i="10"/>
  <c r="BD366" i="10"/>
  <c r="AW366" i="10"/>
  <c r="AB366" i="10"/>
  <c r="E366" i="10"/>
  <c r="BV365" i="10"/>
  <c r="BS365" i="10"/>
  <c r="BM365" i="10"/>
  <c r="BL365" i="10"/>
  <c r="BD365" i="10"/>
  <c r="AW365" i="10"/>
  <c r="AB365" i="10"/>
  <c r="E365" i="10"/>
  <c r="BV364" i="10"/>
  <c r="BS364" i="10"/>
  <c r="BM364" i="10"/>
  <c r="BL364" i="10"/>
  <c r="BD364" i="10"/>
  <c r="AW364" i="10"/>
  <c r="AB364" i="10"/>
  <c r="E364" i="10"/>
  <c r="BV363" i="10"/>
  <c r="BS363" i="10"/>
  <c r="BM363" i="10"/>
  <c r="BL363" i="10"/>
  <c r="BD363" i="10"/>
  <c r="AW363" i="10"/>
  <c r="AB363" i="10"/>
  <c r="E363" i="10"/>
  <c r="BV362" i="10"/>
  <c r="BS362" i="10"/>
  <c r="BM362" i="10"/>
  <c r="BL362" i="10"/>
  <c r="BD362" i="10"/>
  <c r="AW362" i="10"/>
  <c r="AB362" i="10"/>
  <c r="E362" i="10"/>
  <c r="BM361" i="10"/>
  <c r="BL361" i="10"/>
  <c r="BD361" i="10"/>
  <c r="AW361" i="10"/>
  <c r="AO361" i="10"/>
  <c r="BV361" i="10" s="1"/>
  <c r="AB361" i="10"/>
  <c r="E361" i="10"/>
  <c r="BM360" i="10"/>
  <c r="BL360" i="10"/>
  <c r="BD360" i="10"/>
  <c r="AW360" i="10"/>
  <c r="AO360" i="10"/>
  <c r="AB360" i="10"/>
  <c r="E360" i="10"/>
  <c r="BM359" i="10"/>
  <c r="BL359" i="10"/>
  <c r="BD359" i="10"/>
  <c r="AW359" i="10"/>
  <c r="AO359" i="10"/>
  <c r="BV359" i="10" s="1"/>
  <c r="AB359" i="10"/>
  <c r="E359" i="10"/>
  <c r="BM358" i="10"/>
  <c r="BL358" i="10"/>
  <c r="BD358" i="10"/>
  <c r="AW358" i="10"/>
  <c r="AO358" i="10"/>
  <c r="BV358" i="10" s="1"/>
  <c r="AB358" i="10"/>
  <c r="E358" i="10"/>
  <c r="BS357" i="10"/>
  <c r="BM357" i="10"/>
  <c r="BL357" i="10"/>
  <c r="BD357" i="10"/>
  <c r="AW357" i="10"/>
  <c r="AO357" i="10"/>
  <c r="BV357" i="10" s="1"/>
  <c r="AB357" i="10"/>
  <c r="E357" i="10"/>
  <c r="BV356" i="10"/>
  <c r="BM356" i="10"/>
  <c r="BL356" i="10"/>
  <c r="BD356" i="10"/>
  <c r="AW356" i="10"/>
  <c r="AO356" i="10"/>
  <c r="BS356" i="10" s="1"/>
  <c r="AB356" i="10"/>
  <c r="E356" i="10"/>
  <c r="BS355" i="10"/>
  <c r="BM355" i="10"/>
  <c r="BL355" i="10"/>
  <c r="BD355" i="10"/>
  <c r="AW355" i="10"/>
  <c r="AO355" i="10"/>
  <c r="BV355" i="10" s="1"/>
  <c r="AB355" i="10"/>
  <c r="E355" i="10"/>
  <c r="BV354" i="10"/>
  <c r="BM354" i="10"/>
  <c r="BL354" i="10"/>
  <c r="BD354" i="10"/>
  <c r="AW354" i="10"/>
  <c r="AO354" i="10"/>
  <c r="BS354" i="10" s="1"/>
  <c r="AB354" i="10"/>
  <c r="E354" i="10"/>
  <c r="BV353" i="10"/>
  <c r="BS353" i="10"/>
  <c r="BM353" i="10"/>
  <c r="BL353" i="10"/>
  <c r="BD353" i="10"/>
  <c r="AW353" i="10"/>
  <c r="AO353" i="10"/>
  <c r="AB353" i="10"/>
  <c r="E353" i="10"/>
  <c r="BM352" i="10"/>
  <c r="BL352" i="10"/>
  <c r="BD352" i="10"/>
  <c r="AW352" i="10"/>
  <c r="AO352" i="10"/>
  <c r="AB352" i="10"/>
  <c r="E352" i="10"/>
  <c r="BV351" i="10"/>
  <c r="BS351" i="10"/>
  <c r="BM351" i="10"/>
  <c r="BL351" i="10"/>
  <c r="BD351" i="10"/>
  <c r="AW351" i="10"/>
  <c r="AO351" i="10"/>
  <c r="AB351" i="10"/>
  <c r="E351" i="10"/>
  <c r="BV350" i="10"/>
  <c r="BS350" i="10"/>
  <c r="BM350" i="10"/>
  <c r="BL350" i="10"/>
  <c r="BD350" i="10"/>
  <c r="AW350" i="10"/>
  <c r="AO350" i="10"/>
  <c r="AB350" i="10"/>
  <c r="E350" i="10"/>
  <c r="BS349" i="10"/>
  <c r="BM349" i="10"/>
  <c r="BL349" i="10"/>
  <c r="BD349" i="10"/>
  <c r="AW349" i="10"/>
  <c r="AO349" i="10"/>
  <c r="BV349" i="10" s="1"/>
  <c r="AB349" i="10"/>
  <c r="E349" i="10"/>
  <c r="BV348" i="10"/>
  <c r="BM348" i="10"/>
  <c r="BL348" i="10"/>
  <c r="BD348" i="10"/>
  <c r="AW348" i="10"/>
  <c r="AO348" i="10"/>
  <c r="BS348" i="10" s="1"/>
  <c r="AB348" i="10"/>
  <c r="E348" i="10"/>
  <c r="BS347" i="10"/>
  <c r="BM347" i="10"/>
  <c r="BL347" i="10"/>
  <c r="BD347" i="10"/>
  <c r="AW347" i="10"/>
  <c r="AO347" i="10"/>
  <c r="BV347" i="10" s="1"/>
  <c r="AB347" i="10"/>
  <c r="E347" i="10"/>
  <c r="BV346" i="10"/>
  <c r="BM346" i="10"/>
  <c r="BL346" i="10"/>
  <c r="BD346" i="10"/>
  <c r="AW346" i="10"/>
  <c r="AO346" i="10"/>
  <c r="BS346" i="10" s="1"/>
  <c r="AB346" i="10"/>
  <c r="E346" i="10"/>
  <c r="BV345" i="10"/>
  <c r="BS345" i="10"/>
  <c r="BM345" i="10"/>
  <c r="BL345" i="10"/>
  <c r="BD345" i="10"/>
  <c r="AW345" i="10"/>
  <c r="AO345" i="10"/>
  <c r="AB345" i="10"/>
  <c r="E345" i="10"/>
  <c r="AO344" i="10"/>
  <c r="E344" i="10"/>
  <c r="BM343" i="10"/>
  <c r="BL343" i="10"/>
  <c r="BD343" i="10"/>
  <c r="AW343" i="10"/>
  <c r="AO343" i="10"/>
  <c r="BV343" i="10" s="1"/>
  <c r="AB343" i="10"/>
  <c r="E343" i="10"/>
  <c r="BS342" i="10"/>
  <c r="BM342" i="10"/>
  <c r="BL342" i="10"/>
  <c r="BD342" i="10"/>
  <c r="AW342" i="10"/>
  <c r="AO342" i="10"/>
  <c r="BV342" i="10" s="1"/>
  <c r="AB342" i="10"/>
  <c r="E342" i="10"/>
  <c r="BV341" i="10"/>
  <c r="BM341" i="10"/>
  <c r="BL341" i="10"/>
  <c r="BD341" i="10"/>
  <c r="AW341" i="10"/>
  <c r="AO341" i="10"/>
  <c r="BS341" i="10" s="1"/>
  <c r="AB341" i="10"/>
  <c r="E341" i="10"/>
  <c r="BS340" i="10"/>
  <c r="BM340" i="10"/>
  <c r="BL340" i="10"/>
  <c r="BD340" i="10"/>
  <c r="AW340" i="10"/>
  <c r="AO340" i="10"/>
  <c r="BV340" i="10" s="1"/>
  <c r="AB340" i="10"/>
  <c r="E340" i="10"/>
  <c r="BV339" i="10"/>
  <c r="BM339" i="10"/>
  <c r="BL339" i="10"/>
  <c r="BD339" i="10"/>
  <c r="AW339" i="10"/>
  <c r="AO339" i="10"/>
  <c r="BS339" i="10" s="1"/>
  <c r="AB339" i="10"/>
  <c r="E339" i="10"/>
  <c r="BV338" i="10"/>
  <c r="BS338" i="10"/>
  <c r="BM338" i="10"/>
  <c r="BL338" i="10"/>
  <c r="BD338" i="10"/>
  <c r="AW338" i="10"/>
  <c r="AO338" i="10"/>
  <c r="AB338" i="10"/>
  <c r="E338" i="10"/>
  <c r="BM337" i="10"/>
  <c r="BL337" i="10"/>
  <c r="BD337" i="10"/>
  <c r="AW337" i="10"/>
  <c r="AO337" i="10"/>
  <c r="AB337" i="10"/>
  <c r="E337" i="10"/>
  <c r="BV336" i="10"/>
  <c r="BS336" i="10"/>
  <c r="BM336" i="10"/>
  <c r="BL336" i="10"/>
  <c r="BD336" i="10"/>
  <c r="AW336" i="10"/>
  <c r="AO336" i="10"/>
  <c r="AB336" i="10"/>
  <c r="E336" i="10"/>
  <c r="BM335" i="10"/>
  <c r="BL335" i="10"/>
  <c r="BD335" i="10"/>
  <c r="AW335" i="10"/>
  <c r="AO335" i="10"/>
  <c r="BV335" i="10" s="1"/>
  <c r="AB335" i="10"/>
  <c r="E335" i="10"/>
  <c r="BS334" i="10"/>
  <c r="BM334" i="10"/>
  <c r="BL334" i="10"/>
  <c r="BD334" i="10"/>
  <c r="AW334" i="10"/>
  <c r="AO334" i="10"/>
  <c r="BV334" i="10" s="1"/>
  <c r="AB334" i="10"/>
  <c r="E334" i="10"/>
  <c r="BV333" i="10"/>
  <c r="BM333" i="10"/>
  <c r="BL333" i="10"/>
  <c r="BD333" i="10"/>
  <c r="AW333" i="10"/>
  <c r="AO333" i="10"/>
  <c r="BS333" i="10" s="1"/>
  <c r="AB333" i="10"/>
  <c r="E333" i="10"/>
  <c r="BS332" i="10"/>
  <c r="BM332" i="10"/>
  <c r="BL332" i="10"/>
  <c r="BD332" i="10"/>
  <c r="AW332" i="10"/>
  <c r="AO332" i="10"/>
  <c r="BV332" i="10" s="1"/>
  <c r="AB332" i="10"/>
  <c r="E332" i="10"/>
  <c r="BV331" i="10"/>
  <c r="BM331" i="10"/>
  <c r="BL331" i="10"/>
  <c r="BD331" i="10"/>
  <c r="AW331" i="10"/>
  <c r="AO331" i="10"/>
  <c r="BS331" i="10" s="1"/>
  <c r="AB331" i="10"/>
  <c r="E331" i="10"/>
  <c r="BV330" i="10"/>
  <c r="BS330" i="10"/>
  <c r="BM330" i="10"/>
  <c r="BL330" i="10"/>
  <c r="BD330" i="10"/>
  <c r="AW330" i="10"/>
  <c r="AO330" i="10"/>
  <c r="AB330" i="10"/>
  <c r="E330" i="10"/>
  <c r="BM329" i="10"/>
  <c r="BL329" i="10"/>
  <c r="BD329" i="10"/>
  <c r="AW329" i="10"/>
  <c r="AO329" i="10"/>
  <c r="AB329" i="10"/>
  <c r="E329" i="10"/>
  <c r="BV328" i="10"/>
  <c r="BS328" i="10"/>
  <c r="BM328" i="10"/>
  <c r="BL328" i="10"/>
  <c r="BD328" i="10"/>
  <c r="AW328" i="10"/>
  <c r="AO328" i="10"/>
  <c r="AB328" i="10"/>
  <c r="E328" i="10"/>
  <c r="BM327" i="10"/>
  <c r="BL327" i="10"/>
  <c r="BD327" i="10"/>
  <c r="AW327" i="10"/>
  <c r="AO327" i="10"/>
  <c r="BV327" i="10" s="1"/>
  <c r="AB327" i="10"/>
  <c r="E327" i="10"/>
  <c r="BS326" i="10"/>
  <c r="BM326" i="10"/>
  <c r="BL326" i="10"/>
  <c r="BD326" i="10"/>
  <c r="AW326" i="10"/>
  <c r="AO326" i="10"/>
  <c r="BV326" i="10" s="1"/>
  <c r="AB326" i="10"/>
  <c r="E326" i="10"/>
  <c r="BV325" i="10"/>
  <c r="BM325" i="10"/>
  <c r="BL325" i="10"/>
  <c r="BD325" i="10"/>
  <c r="AW325" i="10"/>
  <c r="AO325" i="10"/>
  <c r="BS325" i="10" s="1"/>
  <c r="AB325" i="10"/>
  <c r="E325" i="10"/>
  <c r="BS324" i="10"/>
  <c r="BM324" i="10"/>
  <c r="BL324" i="10"/>
  <c r="BD324" i="10"/>
  <c r="AW324" i="10"/>
  <c r="AO324" i="10"/>
  <c r="BV324" i="10" s="1"/>
  <c r="AB324" i="10"/>
  <c r="E324" i="10"/>
  <c r="BV323" i="10"/>
  <c r="BM323" i="10"/>
  <c r="BL323" i="10"/>
  <c r="BD323" i="10"/>
  <c r="AW323" i="10"/>
  <c r="AO323" i="10"/>
  <c r="BS323" i="10" s="1"/>
  <c r="AB323" i="10"/>
  <c r="E323" i="10"/>
  <c r="BV322" i="10"/>
  <c r="BS322" i="10"/>
  <c r="BM322" i="10"/>
  <c r="BL322" i="10"/>
  <c r="BD322" i="10"/>
  <c r="AW322" i="10"/>
  <c r="AO322" i="10"/>
  <c r="AB322" i="10"/>
  <c r="E322" i="10"/>
  <c r="BM321" i="10"/>
  <c r="BL321" i="10"/>
  <c r="BD321" i="10"/>
  <c r="AW321" i="10"/>
  <c r="AO321" i="10"/>
  <c r="AB321" i="10"/>
  <c r="E321" i="10"/>
  <c r="BV320" i="10"/>
  <c r="BS320" i="10"/>
  <c r="BM320" i="10"/>
  <c r="BL320" i="10"/>
  <c r="BD320" i="10"/>
  <c r="AW320" i="10"/>
  <c r="AO320" i="10"/>
  <c r="AB320" i="10"/>
  <c r="E320" i="10"/>
  <c r="BM319" i="10"/>
  <c r="BL319" i="10"/>
  <c r="BD319" i="10"/>
  <c r="AW319" i="10"/>
  <c r="AO319" i="10"/>
  <c r="BV319" i="10" s="1"/>
  <c r="AB319" i="10"/>
  <c r="E319" i="10"/>
  <c r="BS318" i="10"/>
  <c r="BM318" i="10"/>
  <c r="BL318" i="10"/>
  <c r="BD318" i="10"/>
  <c r="AW318" i="10"/>
  <c r="AO318" i="10"/>
  <c r="BV318" i="10" s="1"/>
  <c r="AB318" i="10"/>
  <c r="E318" i="10"/>
  <c r="BV317" i="10"/>
  <c r="BM317" i="10"/>
  <c r="BL317" i="10"/>
  <c r="BD317" i="10"/>
  <c r="AW317" i="10"/>
  <c r="AO317" i="10"/>
  <c r="BS317" i="10" s="1"/>
  <c r="AB317" i="10"/>
  <c r="E317" i="10"/>
  <c r="BS316" i="10"/>
  <c r="BM316" i="10"/>
  <c r="BL316" i="10"/>
  <c r="BD316" i="10"/>
  <c r="AW316" i="10"/>
  <c r="AO316" i="10"/>
  <c r="BV316" i="10" s="1"/>
  <c r="AB316" i="10"/>
  <c r="E316" i="10"/>
  <c r="BV315" i="10"/>
  <c r="BM315" i="10"/>
  <c r="BL315" i="10"/>
  <c r="BD315" i="10"/>
  <c r="AW315" i="10"/>
  <c r="AO315" i="10"/>
  <c r="BS315" i="10" s="1"/>
  <c r="AB315" i="10"/>
  <c r="E315" i="10"/>
  <c r="BV314" i="10"/>
  <c r="BS314" i="10"/>
  <c r="BM314" i="10"/>
  <c r="BL314" i="10"/>
  <c r="BD314" i="10"/>
  <c r="AW314" i="10"/>
  <c r="AO314" i="10"/>
  <c r="AB314" i="10"/>
  <c r="E314" i="10"/>
  <c r="BM313" i="10"/>
  <c r="BL313" i="10"/>
  <c r="BD313" i="10"/>
  <c r="AW313" i="10"/>
  <c r="AO313" i="10"/>
  <c r="AB313" i="10"/>
  <c r="E313" i="10"/>
  <c r="BV312" i="10"/>
  <c r="BS312" i="10"/>
  <c r="BM312" i="10"/>
  <c r="BL312" i="10"/>
  <c r="BD312" i="10"/>
  <c r="AW312" i="10"/>
  <c r="AO312" i="10"/>
  <c r="AB312" i="10"/>
  <c r="E312" i="10"/>
  <c r="BM311" i="10"/>
  <c r="BL311" i="10"/>
  <c r="BD311" i="10"/>
  <c r="AW311" i="10"/>
  <c r="AO311" i="10"/>
  <c r="BV311" i="10" s="1"/>
  <c r="AB311" i="10"/>
  <c r="E311" i="10"/>
  <c r="BS310" i="10"/>
  <c r="BM310" i="10"/>
  <c r="BL310" i="10"/>
  <c r="BD310" i="10"/>
  <c r="AW310" i="10"/>
  <c r="AO310" i="10"/>
  <c r="BV310" i="10" s="1"/>
  <c r="AB310" i="10"/>
  <c r="E310" i="10"/>
  <c r="BV309" i="10"/>
  <c r="BM309" i="10"/>
  <c r="BL309" i="10"/>
  <c r="BD309" i="10"/>
  <c r="AW309" i="10"/>
  <c r="AO309" i="10"/>
  <c r="BS309" i="10" s="1"/>
  <c r="AB309" i="10"/>
  <c r="E309" i="10"/>
  <c r="BS308" i="10"/>
  <c r="BM308" i="10"/>
  <c r="BL308" i="10"/>
  <c r="BD308" i="10"/>
  <c r="AW308" i="10"/>
  <c r="AO308" i="10"/>
  <c r="BV308" i="10" s="1"/>
  <c r="AB308" i="10"/>
  <c r="E308" i="10"/>
  <c r="BV307" i="10"/>
  <c r="BM307" i="10"/>
  <c r="BL307" i="10"/>
  <c r="BD307" i="10"/>
  <c r="AW307" i="10"/>
  <c r="AO307" i="10"/>
  <c r="BS307" i="10" s="1"/>
  <c r="AB307" i="10"/>
  <c r="E307" i="10"/>
  <c r="BV306" i="10"/>
  <c r="BS306" i="10"/>
  <c r="BM306" i="10"/>
  <c r="BL306" i="10"/>
  <c r="BD306" i="10"/>
  <c r="AW306" i="10"/>
  <c r="AO306" i="10"/>
  <c r="AB306" i="10"/>
  <c r="E306" i="10"/>
  <c r="BM305" i="10"/>
  <c r="BL305" i="10"/>
  <c r="BD305" i="10"/>
  <c r="AW305" i="10"/>
  <c r="AO305" i="10"/>
  <c r="AB305" i="10"/>
  <c r="E305" i="10"/>
  <c r="BV304" i="10"/>
  <c r="BS304" i="10"/>
  <c r="BM304" i="10"/>
  <c r="BL304" i="10"/>
  <c r="BD304" i="10"/>
  <c r="AW304" i="10"/>
  <c r="AO304" i="10"/>
  <c r="AB304" i="10"/>
  <c r="E304" i="10"/>
  <c r="BM303" i="10"/>
  <c r="BL303" i="10"/>
  <c r="BD303" i="10"/>
  <c r="AW303" i="10"/>
  <c r="AO303" i="10"/>
  <c r="BV303" i="10" s="1"/>
  <c r="AB303" i="10"/>
  <c r="E303" i="10"/>
  <c r="BS302" i="10"/>
  <c r="BM302" i="10"/>
  <c r="BL302" i="10"/>
  <c r="BD302" i="10"/>
  <c r="AW302" i="10"/>
  <c r="AO302" i="10"/>
  <c r="BV302" i="10" s="1"/>
  <c r="AB302" i="10"/>
  <c r="E302" i="10"/>
  <c r="BV301" i="10"/>
  <c r="BM301" i="10"/>
  <c r="BL301" i="10"/>
  <c r="BD301" i="10"/>
  <c r="AW301" i="10"/>
  <c r="AO301" i="10"/>
  <c r="BS301" i="10" s="1"/>
  <c r="AB301" i="10"/>
  <c r="E301" i="10"/>
  <c r="BS300" i="10"/>
  <c r="BM300" i="10"/>
  <c r="BL300" i="10"/>
  <c r="BD300" i="10"/>
  <c r="AW300" i="10"/>
  <c r="AO300" i="10"/>
  <c r="BV300" i="10" s="1"/>
  <c r="AB300" i="10"/>
  <c r="E300" i="10"/>
  <c r="BV299" i="10"/>
  <c r="BM299" i="10"/>
  <c r="BL299" i="10"/>
  <c r="BD299" i="10"/>
  <c r="AW299" i="10"/>
  <c r="AO299" i="10"/>
  <c r="BS299" i="10" s="1"/>
  <c r="AB299" i="10"/>
  <c r="E299" i="10"/>
  <c r="BV298" i="10"/>
  <c r="BS298" i="10"/>
  <c r="BM298" i="10"/>
  <c r="BL298" i="10"/>
  <c r="BD298" i="10"/>
  <c r="AW298" i="10"/>
  <c r="AO298" i="10"/>
  <c r="AB298" i="10"/>
  <c r="E298" i="10"/>
  <c r="BM297" i="10"/>
  <c r="BL297" i="10"/>
  <c r="BD297" i="10"/>
  <c r="AW297" i="10"/>
  <c r="AO297" i="10"/>
  <c r="AB297" i="10"/>
  <c r="E297" i="10"/>
  <c r="BV296" i="10"/>
  <c r="BS296" i="10"/>
  <c r="BM296" i="10"/>
  <c r="BL296" i="10"/>
  <c r="BD296" i="10"/>
  <c r="AW296" i="10"/>
  <c r="AO296" i="10"/>
  <c r="AB296" i="10"/>
  <c r="E296" i="10"/>
  <c r="BM295" i="10"/>
  <c r="BL295" i="10"/>
  <c r="BD295" i="10"/>
  <c r="AW295" i="10"/>
  <c r="AO295" i="10"/>
  <c r="BV295" i="10" s="1"/>
  <c r="AB295" i="10"/>
  <c r="E295" i="10"/>
  <c r="BS294" i="10"/>
  <c r="BM294" i="10"/>
  <c r="BL294" i="10"/>
  <c r="BD294" i="10"/>
  <c r="AW294" i="10"/>
  <c r="AO294" i="10"/>
  <c r="BV294" i="10" s="1"/>
  <c r="AB294" i="10"/>
  <c r="E294" i="10"/>
  <c r="BV293" i="10"/>
  <c r="BM293" i="10"/>
  <c r="BL293" i="10"/>
  <c r="BD293" i="10"/>
  <c r="AW293" i="10"/>
  <c r="AO293" i="10"/>
  <c r="BS293" i="10" s="1"/>
  <c r="AB293" i="10"/>
  <c r="E293" i="10"/>
  <c r="BS292" i="10"/>
  <c r="BM292" i="10"/>
  <c r="BL292" i="10"/>
  <c r="BD292" i="10"/>
  <c r="AW292" i="10"/>
  <c r="AO292" i="10"/>
  <c r="BV292" i="10" s="1"/>
  <c r="AB292" i="10"/>
  <c r="E292" i="10"/>
  <c r="BV291" i="10"/>
  <c r="BM291" i="10"/>
  <c r="BL291" i="10"/>
  <c r="BD291" i="10"/>
  <c r="AW291" i="10"/>
  <c r="AO291" i="10"/>
  <c r="BS291" i="10" s="1"/>
  <c r="AB291" i="10"/>
  <c r="E291" i="10"/>
  <c r="BV290" i="10"/>
  <c r="BS290" i="10"/>
  <c r="BM290" i="10"/>
  <c r="BL290" i="10"/>
  <c r="BD290" i="10"/>
  <c r="AW290" i="10"/>
  <c r="AO290" i="10"/>
  <c r="AB290" i="10"/>
  <c r="E290" i="10"/>
  <c r="BM289" i="10"/>
  <c r="BL289" i="10"/>
  <c r="BD289" i="10"/>
  <c r="AW289" i="10"/>
  <c r="AO289" i="10"/>
  <c r="AB289" i="10"/>
  <c r="E289" i="10"/>
  <c r="BV288" i="10"/>
  <c r="BS288" i="10"/>
  <c r="BM288" i="10"/>
  <c r="BL288" i="10"/>
  <c r="BD288" i="10"/>
  <c r="AW288" i="10"/>
  <c r="AO288" i="10"/>
  <c r="AB288" i="10"/>
  <c r="E288" i="10"/>
  <c r="BM287" i="10"/>
  <c r="BL287" i="10"/>
  <c r="BD287" i="10"/>
  <c r="AW287" i="10"/>
  <c r="AO287" i="10"/>
  <c r="BV287" i="10" s="1"/>
  <c r="AB287" i="10"/>
  <c r="E287" i="10"/>
  <c r="BS286" i="10"/>
  <c r="BM286" i="10"/>
  <c r="BL286" i="10"/>
  <c r="BD286" i="10"/>
  <c r="AW286" i="10"/>
  <c r="AO286" i="10"/>
  <c r="BV286" i="10" s="1"/>
  <c r="AB286" i="10"/>
  <c r="E286" i="10"/>
  <c r="BV285" i="10"/>
  <c r="BM285" i="10"/>
  <c r="BL285" i="10"/>
  <c r="BD285" i="10"/>
  <c r="AW285" i="10"/>
  <c r="AO285" i="10"/>
  <c r="BS285" i="10" s="1"/>
  <c r="AB285" i="10"/>
  <c r="E285" i="10"/>
  <c r="BS284" i="10"/>
  <c r="BM284" i="10"/>
  <c r="BL284" i="10"/>
  <c r="BD284" i="10"/>
  <c r="AW284" i="10"/>
  <c r="AO284" i="10"/>
  <c r="BV284" i="10" s="1"/>
  <c r="AB284" i="10"/>
  <c r="E284" i="10"/>
  <c r="BV283" i="10"/>
  <c r="BM283" i="10"/>
  <c r="BL283" i="10"/>
  <c r="BD283" i="10"/>
  <c r="AW283" i="10"/>
  <c r="AO283" i="10"/>
  <c r="BS283" i="10" s="1"/>
  <c r="AB283" i="10"/>
  <c r="E283" i="10"/>
  <c r="BV282" i="10"/>
  <c r="BS282" i="10"/>
  <c r="BM282" i="10"/>
  <c r="BL282" i="10"/>
  <c r="BD282" i="10"/>
  <c r="AW282" i="10"/>
  <c r="AO282" i="10"/>
  <c r="AB282" i="10"/>
  <c r="E282" i="10"/>
  <c r="BM281" i="10"/>
  <c r="BL281" i="10"/>
  <c r="BD281" i="10"/>
  <c r="AW281" i="10"/>
  <c r="AO281" i="10"/>
  <c r="AB281" i="10"/>
  <c r="E281" i="10"/>
  <c r="BV280" i="10"/>
  <c r="BS280" i="10"/>
  <c r="BM280" i="10"/>
  <c r="BL280" i="10"/>
  <c r="BD280" i="10"/>
  <c r="AW280" i="10"/>
  <c r="AO280" i="10"/>
  <c r="AB280" i="10"/>
  <c r="E280" i="10"/>
  <c r="BM279" i="10"/>
  <c r="BL279" i="10"/>
  <c r="BD279" i="10"/>
  <c r="AW279" i="10"/>
  <c r="AO279" i="10"/>
  <c r="BV279" i="10" s="1"/>
  <c r="AB279" i="10"/>
  <c r="E279" i="10"/>
  <c r="BS278" i="10"/>
  <c r="BM278" i="10"/>
  <c r="BL278" i="10"/>
  <c r="BD278" i="10"/>
  <c r="AW278" i="10"/>
  <c r="AO278" i="10"/>
  <c r="BV278" i="10" s="1"/>
  <c r="AB278" i="10"/>
  <c r="E278" i="10"/>
  <c r="BV277" i="10"/>
  <c r="BM277" i="10"/>
  <c r="BL277" i="10"/>
  <c r="BD277" i="10"/>
  <c r="AW277" i="10"/>
  <c r="AO277" i="10"/>
  <c r="BS277" i="10" s="1"/>
  <c r="AB277" i="10"/>
  <c r="E277" i="10"/>
  <c r="BS276" i="10"/>
  <c r="BM276" i="10"/>
  <c r="BL276" i="10"/>
  <c r="BD276" i="10"/>
  <c r="AW276" i="10"/>
  <c r="AO276" i="10"/>
  <c r="BV276" i="10" s="1"/>
  <c r="AB276" i="10"/>
  <c r="E276" i="10"/>
  <c r="BV275" i="10"/>
  <c r="BM275" i="10"/>
  <c r="BL275" i="10"/>
  <c r="BD275" i="10"/>
  <c r="AW275" i="10"/>
  <c r="AO275" i="10"/>
  <c r="BS275" i="10" s="1"/>
  <c r="AB275" i="10"/>
  <c r="E275" i="10"/>
  <c r="BV274" i="10"/>
  <c r="BS274" i="10"/>
  <c r="BM274" i="10"/>
  <c r="BL274" i="10"/>
  <c r="BD274" i="10"/>
  <c r="AW274" i="10"/>
  <c r="AO274" i="10"/>
  <c r="AB274" i="10"/>
  <c r="E274" i="10"/>
  <c r="BM273" i="10"/>
  <c r="BL273" i="10"/>
  <c r="BD273" i="10"/>
  <c r="AW273" i="10"/>
  <c r="AO273" i="10"/>
  <c r="AB273" i="10"/>
  <c r="E273" i="10"/>
  <c r="BV272" i="10"/>
  <c r="BS272" i="10"/>
  <c r="BM272" i="10"/>
  <c r="BL272" i="10"/>
  <c r="BD272" i="10"/>
  <c r="AW272" i="10"/>
  <c r="AO272" i="10"/>
  <c r="AB272" i="10"/>
  <c r="E272" i="10"/>
  <c r="BM271" i="10"/>
  <c r="BL271" i="10"/>
  <c r="BD271" i="10"/>
  <c r="AW271" i="10"/>
  <c r="AO271" i="10"/>
  <c r="BV271" i="10" s="1"/>
  <c r="AB271" i="10"/>
  <c r="E271" i="10"/>
  <c r="BS270" i="10"/>
  <c r="BM270" i="10"/>
  <c r="BL270" i="10"/>
  <c r="BD270" i="10"/>
  <c r="AW270" i="10"/>
  <c r="AO270" i="10"/>
  <c r="BV270" i="10" s="1"/>
  <c r="AB270" i="10"/>
  <c r="E270" i="10"/>
  <c r="BV269" i="10"/>
  <c r="BM269" i="10"/>
  <c r="BL269" i="10"/>
  <c r="BD269" i="10"/>
  <c r="AW269" i="10"/>
  <c r="AO269" i="10"/>
  <c r="BS269" i="10" s="1"/>
  <c r="AB269" i="10"/>
  <c r="E269" i="10"/>
  <c r="BS268" i="10"/>
  <c r="BM268" i="10"/>
  <c r="BL268" i="10"/>
  <c r="BD268" i="10"/>
  <c r="AW268" i="10"/>
  <c r="AO268" i="10"/>
  <c r="BV268" i="10" s="1"/>
  <c r="AB268" i="10"/>
  <c r="E268" i="10"/>
  <c r="BV267" i="10"/>
  <c r="BM267" i="10"/>
  <c r="BL267" i="10"/>
  <c r="BD267" i="10"/>
  <c r="AW267" i="10"/>
  <c r="AO267" i="10"/>
  <c r="BS267" i="10" s="1"/>
  <c r="AB267" i="10"/>
  <c r="E267" i="10"/>
  <c r="BV266" i="10"/>
  <c r="BS266" i="10"/>
  <c r="BM266" i="10"/>
  <c r="BL266" i="10"/>
  <c r="BD266" i="10"/>
  <c r="AW266" i="10"/>
  <c r="AO266" i="10"/>
  <c r="AB266" i="10"/>
  <c r="E266" i="10"/>
  <c r="BM265" i="10"/>
  <c r="BL265" i="10"/>
  <c r="BD265" i="10"/>
  <c r="AW265" i="10"/>
  <c r="AO265" i="10"/>
  <c r="AB265" i="10"/>
  <c r="E265" i="10"/>
  <c r="BV264" i="10"/>
  <c r="BS264" i="10"/>
  <c r="BM264" i="10"/>
  <c r="BL264" i="10"/>
  <c r="BD264" i="10"/>
  <c r="AW264" i="10"/>
  <c r="AO264" i="10"/>
  <c r="AB264" i="10"/>
  <c r="E264" i="10"/>
  <c r="BM263" i="10"/>
  <c r="BL263" i="10"/>
  <c r="BD263" i="10"/>
  <c r="AW263" i="10"/>
  <c r="AO263" i="10"/>
  <c r="BV263" i="10" s="1"/>
  <c r="AB263" i="10"/>
  <c r="E263" i="10"/>
  <c r="BS262" i="10"/>
  <c r="BM262" i="10"/>
  <c r="BL262" i="10"/>
  <c r="BD262" i="10"/>
  <c r="AW262" i="10"/>
  <c r="AO262" i="10"/>
  <c r="BV262" i="10" s="1"/>
  <c r="AB262" i="10"/>
  <c r="E262" i="10"/>
  <c r="BV261" i="10"/>
  <c r="BM261" i="10"/>
  <c r="BL261" i="10"/>
  <c r="BD261" i="10"/>
  <c r="AW261" i="10"/>
  <c r="AO261" i="10"/>
  <c r="BS261" i="10" s="1"/>
  <c r="AB261" i="10"/>
  <c r="E261" i="10"/>
  <c r="BS260" i="10"/>
  <c r="BM260" i="10"/>
  <c r="BL260" i="10"/>
  <c r="BD260" i="10"/>
  <c r="AW260" i="10"/>
  <c r="AO260" i="10"/>
  <c r="BV260" i="10" s="1"/>
  <c r="AB260" i="10"/>
  <c r="E260" i="10"/>
  <c r="BV259" i="10"/>
  <c r="BM259" i="10"/>
  <c r="BL259" i="10"/>
  <c r="BD259" i="10"/>
  <c r="AW259" i="10"/>
  <c r="AO259" i="10"/>
  <c r="BS259" i="10" s="1"/>
  <c r="AB259" i="10"/>
  <c r="E259" i="10"/>
  <c r="BV258" i="10"/>
  <c r="BS258" i="10"/>
  <c r="BM258" i="10"/>
  <c r="BL258" i="10"/>
  <c r="BD258" i="10"/>
  <c r="AW258" i="10"/>
  <c r="AO258" i="10"/>
  <c r="AB258" i="10"/>
  <c r="E258" i="10"/>
  <c r="BM257" i="10"/>
  <c r="BL257" i="10"/>
  <c r="BD257" i="10"/>
  <c r="AW257" i="10"/>
  <c r="AO257" i="10"/>
  <c r="AB257" i="10"/>
  <c r="E257" i="10"/>
  <c r="BV256" i="10"/>
  <c r="BS256" i="10"/>
  <c r="BM256" i="10"/>
  <c r="BL256" i="10"/>
  <c r="BD256" i="10"/>
  <c r="AW256" i="10"/>
  <c r="AO256" i="10"/>
  <c r="AB256" i="10"/>
  <c r="E256" i="10"/>
  <c r="BM255" i="10"/>
  <c r="BL255" i="10"/>
  <c r="BD255" i="10"/>
  <c r="AW255" i="10"/>
  <c r="AO255" i="10"/>
  <c r="BV255" i="10" s="1"/>
  <c r="AB255" i="10"/>
  <c r="E255" i="10"/>
  <c r="BS254" i="10"/>
  <c r="BM254" i="10"/>
  <c r="BL254" i="10"/>
  <c r="BD254" i="10"/>
  <c r="AW254" i="10"/>
  <c r="AO254" i="10"/>
  <c r="BV254" i="10" s="1"/>
  <c r="AB254" i="10"/>
  <c r="E254" i="10"/>
  <c r="BV253" i="10"/>
  <c r="BM253" i="10"/>
  <c r="BL253" i="10"/>
  <c r="BD253" i="10"/>
  <c r="AW253" i="10"/>
  <c r="AO253" i="10"/>
  <c r="BS253" i="10" s="1"/>
  <c r="AB253" i="10"/>
  <c r="E253" i="10"/>
  <c r="BS252" i="10"/>
  <c r="BM252" i="10"/>
  <c r="BL252" i="10"/>
  <c r="BD252" i="10"/>
  <c r="AW252" i="10"/>
  <c r="AO252" i="10"/>
  <c r="BV252" i="10" s="1"/>
  <c r="AB252" i="10"/>
  <c r="E252" i="10"/>
  <c r="BV251" i="10"/>
  <c r="BM251" i="10"/>
  <c r="BL251" i="10"/>
  <c r="BD251" i="10"/>
  <c r="AW251" i="10"/>
  <c r="AO251" i="10"/>
  <c r="BS251" i="10" s="1"/>
  <c r="AB251" i="10"/>
  <c r="E251" i="10"/>
  <c r="BV250" i="10"/>
  <c r="BS250" i="10"/>
  <c r="BM250" i="10"/>
  <c r="BL250" i="10"/>
  <c r="BD250" i="10"/>
  <c r="AW250" i="10"/>
  <c r="AO250" i="10"/>
  <c r="AB250" i="10"/>
  <c r="E250" i="10"/>
  <c r="BM249" i="10"/>
  <c r="BL249" i="10"/>
  <c r="BD249" i="10"/>
  <c r="AW249" i="10"/>
  <c r="AO249" i="10"/>
  <c r="AB249" i="10"/>
  <c r="E249" i="10"/>
  <c r="BV248" i="10"/>
  <c r="BS248" i="10"/>
  <c r="BM248" i="10"/>
  <c r="BL248" i="10"/>
  <c r="BD248" i="10"/>
  <c r="AW248" i="10"/>
  <c r="AO248" i="10"/>
  <c r="AB248" i="10"/>
  <c r="E248" i="10"/>
  <c r="BM247" i="10"/>
  <c r="BL247" i="10"/>
  <c r="BD247" i="10"/>
  <c r="AW247" i="10"/>
  <c r="AO247" i="10"/>
  <c r="BV247" i="10" s="1"/>
  <c r="AB247" i="10"/>
  <c r="E247" i="10"/>
  <c r="BS246" i="10"/>
  <c r="BM246" i="10"/>
  <c r="BL246" i="10"/>
  <c r="BD246" i="10"/>
  <c r="AW246" i="10"/>
  <c r="AO246" i="10"/>
  <c r="BV246" i="10" s="1"/>
  <c r="AB246" i="10"/>
  <c r="E246" i="10"/>
  <c r="BV245" i="10"/>
  <c r="BM245" i="10"/>
  <c r="BL245" i="10"/>
  <c r="BD245" i="10"/>
  <c r="AW245" i="10"/>
  <c r="AO245" i="10"/>
  <c r="BS245" i="10" s="1"/>
  <c r="AB245" i="10"/>
  <c r="E245" i="10"/>
  <c r="BS244" i="10"/>
  <c r="BM244" i="10"/>
  <c r="BL244" i="10"/>
  <c r="BD244" i="10"/>
  <c r="AW244" i="10"/>
  <c r="AO244" i="10"/>
  <c r="BV244" i="10" s="1"/>
  <c r="AB244" i="10"/>
  <c r="E244" i="10"/>
  <c r="BV243" i="10"/>
  <c r="BM243" i="10"/>
  <c r="BL243" i="10"/>
  <c r="BD243" i="10"/>
  <c r="AW243" i="10"/>
  <c r="AO243" i="10"/>
  <c r="BS243" i="10" s="1"/>
  <c r="AB243" i="10"/>
  <c r="E243" i="10"/>
  <c r="BV242" i="10"/>
  <c r="BS242" i="10"/>
  <c r="BM242" i="10"/>
  <c r="BL242" i="10"/>
  <c r="BD242" i="10"/>
  <c r="AW242" i="10"/>
  <c r="AO242" i="10"/>
  <c r="AB242" i="10"/>
  <c r="E242" i="10"/>
  <c r="BM241" i="10"/>
  <c r="BL241" i="10"/>
  <c r="BD241" i="10"/>
  <c r="AW241" i="10"/>
  <c r="AO241" i="10"/>
  <c r="AB241" i="10"/>
  <c r="E241" i="10"/>
  <c r="BV240" i="10"/>
  <c r="BS240" i="10"/>
  <c r="BM240" i="10"/>
  <c r="BL240" i="10"/>
  <c r="BD240" i="10"/>
  <c r="AW240" i="10"/>
  <c r="AO240" i="10"/>
  <c r="AB240" i="10"/>
  <c r="E240" i="10"/>
  <c r="BM239" i="10"/>
  <c r="BL239" i="10"/>
  <c r="BD239" i="10"/>
  <c r="AW239" i="10"/>
  <c r="AO239" i="10"/>
  <c r="BV239" i="10" s="1"/>
  <c r="AB239" i="10"/>
  <c r="E239" i="10"/>
  <c r="BS238" i="10"/>
  <c r="BM238" i="10"/>
  <c r="BL238" i="10"/>
  <c r="BD238" i="10"/>
  <c r="AW238" i="10"/>
  <c r="AO238" i="10"/>
  <c r="BV238" i="10" s="1"/>
  <c r="AB238" i="10"/>
  <c r="E238" i="10"/>
  <c r="BV237" i="10"/>
  <c r="BM237" i="10"/>
  <c r="BL237" i="10"/>
  <c r="BD237" i="10"/>
  <c r="AW237" i="10"/>
  <c r="AO237" i="10"/>
  <c r="BS237" i="10" s="1"/>
  <c r="AB237" i="10"/>
  <c r="E237" i="10"/>
  <c r="BS236" i="10"/>
  <c r="BM236" i="10"/>
  <c r="BL236" i="10"/>
  <c r="BD236" i="10"/>
  <c r="AW236" i="10"/>
  <c r="AO236" i="10"/>
  <c r="BV236" i="10" s="1"/>
  <c r="AB236" i="10"/>
  <c r="E236" i="10"/>
  <c r="BV235" i="10"/>
  <c r="BM235" i="10"/>
  <c r="BL235" i="10"/>
  <c r="BD235" i="10"/>
  <c r="AW235" i="10"/>
  <c r="AO235" i="10"/>
  <c r="BS235" i="10" s="1"/>
  <c r="AB235" i="10"/>
  <c r="E235" i="10"/>
  <c r="BV234" i="10"/>
  <c r="BS234" i="10"/>
  <c r="BM234" i="10"/>
  <c r="BL234" i="10"/>
  <c r="BD234" i="10"/>
  <c r="AW234" i="10"/>
  <c r="AO234" i="10"/>
  <c r="AB234" i="10"/>
  <c r="E234" i="10"/>
  <c r="BM233" i="10"/>
  <c r="BL233" i="10"/>
  <c r="BD233" i="10"/>
  <c r="AW233" i="10"/>
  <c r="AO233" i="10"/>
  <c r="AB233" i="10"/>
  <c r="E233" i="10"/>
  <c r="BV232" i="10"/>
  <c r="BS232" i="10"/>
  <c r="BM232" i="10"/>
  <c r="BL232" i="10"/>
  <c r="BD232" i="10"/>
  <c r="AW232" i="10"/>
  <c r="AO232" i="10"/>
  <c r="AB232" i="10"/>
  <c r="E232" i="10"/>
  <c r="BM231" i="10"/>
  <c r="BL231" i="10"/>
  <c r="BD231" i="10"/>
  <c r="AW231" i="10"/>
  <c r="AO231" i="10"/>
  <c r="BV231" i="10" s="1"/>
  <c r="AB231" i="10"/>
  <c r="E231" i="10"/>
  <c r="BS230" i="10"/>
  <c r="BM230" i="10"/>
  <c r="BL230" i="10"/>
  <c r="BD230" i="10"/>
  <c r="AW230" i="10"/>
  <c r="AO230" i="10"/>
  <c r="BV230" i="10" s="1"/>
  <c r="AB230" i="10"/>
  <c r="E230" i="10"/>
  <c r="BV229" i="10"/>
  <c r="BM229" i="10"/>
  <c r="BL229" i="10"/>
  <c r="BD229" i="10"/>
  <c r="AW229" i="10"/>
  <c r="AO229" i="10"/>
  <c r="BS229" i="10" s="1"/>
  <c r="AB229" i="10"/>
  <c r="E229" i="10"/>
  <c r="BS228" i="10"/>
  <c r="BM228" i="10"/>
  <c r="BL228" i="10"/>
  <c r="BD228" i="10"/>
  <c r="AW228" i="10"/>
  <c r="AO228" i="10"/>
  <c r="BV228" i="10" s="1"/>
  <c r="AB228" i="10"/>
  <c r="E228" i="10"/>
  <c r="BV227" i="10"/>
  <c r="BM227" i="10"/>
  <c r="BL227" i="10"/>
  <c r="BD227" i="10"/>
  <c r="AW227" i="10"/>
  <c r="AO227" i="10"/>
  <c r="BS227" i="10" s="1"/>
  <c r="AB227" i="10"/>
  <c r="E227" i="10"/>
  <c r="BV226" i="10"/>
  <c r="BS226" i="10"/>
  <c r="BM226" i="10"/>
  <c r="BL226" i="10"/>
  <c r="BD226" i="10"/>
  <c r="AW226" i="10"/>
  <c r="AO226" i="10"/>
  <c r="AB226" i="10"/>
  <c r="E226" i="10"/>
  <c r="BM225" i="10"/>
  <c r="BL225" i="10"/>
  <c r="BD225" i="10"/>
  <c r="AW225" i="10"/>
  <c r="AO225" i="10"/>
  <c r="AB225" i="10"/>
  <c r="E225" i="10"/>
  <c r="BV224" i="10"/>
  <c r="BS224" i="10"/>
  <c r="BM224" i="10"/>
  <c r="BL224" i="10"/>
  <c r="BD224" i="10"/>
  <c r="AW224" i="10"/>
  <c r="AO224" i="10"/>
  <c r="AB224" i="10"/>
  <c r="E224" i="10"/>
  <c r="BM223" i="10"/>
  <c r="BL223" i="10"/>
  <c r="BD223" i="10"/>
  <c r="AW223" i="10"/>
  <c r="AO223" i="10"/>
  <c r="BV223" i="10" s="1"/>
  <c r="AB223" i="10"/>
  <c r="E223" i="10"/>
  <c r="BS222" i="10"/>
  <c r="BM222" i="10"/>
  <c r="BL222" i="10"/>
  <c r="BD222" i="10"/>
  <c r="AW222" i="10"/>
  <c r="AO222" i="10"/>
  <c r="BV222" i="10" s="1"/>
  <c r="AB222" i="10"/>
  <c r="E222" i="10"/>
  <c r="BV221" i="10"/>
  <c r="BM221" i="10"/>
  <c r="BL221" i="10"/>
  <c r="BD221" i="10"/>
  <c r="AW221" i="10"/>
  <c r="AO221" i="10"/>
  <c r="BS221" i="10" s="1"/>
  <c r="AB221" i="10"/>
  <c r="E221" i="10"/>
  <c r="BS220" i="10"/>
  <c r="BM220" i="10"/>
  <c r="BL220" i="10"/>
  <c r="BD220" i="10"/>
  <c r="AW220" i="10"/>
  <c r="AO220" i="10"/>
  <c r="BV220" i="10" s="1"/>
  <c r="AB220" i="10"/>
  <c r="E220" i="10"/>
  <c r="BV219" i="10"/>
  <c r="BM219" i="10"/>
  <c r="BL219" i="10"/>
  <c r="BD219" i="10"/>
  <c r="AW219" i="10"/>
  <c r="AO219" i="10"/>
  <c r="BS219" i="10" s="1"/>
  <c r="AB219" i="10"/>
  <c r="E219" i="10"/>
  <c r="BV218" i="10"/>
  <c r="BS218" i="10"/>
  <c r="BM218" i="10"/>
  <c r="BL218" i="10"/>
  <c r="BD218" i="10"/>
  <c r="AW218" i="10"/>
  <c r="AO218" i="10"/>
  <c r="AB218" i="10"/>
  <c r="E218" i="10"/>
  <c r="BM217" i="10"/>
  <c r="BL217" i="10"/>
  <c r="BD217" i="10"/>
  <c r="AW217" i="10"/>
  <c r="AO217" i="10"/>
  <c r="AB217" i="10"/>
  <c r="E217" i="10"/>
  <c r="BV216" i="10"/>
  <c r="BS216" i="10"/>
  <c r="BM216" i="10"/>
  <c r="BL216" i="10"/>
  <c r="BD216" i="10"/>
  <c r="AW216" i="10"/>
  <c r="AO216" i="10"/>
  <c r="AB216" i="10"/>
  <c r="E216" i="10"/>
  <c r="BM215" i="10"/>
  <c r="BL215" i="10"/>
  <c r="BD215" i="10"/>
  <c r="AW215" i="10"/>
  <c r="AO215" i="10"/>
  <c r="BV215" i="10" s="1"/>
  <c r="AB215" i="10"/>
  <c r="E215" i="10"/>
  <c r="BS214" i="10"/>
  <c r="BM214" i="10"/>
  <c r="BL214" i="10"/>
  <c r="BD214" i="10"/>
  <c r="AW214" i="10"/>
  <c r="AO214" i="10"/>
  <c r="BV214" i="10" s="1"/>
  <c r="AB214" i="10"/>
  <c r="E214" i="10"/>
  <c r="BV213" i="10"/>
  <c r="BM213" i="10"/>
  <c r="BL213" i="10"/>
  <c r="BD213" i="10"/>
  <c r="AW213" i="10"/>
  <c r="AO213" i="10"/>
  <c r="BS213" i="10" s="1"/>
  <c r="AB213" i="10"/>
  <c r="E213" i="10"/>
  <c r="BS212" i="10"/>
  <c r="BM212" i="10"/>
  <c r="BL212" i="10"/>
  <c r="BD212" i="10"/>
  <c r="AW212" i="10"/>
  <c r="AO212" i="10"/>
  <c r="BV212" i="10" s="1"/>
  <c r="AB212" i="10"/>
  <c r="E212" i="10"/>
  <c r="BV211" i="10"/>
  <c r="BM211" i="10"/>
  <c r="BL211" i="10"/>
  <c r="BD211" i="10"/>
  <c r="AW211" i="10"/>
  <c r="AO211" i="10"/>
  <c r="BS211" i="10" s="1"/>
  <c r="AB211" i="10"/>
  <c r="E211" i="10"/>
  <c r="BV210" i="10"/>
  <c r="BS210" i="10"/>
  <c r="BM210" i="10"/>
  <c r="BL210" i="10"/>
  <c r="BD210" i="10"/>
  <c r="AW210" i="10"/>
  <c r="AO210" i="10"/>
  <c r="AB210" i="10"/>
  <c r="E210" i="10"/>
  <c r="BM209" i="10"/>
  <c r="BL209" i="10"/>
  <c r="BD209" i="10"/>
  <c r="AW209" i="10"/>
  <c r="AO209" i="10"/>
  <c r="AB209" i="10"/>
  <c r="E209" i="10"/>
  <c r="BV208" i="10"/>
  <c r="BS208" i="10"/>
  <c r="BM208" i="10"/>
  <c r="BL208" i="10"/>
  <c r="BD208" i="10"/>
  <c r="AW208" i="10"/>
  <c r="AO208" i="10"/>
  <c r="AB208" i="10"/>
  <c r="E208" i="10"/>
  <c r="BM207" i="10"/>
  <c r="BL207" i="10"/>
  <c r="BD207" i="10"/>
  <c r="AW207" i="10"/>
  <c r="AO207" i="10"/>
  <c r="BV207" i="10" s="1"/>
  <c r="AB207" i="10"/>
  <c r="E207" i="10"/>
  <c r="BS206" i="10"/>
  <c r="BM206" i="10"/>
  <c r="BL206" i="10"/>
  <c r="BD206" i="10"/>
  <c r="AW206" i="10"/>
  <c r="AO206" i="10"/>
  <c r="BV206" i="10" s="1"/>
  <c r="AB206" i="10"/>
  <c r="E206" i="10"/>
  <c r="BV205" i="10"/>
  <c r="BM205" i="10"/>
  <c r="BL205" i="10"/>
  <c r="BD205" i="10"/>
  <c r="AW205" i="10"/>
  <c r="AO205" i="10"/>
  <c r="BS205" i="10" s="1"/>
  <c r="AB205" i="10"/>
  <c r="E205" i="10"/>
  <c r="BS204" i="10"/>
  <c r="BM204" i="10"/>
  <c r="BL204" i="10"/>
  <c r="BD204" i="10"/>
  <c r="AW204" i="10"/>
  <c r="AO204" i="10"/>
  <c r="BV204" i="10" s="1"/>
  <c r="AB204" i="10"/>
  <c r="E204" i="10"/>
  <c r="BV203" i="10"/>
  <c r="BM203" i="10"/>
  <c r="BL203" i="10"/>
  <c r="BD203" i="10"/>
  <c r="AW203" i="10"/>
  <c r="AO203" i="10"/>
  <c r="BS203" i="10" s="1"/>
  <c r="AB203" i="10"/>
  <c r="E203" i="10"/>
  <c r="BV202" i="10"/>
  <c r="BS202" i="10"/>
  <c r="BM202" i="10"/>
  <c r="BL202" i="10"/>
  <c r="BD202" i="10"/>
  <c r="AW202" i="10"/>
  <c r="AO202" i="10"/>
  <c r="AB202" i="10"/>
  <c r="E202" i="10"/>
  <c r="BM201" i="10"/>
  <c r="BL201" i="10"/>
  <c r="BD201" i="10"/>
  <c r="AW201" i="10"/>
  <c r="AO201" i="10"/>
  <c r="AB201" i="10"/>
  <c r="E201" i="10"/>
  <c r="BV200" i="10"/>
  <c r="BS200" i="10"/>
  <c r="BM200" i="10"/>
  <c r="BL200" i="10"/>
  <c r="BD200" i="10"/>
  <c r="AW200" i="10"/>
  <c r="AO200" i="10"/>
  <c r="AB200" i="10"/>
  <c r="E200" i="10"/>
  <c r="BM199" i="10"/>
  <c r="BL199" i="10"/>
  <c r="BD199" i="10"/>
  <c r="AW199" i="10"/>
  <c r="AO199" i="10"/>
  <c r="BV199" i="10" s="1"/>
  <c r="AB199" i="10"/>
  <c r="E199" i="10"/>
  <c r="BS198" i="10"/>
  <c r="BM198" i="10"/>
  <c r="BL198" i="10"/>
  <c r="BD198" i="10"/>
  <c r="AW198" i="10"/>
  <c r="AO198" i="10"/>
  <c r="BV198" i="10" s="1"/>
  <c r="AB198" i="10"/>
  <c r="E198" i="10"/>
  <c r="BV197" i="10"/>
  <c r="BM197" i="10"/>
  <c r="BL197" i="10"/>
  <c r="BD197" i="10"/>
  <c r="AW197" i="10"/>
  <c r="AO197" i="10"/>
  <c r="BS197" i="10" s="1"/>
  <c r="AB197" i="10"/>
  <c r="E197" i="10"/>
  <c r="BS196" i="10"/>
  <c r="BM196" i="10"/>
  <c r="BL196" i="10"/>
  <c r="BD196" i="10"/>
  <c r="AW196" i="10"/>
  <c r="AO196" i="10"/>
  <c r="BV196" i="10" s="1"/>
  <c r="AB196" i="10"/>
  <c r="E196" i="10"/>
  <c r="BV195" i="10"/>
  <c r="BM195" i="10"/>
  <c r="BL195" i="10"/>
  <c r="BD195" i="10"/>
  <c r="AW195" i="10"/>
  <c r="AO195" i="10"/>
  <c r="BS195" i="10" s="1"/>
  <c r="AB195" i="10"/>
  <c r="E195" i="10"/>
  <c r="BV194" i="10"/>
  <c r="BS194" i="10"/>
  <c r="BM194" i="10"/>
  <c r="BL194" i="10"/>
  <c r="BD194" i="10"/>
  <c r="AW194" i="10"/>
  <c r="AO194" i="10"/>
  <c r="AB194" i="10"/>
  <c r="E194" i="10"/>
  <c r="BM193" i="10"/>
  <c r="BL193" i="10"/>
  <c r="BD193" i="10"/>
  <c r="AW193" i="10"/>
  <c r="AO193" i="10"/>
  <c r="AB193" i="10"/>
  <c r="E193" i="10"/>
  <c r="BV192" i="10"/>
  <c r="BS192" i="10"/>
  <c r="BM192" i="10"/>
  <c r="BL192" i="10"/>
  <c r="BD192" i="10"/>
  <c r="AW192" i="10"/>
  <c r="AO192" i="10"/>
  <c r="AB192" i="10"/>
  <c r="E192" i="10"/>
  <c r="BM191" i="10"/>
  <c r="BL191" i="10"/>
  <c r="BD191" i="10"/>
  <c r="AW191" i="10"/>
  <c r="AO191" i="10"/>
  <c r="BV191" i="10" s="1"/>
  <c r="AB191" i="10"/>
  <c r="E191" i="10"/>
  <c r="BS190" i="10"/>
  <c r="BM190" i="10"/>
  <c r="BL190" i="10"/>
  <c r="BD190" i="10"/>
  <c r="AW190" i="10"/>
  <c r="AO190" i="10"/>
  <c r="BV190" i="10" s="1"/>
  <c r="AB190" i="10"/>
  <c r="E190" i="10"/>
  <c r="BV189" i="10"/>
  <c r="BM189" i="10"/>
  <c r="BL189" i="10"/>
  <c r="BD189" i="10"/>
  <c r="AW189" i="10"/>
  <c r="AO189" i="10"/>
  <c r="BS189" i="10" s="1"/>
  <c r="AB189" i="10"/>
  <c r="E189" i="10"/>
  <c r="BS188" i="10"/>
  <c r="BM188" i="10"/>
  <c r="BL188" i="10"/>
  <c r="BD188" i="10"/>
  <c r="AW188" i="10"/>
  <c r="AO188" i="10"/>
  <c r="BV188" i="10" s="1"/>
  <c r="AB188" i="10"/>
  <c r="E188" i="10"/>
  <c r="BV187" i="10"/>
  <c r="BM187" i="10"/>
  <c r="BL187" i="10"/>
  <c r="BD187" i="10"/>
  <c r="AW187" i="10"/>
  <c r="AO187" i="10"/>
  <c r="BS187" i="10" s="1"/>
  <c r="AB187" i="10"/>
  <c r="E187" i="10"/>
  <c r="BV186" i="10"/>
  <c r="BS186" i="10"/>
  <c r="BM186" i="10"/>
  <c r="BL186" i="10"/>
  <c r="BD186" i="10"/>
  <c r="AW186" i="10"/>
  <c r="AO186" i="10"/>
  <c r="AB186" i="10"/>
  <c r="E186" i="10"/>
  <c r="BM185" i="10"/>
  <c r="BL185" i="10"/>
  <c r="BD185" i="10"/>
  <c r="AW185" i="10"/>
  <c r="AO185" i="10"/>
  <c r="AB185" i="10"/>
  <c r="E185" i="10"/>
  <c r="BV184" i="10"/>
  <c r="BS184" i="10"/>
  <c r="BM184" i="10"/>
  <c r="BL184" i="10"/>
  <c r="BD184" i="10"/>
  <c r="AW184" i="10"/>
  <c r="AO184" i="10"/>
  <c r="AB184" i="10"/>
  <c r="E184" i="10"/>
  <c r="BM183" i="10"/>
  <c r="BL183" i="10"/>
  <c r="BD183" i="10"/>
  <c r="AW183" i="10"/>
  <c r="AO183" i="10"/>
  <c r="BV183" i="10" s="1"/>
  <c r="AB183" i="10"/>
  <c r="E183" i="10"/>
  <c r="BS182" i="10"/>
  <c r="BM182" i="10"/>
  <c r="BL182" i="10"/>
  <c r="BD182" i="10"/>
  <c r="AW182" i="10"/>
  <c r="AO182" i="10"/>
  <c r="BV182" i="10" s="1"/>
  <c r="AB182" i="10"/>
  <c r="E182" i="10"/>
  <c r="BV181" i="10"/>
  <c r="BM181" i="10"/>
  <c r="BL181" i="10"/>
  <c r="BD181" i="10"/>
  <c r="AW181" i="10"/>
  <c r="AO181" i="10"/>
  <c r="BS181" i="10" s="1"/>
  <c r="AB181" i="10"/>
  <c r="E181" i="10"/>
  <c r="BS180" i="10"/>
  <c r="BM180" i="10"/>
  <c r="BL180" i="10"/>
  <c r="BD180" i="10"/>
  <c r="AW180" i="10"/>
  <c r="AO180" i="10"/>
  <c r="BV180" i="10" s="1"/>
  <c r="AB180" i="10"/>
  <c r="E180" i="10"/>
  <c r="BM179" i="10"/>
  <c r="BL179" i="10"/>
  <c r="BD179" i="10"/>
  <c r="AW179" i="10"/>
  <c r="AO179" i="10"/>
  <c r="BS179" i="10" s="1"/>
  <c r="AB179" i="10"/>
  <c r="E179" i="10"/>
  <c r="BV178" i="10"/>
  <c r="BS178" i="10"/>
  <c r="BM178" i="10"/>
  <c r="BL178" i="10"/>
  <c r="BD178" i="10"/>
  <c r="AW178" i="10"/>
  <c r="AO178" i="10"/>
  <c r="AB178" i="10"/>
  <c r="E178" i="10"/>
  <c r="BM177" i="10"/>
  <c r="BL177" i="10"/>
  <c r="BD177" i="10"/>
  <c r="AW177" i="10"/>
  <c r="AO177" i="10"/>
  <c r="AB177" i="10"/>
  <c r="E177" i="10"/>
  <c r="BV176" i="10"/>
  <c r="BS176" i="10"/>
  <c r="BM176" i="10"/>
  <c r="BL176" i="10"/>
  <c r="BD176" i="10"/>
  <c r="AW176" i="10"/>
  <c r="AO176" i="10"/>
  <c r="AB176" i="10"/>
  <c r="E176" i="10"/>
  <c r="BM175" i="10"/>
  <c r="BL175" i="10"/>
  <c r="BD175" i="10"/>
  <c r="AW175" i="10"/>
  <c r="AO175" i="10"/>
  <c r="BV175" i="10" s="1"/>
  <c r="AB175" i="10"/>
  <c r="E175" i="10"/>
  <c r="BS174" i="10"/>
  <c r="BM174" i="10"/>
  <c r="BL174" i="10"/>
  <c r="BD174" i="10"/>
  <c r="AW174" i="10"/>
  <c r="AO174" i="10"/>
  <c r="BV174" i="10" s="1"/>
  <c r="AB174" i="10"/>
  <c r="E174" i="10"/>
  <c r="BV173" i="10"/>
  <c r="BM173" i="10"/>
  <c r="BL173" i="10"/>
  <c r="BD173" i="10"/>
  <c r="AW173" i="10"/>
  <c r="AO173" i="10"/>
  <c r="BS173" i="10" s="1"/>
  <c r="AB173" i="10"/>
  <c r="E173" i="10"/>
  <c r="BS172" i="10"/>
  <c r="BM172" i="10"/>
  <c r="BL172" i="10"/>
  <c r="BD172" i="10"/>
  <c r="AW172" i="10"/>
  <c r="AO172" i="10"/>
  <c r="BV172" i="10" s="1"/>
  <c r="AB172" i="10"/>
  <c r="E172" i="10"/>
  <c r="BM171" i="10"/>
  <c r="BL171" i="10"/>
  <c r="BD171" i="10"/>
  <c r="AW171" i="10"/>
  <c r="AO171" i="10"/>
  <c r="BS171" i="10" s="1"/>
  <c r="AB171" i="10"/>
  <c r="E171" i="10"/>
  <c r="BV170" i="10"/>
  <c r="BS170" i="10"/>
  <c r="BM170" i="10"/>
  <c r="BL170" i="10"/>
  <c r="BD170" i="10"/>
  <c r="AW170" i="10"/>
  <c r="AO170" i="10"/>
  <c r="AB170" i="10"/>
  <c r="E170" i="10"/>
  <c r="BM169" i="10"/>
  <c r="BL169" i="10"/>
  <c r="BD169" i="10"/>
  <c r="AW169" i="10"/>
  <c r="AO169" i="10"/>
  <c r="AB169" i="10"/>
  <c r="E169" i="10"/>
  <c r="BV168" i="10"/>
  <c r="BS168" i="10"/>
  <c r="BM168" i="10"/>
  <c r="BL168" i="10"/>
  <c r="BD168" i="10"/>
  <c r="AW168" i="10"/>
  <c r="AO168" i="10"/>
  <c r="AB168" i="10"/>
  <c r="E168" i="10"/>
  <c r="BM167" i="10"/>
  <c r="BL167" i="10"/>
  <c r="BD167" i="10"/>
  <c r="AW167" i="10"/>
  <c r="AO167" i="10"/>
  <c r="BV167" i="10" s="1"/>
  <c r="AB167" i="10"/>
  <c r="E167" i="10"/>
  <c r="BS166" i="10"/>
  <c r="BM166" i="10"/>
  <c r="BL166" i="10"/>
  <c r="BD166" i="10"/>
  <c r="AW166" i="10"/>
  <c r="AO166" i="10"/>
  <c r="BV166" i="10" s="1"/>
  <c r="AB166" i="10"/>
  <c r="E166" i="10"/>
  <c r="BV165" i="10"/>
  <c r="BM165" i="10"/>
  <c r="BL165" i="10"/>
  <c r="BD165" i="10"/>
  <c r="AW165" i="10"/>
  <c r="AO165" i="10"/>
  <c r="BS165" i="10" s="1"/>
  <c r="AB165" i="10"/>
  <c r="E165" i="10"/>
  <c r="BS164" i="10"/>
  <c r="BM164" i="10"/>
  <c r="BL164" i="10"/>
  <c r="BD164" i="10"/>
  <c r="AW164" i="10"/>
  <c r="AO164" i="10"/>
  <c r="BV164" i="10" s="1"/>
  <c r="AB164" i="10"/>
  <c r="E164" i="10"/>
  <c r="BM163" i="10"/>
  <c r="BL163" i="10"/>
  <c r="BD163" i="10"/>
  <c r="AW163" i="10"/>
  <c r="AO163" i="10"/>
  <c r="BS163" i="10" s="1"/>
  <c r="AB163" i="10"/>
  <c r="E163" i="10"/>
  <c r="BV162" i="10"/>
  <c r="BS162" i="10"/>
  <c r="BM162" i="10"/>
  <c r="BL162" i="10"/>
  <c r="BD162" i="10"/>
  <c r="AW162" i="10"/>
  <c r="AO162" i="10"/>
  <c r="AB162" i="10"/>
  <c r="E162" i="10"/>
  <c r="BM161" i="10"/>
  <c r="BL161" i="10"/>
  <c r="BD161" i="10"/>
  <c r="AW161" i="10"/>
  <c r="AO161" i="10"/>
  <c r="AB161" i="10"/>
  <c r="E161" i="10"/>
  <c r="BV160" i="10"/>
  <c r="BS160" i="10"/>
  <c r="BM160" i="10"/>
  <c r="BL160" i="10"/>
  <c r="BD160" i="10"/>
  <c r="AW160" i="10"/>
  <c r="AO160" i="10"/>
  <c r="AB160" i="10"/>
  <c r="E160" i="10"/>
  <c r="BM159" i="10"/>
  <c r="BL159" i="10"/>
  <c r="BD159" i="10"/>
  <c r="AW159" i="10"/>
  <c r="AO159" i="10"/>
  <c r="BV159" i="10" s="1"/>
  <c r="AB159" i="10"/>
  <c r="E159" i="10"/>
  <c r="BS158" i="10"/>
  <c r="BM158" i="10"/>
  <c r="BL158" i="10"/>
  <c r="BD158" i="10"/>
  <c r="AW158" i="10"/>
  <c r="AO158" i="10"/>
  <c r="BV158" i="10" s="1"/>
  <c r="AB158" i="10"/>
  <c r="E158" i="10"/>
  <c r="BV157" i="10"/>
  <c r="BM157" i="10"/>
  <c r="BL157" i="10"/>
  <c r="BD157" i="10"/>
  <c r="AW157" i="10"/>
  <c r="AO157" i="10"/>
  <c r="BS157" i="10" s="1"/>
  <c r="AB157" i="10"/>
  <c r="E157" i="10"/>
  <c r="BS156" i="10"/>
  <c r="BM156" i="10"/>
  <c r="BL156" i="10"/>
  <c r="BD156" i="10"/>
  <c r="AW156" i="10"/>
  <c r="AO156" i="10"/>
  <c r="BV156" i="10" s="1"/>
  <c r="AB156" i="10"/>
  <c r="E156" i="10"/>
  <c r="BM155" i="10"/>
  <c r="BL155" i="10"/>
  <c r="BD155" i="10"/>
  <c r="AW155" i="10"/>
  <c r="AO155" i="10"/>
  <c r="BS155" i="10" s="1"/>
  <c r="AB155" i="10"/>
  <c r="E155" i="10"/>
  <c r="BV154" i="10"/>
  <c r="BS154" i="10"/>
  <c r="BM154" i="10"/>
  <c r="BL154" i="10"/>
  <c r="BD154" i="10"/>
  <c r="AW154" i="10"/>
  <c r="AO154" i="10"/>
  <c r="AB154" i="10"/>
  <c r="E154" i="10"/>
  <c r="BM153" i="10"/>
  <c r="BL153" i="10"/>
  <c r="BD153" i="10"/>
  <c r="AW153" i="10"/>
  <c r="AO153" i="10"/>
  <c r="AB153" i="10"/>
  <c r="E153" i="10"/>
  <c r="BV152" i="10"/>
  <c r="BS152" i="10"/>
  <c r="BM152" i="10"/>
  <c r="BL152" i="10"/>
  <c r="BD152" i="10"/>
  <c r="AW152" i="10"/>
  <c r="AO152" i="10"/>
  <c r="AB152" i="10"/>
  <c r="E152" i="10"/>
  <c r="BM151" i="10"/>
  <c r="BL151" i="10"/>
  <c r="BD151" i="10"/>
  <c r="AW151" i="10"/>
  <c r="AO151" i="10"/>
  <c r="BV151" i="10" s="1"/>
  <c r="AB151" i="10"/>
  <c r="E151" i="10"/>
  <c r="BS150" i="10"/>
  <c r="BM150" i="10"/>
  <c r="BL150" i="10"/>
  <c r="BD150" i="10"/>
  <c r="AW150" i="10"/>
  <c r="AO150" i="10"/>
  <c r="BV150" i="10" s="1"/>
  <c r="AB150" i="10"/>
  <c r="E150" i="10"/>
  <c r="BV149" i="10"/>
  <c r="BM149" i="10"/>
  <c r="BL149" i="10"/>
  <c r="BD149" i="10"/>
  <c r="AW149" i="10"/>
  <c r="AO149" i="10"/>
  <c r="BS149" i="10" s="1"/>
  <c r="AB149" i="10"/>
  <c r="E149" i="10"/>
  <c r="BS148" i="10"/>
  <c r="BM148" i="10"/>
  <c r="BL148" i="10"/>
  <c r="BD148" i="10"/>
  <c r="AW148" i="10"/>
  <c r="AO148" i="10"/>
  <c r="BV148" i="10" s="1"/>
  <c r="AB148" i="10"/>
  <c r="E148" i="10"/>
  <c r="BM147" i="10"/>
  <c r="BL147" i="10"/>
  <c r="BD147" i="10"/>
  <c r="AW147" i="10"/>
  <c r="AO147" i="10"/>
  <c r="BS147" i="10" s="1"/>
  <c r="AB147" i="10"/>
  <c r="E147" i="10"/>
  <c r="BV146" i="10"/>
  <c r="BS146" i="10"/>
  <c r="BM146" i="10"/>
  <c r="BL146" i="10"/>
  <c r="BD146" i="10"/>
  <c r="AW146" i="10"/>
  <c r="AO146" i="10"/>
  <c r="AB146" i="10"/>
  <c r="E146" i="10"/>
  <c r="BM145" i="10"/>
  <c r="BL145" i="10"/>
  <c r="BD145" i="10"/>
  <c r="AW145" i="10"/>
  <c r="AO145" i="10"/>
  <c r="AB145" i="10"/>
  <c r="E145" i="10"/>
  <c r="BV144" i="10"/>
  <c r="BS144" i="10"/>
  <c r="BM144" i="10"/>
  <c r="BL144" i="10"/>
  <c r="BD144" i="10"/>
  <c r="AW144" i="10"/>
  <c r="AO144" i="10"/>
  <c r="AB144" i="10"/>
  <c r="E144" i="10"/>
  <c r="BM143" i="10"/>
  <c r="BL143" i="10"/>
  <c r="BD143" i="10"/>
  <c r="AW143" i="10"/>
  <c r="AO143" i="10"/>
  <c r="BV143" i="10" s="1"/>
  <c r="AB143" i="10"/>
  <c r="E143" i="10"/>
  <c r="BS142" i="10"/>
  <c r="BM142" i="10"/>
  <c r="BL142" i="10"/>
  <c r="BD142" i="10"/>
  <c r="AW142" i="10"/>
  <c r="AO142" i="10"/>
  <c r="BV142" i="10" s="1"/>
  <c r="AB142" i="10"/>
  <c r="E142" i="10"/>
  <c r="BV141" i="10"/>
  <c r="BM141" i="10"/>
  <c r="BL141" i="10"/>
  <c r="BD141" i="10"/>
  <c r="AW141" i="10"/>
  <c r="AO141" i="10"/>
  <c r="BS141" i="10" s="1"/>
  <c r="AB141" i="10"/>
  <c r="E141" i="10"/>
  <c r="BS140" i="10"/>
  <c r="BM140" i="10"/>
  <c r="BL140" i="10"/>
  <c r="BD140" i="10"/>
  <c r="AW140" i="10"/>
  <c r="AO140" i="10"/>
  <c r="BV140" i="10" s="1"/>
  <c r="AB140" i="10"/>
  <c r="E140" i="10"/>
  <c r="BM139" i="10"/>
  <c r="BL139" i="10"/>
  <c r="BD139" i="10"/>
  <c r="AW139" i="10"/>
  <c r="AO139" i="10"/>
  <c r="BS139" i="10" s="1"/>
  <c r="AB139" i="10"/>
  <c r="E139" i="10"/>
  <c r="BV138" i="10"/>
  <c r="BS138" i="10"/>
  <c r="BM138" i="10"/>
  <c r="BL138" i="10"/>
  <c r="BD138" i="10"/>
  <c r="AW138" i="10"/>
  <c r="AO138" i="10"/>
  <c r="AB138" i="10"/>
  <c r="E138" i="10"/>
  <c r="BM137" i="10"/>
  <c r="BL137" i="10"/>
  <c r="BD137" i="10"/>
  <c r="AW137" i="10"/>
  <c r="AO137" i="10"/>
  <c r="AB137" i="10"/>
  <c r="E137" i="10"/>
  <c r="BV136" i="10"/>
  <c r="BS136" i="10"/>
  <c r="BM136" i="10"/>
  <c r="BL136" i="10"/>
  <c r="BD136" i="10"/>
  <c r="AW136" i="10"/>
  <c r="AO136" i="10"/>
  <c r="AB136" i="10"/>
  <c r="E136" i="10"/>
  <c r="BM135" i="10"/>
  <c r="BL135" i="10"/>
  <c r="BD135" i="10"/>
  <c r="AW135" i="10"/>
  <c r="AO135" i="10"/>
  <c r="BV135" i="10" s="1"/>
  <c r="AB135" i="10"/>
  <c r="E135" i="10"/>
  <c r="BS134" i="10"/>
  <c r="BM134" i="10"/>
  <c r="BL134" i="10"/>
  <c r="BD134" i="10"/>
  <c r="AW134" i="10"/>
  <c r="AO134" i="10"/>
  <c r="BV134" i="10" s="1"/>
  <c r="AB134" i="10"/>
  <c r="E134" i="10"/>
  <c r="BV133" i="10"/>
  <c r="BM133" i="10"/>
  <c r="BL133" i="10"/>
  <c r="BD133" i="10"/>
  <c r="AW133" i="10"/>
  <c r="AO133" i="10"/>
  <c r="BS133" i="10" s="1"/>
  <c r="AB133" i="10"/>
  <c r="E133" i="10"/>
  <c r="BS132" i="10"/>
  <c r="BM132" i="10"/>
  <c r="BL132" i="10"/>
  <c r="BD132" i="10"/>
  <c r="AW132" i="10"/>
  <c r="AO132" i="10"/>
  <c r="BV132" i="10" s="1"/>
  <c r="AB132" i="10"/>
  <c r="E132" i="10"/>
  <c r="BM131" i="10"/>
  <c r="BL131" i="10"/>
  <c r="BD131" i="10"/>
  <c r="AW131" i="10"/>
  <c r="AO131" i="10"/>
  <c r="BS131" i="10" s="1"/>
  <c r="AB131" i="10"/>
  <c r="E131" i="10"/>
  <c r="BV130" i="10"/>
  <c r="BS130" i="10"/>
  <c r="BM130" i="10"/>
  <c r="BL130" i="10"/>
  <c r="BD130" i="10"/>
  <c r="AW130" i="10"/>
  <c r="AO130" i="10"/>
  <c r="AB130" i="10"/>
  <c r="E130" i="10"/>
  <c r="BM129" i="10"/>
  <c r="BL129" i="10"/>
  <c r="BD129" i="10"/>
  <c r="AW129" i="10"/>
  <c r="AO129" i="10"/>
  <c r="AB129" i="10"/>
  <c r="E129" i="10"/>
  <c r="BV128" i="10"/>
  <c r="BS128" i="10"/>
  <c r="BM128" i="10"/>
  <c r="BL128" i="10"/>
  <c r="BD128" i="10"/>
  <c r="AW128" i="10"/>
  <c r="AO128" i="10"/>
  <c r="AB128" i="10"/>
  <c r="E128" i="10"/>
  <c r="BM127" i="10"/>
  <c r="BL127" i="10"/>
  <c r="BD127" i="10"/>
  <c r="AW127" i="10"/>
  <c r="AO127" i="10"/>
  <c r="BV127" i="10" s="1"/>
  <c r="AB127" i="10"/>
  <c r="E127" i="10"/>
  <c r="BS126" i="10"/>
  <c r="BM126" i="10"/>
  <c r="BL126" i="10"/>
  <c r="BD126" i="10"/>
  <c r="AW126" i="10"/>
  <c r="AO126" i="10"/>
  <c r="BV126" i="10" s="1"/>
  <c r="AB126" i="10"/>
  <c r="E126" i="10"/>
  <c r="BV125" i="10"/>
  <c r="BM125" i="10"/>
  <c r="BL125" i="10"/>
  <c r="BD125" i="10"/>
  <c r="AW125" i="10"/>
  <c r="AO125" i="10"/>
  <c r="BS125" i="10" s="1"/>
  <c r="AB125" i="10"/>
  <c r="E125" i="10"/>
  <c r="BS124" i="10"/>
  <c r="BM124" i="10"/>
  <c r="BL124" i="10"/>
  <c r="BD124" i="10"/>
  <c r="AW124" i="10"/>
  <c r="AO124" i="10"/>
  <c r="BV124" i="10" s="1"/>
  <c r="AB124" i="10"/>
  <c r="E124" i="10"/>
  <c r="BM123" i="10"/>
  <c r="BL123" i="10"/>
  <c r="BD123" i="10"/>
  <c r="AW123" i="10"/>
  <c r="AO123" i="10"/>
  <c r="BS123" i="10" s="1"/>
  <c r="AB123" i="10"/>
  <c r="E123" i="10"/>
  <c r="BV122" i="10"/>
  <c r="BS122" i="10"/>
  <c r="BM122" i="10"/>
  <c r="BL122" i="10"/>
  <c r="BD122" i="10"/>
  <c r="AW122" i="10"/>
  <c r="AO122" i="10"/>
  <c r="AB122" i="10"/>
  <c r="E122" i="10"/>
  <c r="BM121" i="10"/>
  <c r="BL121" i="10"/>
  <c r="BD121" i="10"/>
  <c r="AW121" i="10"/>
  <c r="AO121" i="10"/>
  <c r="AB121" i="10"/>
  <c r="E121" i="10"/>
  <c r="BV120" i="10"/>
  <c r="BS120" i="10"/>
  <c r="BM120" i="10"/>
  <c r="BL120" i="10"/>
  <c r="BD120" i="10"/>
  <c r="AW120" i="10"/>
  <c r="AO120" i="10"/>
  <c r="AB120" i="10"/>
  <c r="E120" i="10"/>
  <c r="BM119" i="10"/>
  <c r="BL119" i="10"/>
  <c r="BD119" i="10"/>
  <c r="AW119" i="10"/>
  <c r="AO119" i="10"/>
  <c r="BV119" i="10" s="1"/>
  <c r="AB119" i="10"/>
  <c r="E119" i="10"/>
  <c r="BS118" i="10"/>
  <c r="BM118" i="10"/>
  <c r="BL118" i="10"/>
  <c r="BD118" i="10"/>
  <c r="AW118" i="10"/>
  <c r="AO118" i="10"/>
  <c r="BV118" i="10" s="1"/>
  <c r="AB118" i="10"/>
  <c r="E118" i="10"/>
  <c r="BV117" i="10"/>
  <c r="BM117" i="10"/>
  <c r="BL117" i="10"/>
  <c r="BD117" i="10"/>
  <c r="AW117" i="10"/>
  <c r="AO117" i="10"/>
  <c r="BS117" i="10" s="1"/>
  <c r="AB117" i="10"/>
  <c r="E117" i="10"/>
  <c r="BS116" i="10"/>
  <c r="BM116" i="10"/>
  <c r="BL116" i="10"/>
  <c r="BD116" i="10"/>
  <c r="AW116" i="10"/>
  <c r="AO116" i="10"/>
  <c r="BV116" i="10" s="1"/>
  <c r="AB116" i="10"/>
  <c r="E116" i="10"/>
  <c r="BM115" i="10"/>
  <c r="BL115" i="10"/>
  <c r="BD115" i="10"/>
  <c r="AW115" i="10"/>
  <c r="AO115" i="10"/>
  <c r="BS115" i="10" s="1"/>
  <c r="AB115" i="10"/>
  <c r="E115" i="10"/>
  <c r="BV114" i="10"/>
  <c r="BS114" i="10"/>
  <c r="BM114" i="10"/>
  <c r="BL114" i="10"/>
  <c r="BD114" i="10"/>
  <c r="AW114" i="10"/>
  <c r="AO114" i="10"/>
  <c r="AB114" i="10"/>
  <c r="E114" i="10"/>
  <c r="BM113" i="10"/>
  <c r="BL113" i="10"/>
  <c r="BD113" i="10"/>
  <c r="AW113" i="10"/>
  <c r="AO113" i="10"/>
  <c r="AB113" i="10"/>
  <c r="E113" i="10"/>
  <c r="BV112" i="10"/>
  <c r="BS112" i="10"/>
  <c r="BM112" i="10"/>
  <c r="BL112" i="10"/>
  <c r="BD112" i="10"/>
  <c r="AW112" i="10"/>
  <c r="AO112" i="10"/>
  <c r="AB112" i="10"/>
  <c r="E112" i="10"/>
  <c r="BM111" i="10"/>
  <c r="BL111" i="10"/>
  <c r="BD111" i="10"/>
  <c r="AW111" i="10"/>
  <c r="AO111" i="10"/>
  <c r="BV111" i="10" s="1"/>
  <c r="AB111" i="10"/>
  <c r="E111" i="10"/>
  <c r="BS110" i="10"/>
  <c r="BM110" i="10"/>
  <c r="BL110" i="10"/>
  <c r="BD110" i="10"/>
  <c r="AW110" i="10"/>
  <c r="AO110" i="10"/>
  <c r="BV110" i="10" s="1"/>
  <c r="AB110" i="10"/>
  <c r="E110" i="10"/>
  <c r="BV109" i="10"/>
  <c r="BM109" i="10"/>
  <c r="BL109" i="10"/>
  <c r="BD109" i="10"/>
  <c r="AW109" i="10"/>
  <c r="AO109" i="10"/>
  <c r="BS109" i="10" s="1"/>
  <c r="AB109" i="10"/>
  <c r="E109" i="10"/>
  <c r="BS108" i="10"/>
  <c r="BM108" i="10"/>
  <c r="BL108" i="10"/>
  <c r="BD108" i="10"/>
  <c r="AW108" i="10"/>
  <c r="AO108" i="10"/>
  <c r="BV108" i="10" s="1"/>
  <c r="AB108" i="10"/>
  <c r="E108" i="10"/>
  <c r="BM107" i="10"/>
  <c r="BL107" i="10"/>
  <c r="BD107" i="10"/>
  <c r="AW107" i="10"/>
  <c r="AO107" i="10"/>
  <c r="BS107" i="10" s="1"/>
  <c r="AB107" i="10"/>
  <c r="E107" i="10"/>
  <c r="BV106" i="10"/>
  <c r="BS106" i="10"/>
  <c r="BM106" i="10"/>
  <c r="BL106" i="10"/>
  <c r="BD106" i="10"/>
  <c r="AW106" i="10"/>
  <c r="AO106" i="10"/>
  <c r="AB106" i="10"/>
  <c r="E106" i="10"/>
  <c r="BS105" i="10"/>
  <c r="BM105" i="10"/>
  <c r="BL105" i="10"/>
  <c r="BD105" i="10"/>
  <c r="AW105" i="10"/>
  <c r="AO105" i="10"/>
  <c r="BV105" i="10" s="1"/>
  <c r="AB105" i="10"/>
  <c r="E105" i="10"/>
  <c r="BV104" i="10"/>
  <c r="BS104" i="10"/>
  <c r="BM104" i="10"/>
  <c r="BL104" i="10"/>
  <c r="BD104" i="10"/>
  <c r="AW104" i="10"/>
  <c r="AO104" i="10"/>
  <c r="AB104" i="10"/>
  <c r="E104" i="10"/>
  <c r="BM103" i="10"/>
  <c r="BL103" i="10"/>
  <c r="BD103" i="10"/>
  <c r="AW103" i="10"/>
  <c r="AO103" i="10"/>
  <c r="BV103" i="10" s="1"/>
  <c r="AB103" i="10"/>
  <c r="E103" i="10"/>
  <c r="BS102" i="10"/>
  <c r="BM102" i="10"/>
  <c r="BL102" i="10"/>
  <c r="BD102" i="10"/>
  <c r="AW102" i="10"/>
  <c r="AO102" i="10"/>
  <c r="BV102" i="10" s="1"/>
  <c r="AB102" i="10"/>
  <c r="E102" i="10"/>
  <c r="BV101" i="10"/>
  <c r="BM101" i="10"/>
  <c r="BL101" i="10"/>
  <c r="BD101" i="10"/>
  <c r="AW101" i="10"/>
  <c r="AO101" i="10"/>
  <c r="BS101" i="10" s="1"/>
  <c r="AB101" i="10"/>
  <c r="E101" i="10"/>
  <c r="BS100" i="10"/>
  <c r="BM100" i="10"/>
  <c r="BL100" i="10"/>
  <c r="BD100" i="10"/>
  <c r="AW100" i="10"/>
  <c r="AO100" i="10"/>
  <c r="BV100" i="10" s="1"/>
  <c r="AB100" i="10"/>
  <c r="E100" i="10"/>
  <c r="BV99" i="10"/>
  <c r="BM99" i="10"/>
  <c r="BL99" i="10"/>
  <c r="BD99" i="10"/>
  <c r="AW99" i="10"/>
  <c r="AO99" i="10"/>
  <c r="BS99" i="10" s="1"/>
  <c r="AB99" i="10"/>
  <c r="E99" i="10"/>
  <c r="BV98" i="10"/>
  <c r="BS98" i="10"/>
  <c r="BM98" i="10"/>
  <c r="BL98" i="10"/>
  <c r="BD98" i="10"/>
  <c r="AW98" i="10"/>
  <c r="AO98" i="10"/>
  <c r="AB98" i="10"/>
  <c r="E98" i="10"/>
  <c r="BM97" i="10"/>
  <c r="BL97" i="10"/>
  <c r="BD97" i="10"/>
  <c r="AW97" i="10"/>
  <c r="AO97" i="10"/>
  <c r="BV97" i="10" s="1"/>
  <c r="AB97" i="10"/>
  <c r="E97" i="10"/>
  <c r="BV96" i="10"/>
  <c r="BS96" i="10"/>
  <c r="BM96" i="10"/>
  <c r="BL96" i="10"/>
  <c r="BD96" i="10"/>
  <c r="AW96" i="10"/>
  <c r="AO96" i="10"/>
  <c r="AB96" i="10"/>
  <c r="E96" i="10"/>
  <c r="BM95" i="10"/>
  <c r="BL95" i="10"/>
  <c r="BD95" i="10"/>
  <c r="AW95" i="10"/>
  <c r="AO95" i="10"/>
  <c r="BV95" i="10" s="1"/>
  <c r="AB95" i="10"/>
  <c r="E95" i="10"/>
  <c r="BM94" i="10"/>
  <c r="BL94" i="10"/>
  <c r="BD94" i="10"/>
  <c r="AW94" i="10"/>
  <c r="AO94" i="10"/>
  <c r="BV94" i="10" s="1"/>
  <c r="AB94" i="10"/>
  <c r="E94" i="10"/>
  <c r="BV93" i="10"/>
  <c r="BM93" i="10"/>
  <c r="BL93" i="10"/>
  <c r="BD93" i="10"/>
  <c r="AW93" i="10"/>
  <c r="AO93" i="10"/>
  <c r="BS93" i="10" s="1"/>
  <c r="AB93" i="10"/>
  <c r="E93" i="10"/>
  <c r="BS92" i="10"/>
  <c r="BM92" i="10"/>
  <c r="BL92" i="10"/>
  <c r="BD92" i="10"/>
  <c r="AW92" i="10"/>
  <c r="AO92" i="10"/>
  <c r="BV92" i="10" s="1"/>
  <c r="AB92" i="10"/>
  <c r="E92" i="10"/>
  <c r="BM91" i="10"/>
  <c r="BL91" i="10"/>
  <c r="BD91" i="10"/>
  <c r="AW91" i="10"/>
  <c r="AO91" i="10"/>
  <c r="BS91" i="10" s="1"/>
  <c r="AB91" i="10"/>
  <c r="E91" i="10"/>
  <c r="BV90" i="10"/>
  <c r="BS90" i="10"/>
  <c r="BM90" i="10"/>
  <c r="BL90" i="10"/>
  <c r="BD90" i="10"/>
  <c r="AW90" i="10"/>
  <c r="AO90" i="10"/>
  <c r="AB90" i="10"/>
  <c r="E90" i="10"/>
  <c r="BM89" i="10"/>
  <c r="BL89" i="10"/>
  <c r="BD89" i="10"/>
  <c r="AW89" i="10"/>
  <c r="AO89" i="10"/>
  <c r="BV89" i="10" s="1"/>
  <c r="AB89" i="10"/>
  <c r="E89" i="10"/>
  <c r="BV88" i="10"/>
  <c r="BS88" i="10"/>
  <c r="BM88" i="10"/>
  <c r="BL88" i="10"/>
  <c r="BD88" i="10"/>
  <c r="AW88" i="10"/>
  <c r="AO88" i="10"/>
  <c r="AB88" i="10"/>
  <c r="E88" i="10"/>
  <c r="BM87" i="10"/>
  <c r="BL87" i="10"/>
  <c r="BD87" i="10"/>
  <c r="AW87" i="10"/>
  <c r="AO87" i="10"/>
  <c r="BV87" i="10" s="1"/>
  <c r="AB87" i="10"/>
  <c r="E87" i="10"/>
  <c r="BM86" i="10"/>
  <c r="BL86" i="10"/>
  <c r="BD86" i="10"/>
  <c r="AW86" i="10"/>
  <c r="AO86" i="10"/>
  <c r="BV86" i="10" s="1"/>
  <c r="AB86" i="10"/>
  <c r="E86" i="10"/>
  <c r="BV85" i="10"/>
  <c r="BM85" i="10"/>
  <c r="BL85" i="10"/>
  <c r="BD85" i="10"/>
  <c r="AW85" i="10"/>
  <c r="AO85" i="10"/>
  <c r="BS85" i="10" s="1"/>
  <c r="AB85" i="10"/>
  <c r="E85" i="10"/>
  <c r="BS84" i="10"/>
  <c r="BM84" i="10"/>
  <c r="BL84" i="10"/>
  <c r="BD84" i="10"/>
  <c r="AW84" i="10"/>
  <c r="AO84" i="10"/>
  <c r="BV84" i="10" s="1"/>
  <c r="AB84" i="10"/>
  <c r="E84" i="10"/>
  <c r="BM83" i="10"/>
  <c r="BL83" i="10"/>
  <c r="BD83" i="10"/>
  <c r="AW83" i="10"/>
  <c r="AO83" i="10"/>
  <c r="BS83" i="10" s="1"/>
  <c r="AB83" i="10"/>
  <c r="E83" i="10"/>
  <c r="BV82" i="10"/>
  <c r="BS82" i="10"/>
  <c r="BM82" i="10"/>
  <c r="BL82" i="10"/>
  <c r="BD82" i="10"/>
  <c r="AW82" i="10"/>
  <c r="AO82" i="10"/>
  <c r="AB82" i="10"/>
  <c r="E82" i="10"/>
  <c r="BS81" i="10"/>
  <c r="BM81" i="10"/>
  <c r="BL81" i="10"/>
  <c r="BD81" i="10"/>
  <c r="AW81" i="10"/>
  <c r="AO81" i="10"/>
  <c r="BV81" i="10" s="1"/>
  <c r="AB81" i="10"/>
  <c r="E81" i="10"/>
  <c r="BV80" i="10"/>
  <c r="BS80" i="10"/>
  <c r="BM80" i="10"/>
  <c r="BL80" i="10"/>
  <c r="BD80" i="10"/>
  <c r="AW80" i="10"/>
  <c r="AO80" i="10"/>
  <c r="AB80" i="10"/>
  <c r="E80" i="10"/>
  <c r="BM79" i="10"/>
  <c r="BL79" i="10"/>
  <c r="BD79" i="10"/>
  <c r="AW79" i="10"/>
  <c r="AO79" i="10"/>
  <c r="AB79" i="10"/>
  <c r="E79" i="10"/>
  <c r="BS78" i="10"/>
  <c r="BM78" i="10"/>
  <c r="BL78" i="10"/>
  <c r="BD78" i="10"/>
  <c r="AW78" i="10"/>
  <c r="AO78" i="10"/>
  <c r="BV78" i="10" s="1"/>
  <c r="AB78" i="10"/>
  <c r="E78" i="10"/>
  <c r="BV77" i="10"/>
  <c r="BM77" i="10"/>
  <c r="BL77" i="10"/>
  <c r="BD77" i="10"/>
  <c r="AW77" i="10"/>
  <c r="AO77" i="10"/>
  <c r="BS77" i="10" s="1"/>
  <c r="AB77" i="10"/>
  <c r="E77" i="10"/>
  <c r="BS76" i="10"/>
  <c r="BM76" i="10"/>
  <c r="BL76" i="10"/>
  <c r="BD76" i="10"/>
  <c r="AW76" i="10"/>
  <c r="AO76" i="10"/>
  <c r="BV76" i="10" s="1"/>
  <c r="AB76" i="10"/>
  <c r="E76" i="10"/>
  <c r="BV75" i="10"/>
  <c r="BM75" i="10"/>
  <c r="BL75" i="10"/>
  <c r="BD75" i="10"/>
  <c r="AW75" i="10"/>
  <c r="AO75" i="10"/>
  <c r="BS75" i="10" s="1"/>
  <c r="AB75" i="10"/>
  <c r="E75" i="10"/>
  <c r="BV74" i="10"/>
  <c r="BS74" i="10"/>
  <c r="BM74" i="10"/>
  <c r="BL74" i="10"/>
  <c r="BD74" i="10"/>
  <c r="AW74" i="10"/>
  <c r="AO74" i="10"/>
  <c r="AB74" i="10"/>
  <c r="E74" i="10"/>
  <c r="BV73" i="10"/>
  <c r="BS73" i="10"/>
  <c r="BM73" i="10"/>
  <c r="BL73" i="10"/>
  <c r="BD73" i="10"/>
  <c r="AW73" i="10"/>
  <c r="AO73" i="10"/>
  <c r="AB73" i="10"/>
  <c r="E73" i="10"/>
  <c r="BV72" i="10"/>
  <c r="BS72" i="10"/>
  <c r="BM72" i="10"/>
  <c r="BL72" i="10"/>
  <c r="BD72" i="10"/>
  <c r="AW72" i="10"/>
  <c r="AO72" i="10"/>
  <c r="AB72" i="10"/>
  <c r="E72" i="10"/>
  <c r="BM71" i="10"/>
  <c r="BL71" i="10"/>
  <c r="BD71" i="10"/>
  <c r="AW71" i="10"/>
  <c r="AO71" i="10"/>
  <c r="AB71" i="10"/>
  <c r="E71" i="10"/>
  <c r="BS70" i="10"/>
  <c r="BM70" i="10"/>
  <c r="BL70" i="10"/>
  <c r="BD70" i="10"/>
  <c r="AW70" i="10"/>
  <c r="AO70" i="10"/>
  <c r="BV70" i="10" s="1"/>
  <c r="AB70" i="10"/>
  <c r="E70" i="10"/>
  <c r="BV69" i="10"/>
  <c r="BM69" i="10"/>
  <c r="BL69" i="10"/>
  <c r="BD69" i="10"/>
  <c r="AW69" i="10"/>
  <c r="AO69" i="10"/>
  <c r="BS69" i="10" s="1"/>
  <c r="AB69" i="10"/>
  <c r="E69" i="10"/>
  <c r="BS68" i="10"/>
  <c r="BM68" i="10"/>
  <c r="BL68" i="10"/>
  <c r="BD68" i="10"/>
  <c r="AW68" i="10"/>
  <c r="AO68" i="10"/>
  <c r="BV68" i="10" s="1"/>
  <c r="AB68" i="10"/>
  <c r="E68" i="10"/>
  <c r="BV67" i="10"/>
  <c r="BM67" i="10"/>
  <c r="BL67" i="10"/>
  <c r="BD67" i="10"/>
  <c r="AW67" i="10"/>
  <c r="AO67" i="10"/>
  <c r="BS67" i="10" s="1"/>
  <c r="AB67" i="10"/>
  <c r="E67" i="10"/>
  <c r="BV66" i="10"/>
  <c r="BS66" i="10"/>
  <c r="BM66" i="10"/>
  <c r="BL66" i="10"/>
  <c r="BD66" i="10"/>
  <c r="AW66" i="10"/>
  <c r="AO66" i="10"/>
  <c r="AB66" i="10"/>
  <c r="E66" i="10"/>
  <c r="BS65" i="10"/>
  <c r="BM65" i="10"/>
  <c r="BL65" i="10"/>
  <c r="BD65" i="10"/>
  <c r="AW65" i="10"/>
  <c r="AO65" i="10"/>
  <c r="BV65" i="10" s="1"/>
  <c r="AB65" i="10"/>
  <c r="E65" i="10"/>
  <c r="BV64" i="10"/>
  <c r="BS64" i="10"/>
  <c r="BM64" i="10"/>
  <c r="BL64" i="10"/>
  <c r="BD64" i="10"/>
  <c r="AW64" i="10"/>
  <c r="AO64" i="10"/>
  <c r="AB64" i="10"/>
  <c r="E64" i="10"/>
  <c r="BM63" i="10"/>
  <c r="BL63" i="10"/>
  <c r="BD63" i="10"/>
  <c r="AW63" i="10"/>
  <c r="AO63" i="10"/>
  <c r="AB63" i="10"/>
  <c r="E63" i="10"/>
  <c r="BS62" i="10"/>
  <c r="BM62" i="10"/>
  <c r="BL62" i="10"/>
  <c r="BD62" i="10"/>
  <c r="AW62" i="10"/>
  <c r="AO62" i="10"/>
  <c r="BV62" i="10" s="1"/>
  <c r="AB62" i="10"/>
  <c r="E62" i="10"/>
  <c r="BV61" i="10"/>
  <c r="BM61" i="10"/>
  <c r="BL61" i="10"/>
  <c r="BD61" i="10"/>
  <c r="AW61" i="10"/>
  <c r="AO61" i="10"/>
  <c r="BS61" i="10" s="1"/>
  <c r="AB61" i="10"/>
  <c r="E61" i="10"/>
  <c r="BS60" i="10"/>
  <c r="BM60" i="10"/>
  <c r="BL60" i="10"/>
  <c r="BD60" i="10"/>
  <c r="AW60" i="10"/>
  <c r="AO60" i="10"/>
  <c r="BV60" i="10" s="1"/>
  <c r="AB60" i="10"/>
  <c r="E60" i="10"/>
  <c r="BV59" i="10"/>
  <c r="BM59" i="10"/>
  <c r="BL59" i="10"/>
  <c r="BD59" i="10"/>
  <c r="AW59" i="10"/>
  <c r="AO59" i="10"/>
  <c r="BS59" i="10" s="1"/>
  <c r="AB59" i="10"/>
  <c r="E59" i="10"/>
  <c r="BV58" i="10"/>
  <c r="BS58" i="10"/>
  <c r="BM58" i="10"/>
  <c r="BL58" i="10"/>
  <c r="BD58" i="10"/>
  <c r="AW58" i="10"/>
  <c r="AO58" i="10"/>
  <c r="AB58" i="10"/>
  <c r="E58" i="10"/>
  <c r="BM57" i="10"/>
  <c r="BL57" i="10"/>
  <c r="BD57" i="10"/>
  <c r="AW57" i="10"/>
  <c r="AO57" i="10"/>
  <c r="BV57" i="10" s="1"/>
  <c r="AB57" i="10"/>
  <c r="E57" i="10"/>
  <c r="BV56" i="10"/>
  <c r="BS56" i="10"/>
  <c r="BM56" i="10"/>
  <c r="BL56" i="10"/>
  <c r="BD56" i="10"/>
  <c r="AW56" i="10"/>
  <c r="AO56" i="10"/>
  <c r="AB56" i="10"/>
  <c r="E56" i="10"/>
  <c r="BM55" i="10"/>
  <c r="BL55" i="10"/>
  <c r="BD55" i="10"/>
  <c r="AW55" i="10"/>
  <c r="AO55" i="10"/>
  <c r="BS55" i="10" s="1"/>
  <c r="AB55" i="10"/>
  <c r="E55" i="10"/>
  <c r="BM54" i="10"/>
  <c r="BL54" i="10"/>
  <c r="BD54" i="10"/>
  <c r="AW54" i="10"/>
  <c r="AO54" i="10"/>
  <c r="BV54" i="10" s="1"/>
  <c r="AB54" i="10"/>
  <c r="E54" i="10"/>
  <c r="BM53" i="10"/>
  <c r="BL53" i="10"/>
  <c r="BD53" i="10"/>
  <c r="AW53" i="10"/>
  <c r="AO53" i="10"/>
  <c r="BS53" i="10" s="1"/>
  <c r="AB53" i="10"/>
  <c r="E53" i="10"/>
  <c r="BS52" i="10"/>
  <c r="BM52" i="10"/>
  <c r="BL52" i="10"/>
  <c r="BD52" i="10"/>
  <c r="AW52" i="10"/>
  <c r="AO52" i="10"/>
  <c r="BV52" i="10" s="1"/>
  <c r="AB52" i="10"/>
  <c r="E52" i="10"/>
  <c r="BM51" i="10"/>
  <c r="BL51" i="10"/>
  <c r="BD51" i="10"/>
  <c r="AW51" i="10"/>
  <c r="AO51" i="10"/>
  <c r="BS51" i="10" s="1"/>
  <c r="AB51" i="10"/>
  <c r="E51" i="10"/>
  <c r="BV50" i="10"/>
  <c r="BS50" i="10"/>
  <c r="BM50" i="10"/>
  <c r="BL50" i="10"/>
  <c r="BD50" i="10"/>
  <c r="AW50" i="10"/>
  <c r="AO50" i="10"/>
  <c r="AB50" i="10"/>
  <c r="E50" i="10"/>
  <c r="BV49" i="10"/>
  <c r="BS49" i="10"/>
  <c r="BM49" i="10"/>
  <c r="BL49" i="10"/>
  <c r="BD49" i="10"/>
  <c r="AW49" i="10"/>
  <c r="AO49" i="10"/>
  <c r="AB49" i="10"/>
  <c r="E49" i="10"/>
  <c r="BV48" i="10"/>
  <c r="BS48" i="10"/>
  <c r="BM48" i="10"/>
  <c r="BL48" i="10"/>
  <c r="BD48" i="10"/>
  <c r="AW48" i="10"/>
  <c r="AO48" i="10"/>
  <c r="AB48" i="10"/>
  <c r="E48" i="10"/>
  <c r="BV47" i="10"/>
  <c r="BM47" i="10"/>
  <c r="BL47" i="10"/>
  <c r="BD47" i="10"/>
  <c r="AW47" i="10"/>
  <c r="AO47" i="10"/>
  <c r="BS47" i="10" s="1"/>
  <c r="AB47" i="10"/>
  <c r="E47" i="10"/>
  <c r="BS46" i="10"/>
  <c r="BM46" i="10"/>
  <c r="BL46" i="10"/>
  <c r="BD46" i="10"/>
  <c r="AW46" i="10"/>
  <c r="AO46" i="10"/>
  <c r="BV46" i="10" s="1"/>
  <c r="AB46" i="10"/>
  <c r="E46" i="10"/>
  <c r="BV45" i="10"/>
  <c r="BM45" i="10"/>
  <c r="BL45" i="10"/>
  <c r="BD45" i="10"/>
  <c r="AW45" i="10"/>
  <c r="AO45" i="10"/>
  <c r="BS45" i="10" s="1"/>
  <c r="AB45" i="10"/>
  <c r="E45" i="10"/>
  <c r="BS44" i="10"/>
  <c r="BM44" i="10"/>
  <c r="BL44" i="10"/>
  <c r="BD44" i="10"/>
  <c r="AW44" i="10"/>
  <c r="AO44" i="10"/>
  <c r="BV44" i="10" s="1"/>
  <c r="AB44" i="10"/>
  <c r="E44" i="10"/>
  <c r="BV43" i="10"/>
  <c r="BM43" i="10"/>
  <c r="BL43" i="10"/>
  <c r="BD43" i="10"/>
  <c r="AW43" i="10"/>
  <c r="AO43" i="10"/>
  <c r="BS43" i="10" s="1"/>
  <c r="AB43" i="10"/>
  <c r="E43" i="10"/>
  <c r="BV42" i="10"/>
  <c r="BS42" i="10"/>
  <c r="BM42" i="10"/>
  <c r="BL42" i="10"/>
  <c r="BD42" i="10"/>
  <c r="AW42" i="10"/>
  <c r="AO42" i="10"/>
  <c r="AB42" i="10"/>
  <c r="E42" i="10"/>
  <c r="BS41" i="10"/>
  <c r="BM41" i="10"/>
  <c r="BL41" i="10"/>
  <c r="BD41" i="10"/>
  <c r="AW41" i="10"/>
  <c r="AO41" i="10"/>
  <c r="BV41" i="10" s="1"/>
  <c r="AB41" i="10"/>
  <c r="E41" i="10"/>
  <c r="BV40" i="10"/>
  <c r="BS40" i="10"/>
  <c r="BM40" i="10"/>
  <c r="BL40" i="10"/>
  <c r="BD40" i="10"/>
  <c r="AW40" i="10"/>
  <c r="AO40" i="10"/>
  <c r="AB40" i="10"/>
  <c r="E40" i="10"/>
  <c r="BM39" i="10"/>
  <c r="BL39" i="10"/>
  <c r="BD39" i="10"/>
  <c r="AW39" i="10"/>
  <c r="AO39" i="10"/>
  <c r="BS39" i="10" s="1"/>
  <c r="AB39" i="10"/>
  <c r="E39" i="10"/>
  <c r="BM38" i="10"/>
  <c r="BL38" i="10"/>
  <c r="BD38" i="10"/>
  <c r="AW38" i="10"/>
  <c r="AO38" i="10"/>
  <c r="BV38" i="10" s="1"/>
  <c r="AB38" i="10"/>
  <c r="E38" i="10"/>
  <c r="BM37" i="10"/>
  <c r="BL37" i="10"/>
  <c r="BD37" i="10"/>
  <c r="AW37" i="10"/>
  <c r="AO37" i="10"/>
  <c r="BS37" i="10" s="1"/>
  <c r="AB37" i="10"/>
  <c r="E37" i="10"/>
  <c r="BS36" i="10"/>
  <c r="BM36" i="10"/>
  <c r="BL36" i="10"/>
  <c r="BD36" i="10"/>
  <c r="AW36" i="10"/>
  <c r="AO36" i="10"/>
  <c r="BV36" i="10" s="1"/>
  <c r="AB36" i="10"/>
  <c r="E36" i="10"/>
  <c r="BM35" i="10"/>
  <c r="BL35" i="10"/>
  <c r="BD35" i="10"/>
  <c r="AW35" i="10"/>
  <c r="AO35" i="10"/>
  <c r="BS35" i="10" s="1"/>
  <c r="AB35" i="10"/>
  <c r="E35" i="10"/>
  <c r="BV34" i="10"/>
  <c r="BS34" i="10"/>
  <c r="BM34" i="10"/>
  <c r="BL34" i="10"/>
  <c r="BD34" i="10"/>
  <c r="AW34" i="10"/>
  <c r="AO34" i="10"/>
  <c r="AB34" i="10"/>
  <c r="E34" i="10"/>
  <c r="BM33" i="10"/>
  <c r="BL33" i="10"/>
  <c r="BD33" i="10"/>
  <c r="AW33" i="10"/>
  <c r="AO33" i="10"/>
  <c r="BV33" i="10" s="1"/>
  <c r="AB33" i="10"/>
  <c r="E33" i="10"/>
  <c r="BV32" i="10"/>
  <c r="BS32" i="10"/>
  <c r="BM32" i="10"/>
  <c r="BL32" i="10"/>
  <c r="BD32" i="10"/>
  <c r="AW32" i="10"/>
  <c r="AO32" i="10"/>
  <c r="AB32" i="10"/>
  <c r="E32" i="10"/>
  <c r="BV31" i="10"/>
  <c r="BM31" i="10"/>
  <c r="BL31" i="10"/>
  <c r="BD31" i="10"/>
  <c r="AW31" i="10"/>
  <c r="AO31" i="10"/>
  <c r="BS31" i="10" s="1"/>
  <c r="AB31" i="10"/>
  <c r="E31" i="10"/>
  <c r="BS30" i="10"/>
  <c r="BM30" i="10"/>
  <c r="BL30" i="10"/>
  <c r="BD30" i="10"/>
  <c r="AW30" i="10"/>
  <c r="AO30" i="10"/>
  <c r="BV30" i="10" s="1"/>
  <c r="AB30" i="10"/>
  <c r="E30" i="10"/>
  <c r="BV29" i="10"/>
  <c r="BM29" i="10"/>
  <c r="BL29" i="10"/>
  <c r="BD29" i="10"/>
  <c r="AW29" i="10"/>
  <c r="AO29" i="10"/>
  <c r="BS29" i="10" s="1"/>
  <c r="AB29" i="10"/>
  <c r="E29" i="10"/>
  <c r="BS28" i="10"/>
  <c r="BM28" i="10"/>
  <c r="BL28" i="10"/>
  <c r="BD28" i="10"/>
  <c r="AW28" i="10"/>
  <c r="AO28" i="10"/>
  <c r="BV28" i="10" s="1"/>
  <c r="AB28" i="10"/>
  <c r="E28" i="10"/>
  <c r="BV27" i="10"/>
  <c r="BS27" i="10"/>
  <c r="BM27" i="10"/>
  <c r="BL27" i="10"/>
  <c r="BD27" i="10"/>
  <c r="AW27" i="10"/>
  <c r="AO27" i="10"/>
  <c r="AB27" i="10"/>
  <c r="E27" i="10"/>
  <c r="BV26" i="10"/>
  <c r="BS26" i="10"/>
  <c r="BM26" i="10"/>
  <c r="BL26" i="10"/>
  <c r="BD26" i="10"/>
  <c r="AW26" i="10"/>
  <c r="AO26" i="10"/>
  <c r="AB26" i="10"/>
  <c r="E26" i="10"/>
  <c r="BV25" i="10"/>
  <c r="BM25" i="10"/>
  <c r="BL25" i="10"/>
  <c r="BD25" i="10"/>
  <c r="AW25" i="10"/>
  <c r="AO25" i="10"/>
  <c r="BS25" i="10" s="1"/>
  <c r="AB25" i="10"/>
  <c r="E25" i="10"/>
  <c r="BS24" i="10"/>
  <c r="BM24" i="10"/>
  <c r="BL24" i="10"/>
  <c r="BD24" i="10"/>
  <c r="AW24" i="10"/>
  <c r="AO24" i="10"/>
  <c r="BV24" i="10" s="1"/>
  <c r="AB24" i="10"/>
  <c r="E24" i="10"/>
  <c r="BM23" i="10"/>
  <c r="BL23" i="10"/>
  <c r="BD23" i="10"/>
  <c r="AW23" i="10"/>
  <c r="AO23" i="10"/>
  <c r="BV23" i="10" s="1"/>
  <c r="AB23" i="10"/>
  <c r="E23" i="10"/>
  <c r="BM22" i="10"/>
  <c r="BL22" i="10"/>
  <c r="BD22" i="10"/>
  <c r="AW22" i="10"/>
  <c r="AO22" i="10"/>
  <c r="BV22" i="10" s="1"/>
  <c r="AB22" i="10"/>
  <c r="E22" i="10"/>
  <c r="BM21" i="10"/>
  <c r="BL21" i="10"/>
  <c r="BD21" i="10"/>
  <c r="AW21" i="10"/>
  <c r="AO21" i="10"/>
  <c r="BS21" i="10" s="1"/>
  <c r="AB21" i="10"/>
  <c r="E21" i="10"/>
  <c r="BM20" i="10"/>
  <c r="BL20" i="10"/>
  <c r="BD20" i="10"/>
  <c r="AW20" i="10"/>
  <c r="AO20" i="10"/>
  <c r="BV20" i="10" s="1"/>
  <c r="AB20" i="10"/>
  <c r="E20" i="10"/>
  <c r="BS19" i="10"/>
  <c r="BM19" i="10"/>
  <c r="BL19" i="10"/>
  <c r="BD19" i="10"/>
  <c r="AW19" i="10"/>
  <c r="AO19" i="10"/>
  <c r="BV19" i="10" s="1"/>
  <c r="AB19" i="10"/>
  <c r="E19" i="10"/>
  <c r="BV18" i="10"/>
  <c r="BS18" i="10"/>
  <c r="BM18" i="10"/>
  <c r="BL18" i="10"/>
  <c r="BD18" i="10"/>
  <c r="AW18" i="10"/>
  <c r="AO18" i="10"/>
  <c r="AB18" i="10"/>
  <c r="E18" i="10"/>
  <c r="BV17" i="10"/>
  <c r="BS17" i="10"/>
  <c r="BM17" i="10"/>
  <c r="BL17" i="10"/>
  <c r="BD17" i="10"/>
  <c r="AW17" i="10"/>
  <c r="AO17" i="10"/>
  <c r="AB17" i="10"/>
  <c r="E17" i="10"/>
  <c r="BV16" i="10"/>
  <c r="BM16" i="10"/>
  <c r="BL16" i="10"/>
  <c r="BD16" i="10"/>
  <c r="AW16" i="10"/>
  <c r="AO16" i="10"/>
  <c r="BS16" i="10" s="1"/>
  <c r="AB16" i="10"/>
  <c r="E16" i="10"/>
  <c r="BS15" i="10"/>
  <c r="BM15" i="10"/>
  <c r="BL15" i="10"/>
  <c r="BD15" i="10"/>
  <c r="AW15" i="10"/>
  <c r="AO15" i="10"/>
  <c r="BV15" i="10" s="1"/>
  <c r="AB15" i="10"/>
  <c r="E15" i="10"/>
  <c r="BM14" i="10"/>
  <c r="BL14" i="10"/>
  <c r="BD14" i="10"/>
  <c r="AW14" i="10"/>
  <c r="AO14" i="10"/>
  <c r="BV14" i="10" s="1"/>
  <c r="AB14" i="10"/>
  <c r="E14" i="10"/>
  <c r="BM13" i="10"/>
  <c r="BL13" i="10"/>
  <c r="BD13" i="10"/>
  <c r="AW13" i="10"/>
  <c r="AO13" i="10"/>
  <c r="BV13" i="10" s="1"/>
  <c r="AB13" i="10"/>
  <c r="E13" i="10"/>
  <c r="BM12" i="10"/>
  <c r="BL12" i="10"/>
  <c r="BD12" i="10"/>
  <c r="AW12" i="10"/>
  <c r="AO12" i="10"/>
  <c r="BV12" i="10" s="1"/>
  <c r="AB12" i="10"/>
  <c r="E12" i="10"/>
  <c r="BS11" i="10"/>
  <c r="BM11" i="10"/>
  <c r="BL11" i="10"/>
  <c r="BD11" i="10"/>
  <c r="AW11" i="10"/>
  <c r="AO11" i="10"/>
  <c r="BV11" i="10" s="1"/>
  <c r="AB11" i="10"/>
  <c r="E11" i="10"/>
  <c r="BV10" i="10"/>
  <c r="BS10" i="10"/>
  <c r="BM10" i="10"/>
  <c r="BL10" i="10"/>
  <c r="BD10" i="10"/>
  <c r="AW10" i="10"/>
  <c r="AO10" i="10"/>
  <c r="AB10" i="10"/>
  <c r="E10" i="10"/>
  <c r="BV9" i="10"/>
  <c r="BS9" i="10"/>
  <c r="BM9" i="10"/>
  <c r="BL9" i="10"/>
  <c r="BD9" i="10"/>
  <c r="AW9" i="10"/>
  <c r="AO9" i="10"/>
  <c r="AB9" i="10"/>
  <c r="E9" i="10"/>
  <c r="BV8" i="10"/>
  <c r="BM8" i="10"/>
  <c r="BL8" i="10"/>
  <c r="BD8" i="10"/>
  <c r="AW8" i="10"/>
  <c r="AO8" i="10"/>
  <c r="BS8" i="10" s="1"/>
  <c r="AB8" i="10"/>
  <c r="E8" i="10"/>
  <c r="BS7" i="10"/>
  <c r="BM7" i="10"/>
  <c r="BL7" i="10"/>
  <c r="BD7" i="10"/>
  <c r="AW7" i="10"/>
  <c r="AO7" i="10"/>
  <c r="BV7" i="10" s="1"/>
  <c r="AB7" i="10"/>
  <c r="E7" i="10"/>
  <c r="BM6" i="10"/>
  <c r="BL6" i="10"/>
  <c r="BD6" i="10"/>
  <c r="AW6" i="10"/>
  <c r="AO6" i="10"/>
  <c r="BV6" i="10" s="1"/>
  <c r="AB6" i="10"/>
  <c r="E6" i="10"/>
  <c r="BP3" i="10"/>
  <c r="BK3" i="10"/>
  <c r="AH3" i="10"/>
  <c r="I3" i="10"/>
  <c r="G3" i="10" a="1"/>
  <c r="G3" i="10" s="1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2" i="7"/>
  <c r="D2" i="7" a="1"/>
  <c r="D2" i="7" s="1"/>
  <c r="C2" i="7" a="1"/>
  <c r="C2" i="7" s="1"/>
  <c r="B2" i="7" a="1"/>
  <c r="B2" i="7" s="1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8" i="6"/>
  <c r="I7" i="6"/>
  <c r="J7" i="6" s="1"/>
  <c r="J6" i="6"/>
  <c r="I6" i="6"/>
  <c r="I5" i="6"/>
  <c r="J5" i="6" s="1"/>
  <c r="A5" i="6"/>
  <c r="A6" i="6" s="1"/>
  <c r="A7" i="6" s="1"/>
  <c r="A8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I4" i="6"/>
  <c r="J4" i="6" s="1"/>
  <c r="A4" i="6"/>
  <c r="I3" i="6"/>
  <c r="J3" i="6" s="1"/>
  <c r="A3" i="6"/>
  <c r="J2" i="6"/>
  <c r="A18" i="2"/>
  <c r="A19" i="2" s="1"/>
  <c r="BV63" i="10" l="1"/>
  <c r="BS63" i="10"/>
  <c r="BV113" i="10"/>
  <c r="BS113" i="10"/>
  <c r="BV137" i="10"/>
  <c r="BS137" i="10"/>
  <c r="BV145" i="10"/>
  <c r="BS145" i="10"/>
  <c r="BV153" i="10"/>
  <c r="BS153" i="10"/>
  <c r="BV169" i="10"/>
  <c r="BS169" i="10"/>
  <c r="BV201" i="10"/>
  <c r="BS201" i="10"/>
  <c r="BV209" i="10"/>
  <c r="BS209" i="10"/>
  <c r="BV217" i="10"/>
  <c r="BS217" i="10"/>
  <c r="BV225" i="10"/>
  <c r="BS225" i="10"/>
  <c r="BV233" i="10"/>
  <c r="BS233" i="10"/>
  <c r="BV241" i="10"/>
  <c r="BS241" i="10"/>
  <c r="BV249" i="10"/>
  <c r="BS249" i="10"/>
  <c r="BV257" i="10"/>
  <c r="BS257" i="10"/>
  <c r="BV265" i="10"/>
  <c r="BS265" i="10"/>
  <c r="BV273" i="10"/>
  <c r="BS273" i="10"/>
  <c r="BV281" i="10"/>
  <c r="BS281" i="10"/>
  <c r="BV289" i="10"/>
  <c r="BS289" i="10"/>
  <c r="BV297" i="10"/>
  <c r="BS297" i="10"/>
  <c r="BV305" i="10"/>
  <c r="BS305" i="10"/>
  <c r="BV313" i="10"/>
  <c r="BS313" i="10"/>
  <c r="BV321" i="10"/>
  <c r="BS321" i="10"/>
  <c r="BV329" i="10"/>
  <c r="BS329" i="10"/>
  <c r="BV337" i="10"/>
  <c r="BS337" i="10"/>
  <c r="BS12" i="10"/>
  <c r="BS20" i="10"/>
  <c r="BS33" i="10"/>
  <c r="BV51" i="10"/>
  <c r="BV53" i="10"/>
  <c r="BS54" i="10"/>
  <c r="BV55" i="10"/>
  <c r="BV71" i="10"/>
  <c r="BS71" i="10"/>
  <c r="BS13" i="10"/>
  <c r="BV21" i="10"/>
  <c r="BS22" i="10"/>
  <c r="BS57" i="10"/>
  <c r="BV83" i="10"/>
  <c r="BS86" i="10"/>
  <c r="BS89" i="10"/>
  <c r="BV360" i="10"/>
  <c r="BS360" i="10"/>
  <c r="BV121" i="10"/>
  <c r="BS121" i="10"/>
  <c r="BV129" i="10"/>
  <c r="BS129" i="10"/>
  <c r="BV161" i="10"/>
  <c r="BS161" i="10"/>
  <c r="BV177" i="10"/>
  <c r="BS177" i="10"/>
  <c r="BV185" i="10"/>
  <c r="BS185" i="10"/>
  <c r="BV193" i="10"/>
  <c r="BS193" i="10"/>
  <c r="BS6" i="10"/>
  <c r="BS14" i="10"/>
  <c r="BS23" i="10"/>
  <c r="BV35" i="10"/>
  <c r="BV37" i="10"/>
  <c r="BS38" i="10"/>
  <c r="BV39" i="10"/>
  <c r="BV79" i="10"/>
  <c r="BS79" i="10"/>
  <c r="BV91" i="10"/>
  <c r="BS94" i="10"/>
  <c r="BS97" i="10"/>
  <c r="BV352" i="10"/>
  <c r="BS352" i="10"/>
  <c r="BV107" i="10"/>
  <c r="BV115" i="10"/>
  <c r="BV123" i="10"/>
  <c r="BV131" i="10"/>
  <c r="BV139" i="10"/>
  <c r="BV147" i="10"/>
  <c r="BV155" i="10"/>
  <c r="BV163" i="10"/>
  <c r="BV171" i="10"/>
  <c r="BV179" i="10"/>
  <c r="BS87" i="10"/>
  <c r="BS95" i="10"/>
  <c r="BS103" i="10"/>
  <c r="BS111" i="10"/>
  <c r="BS119" i="10"/>
  <c r="BS127" i="10"/>
  <c r="BS135" i="10"/>
  <c r="BS143" i="10"/>
  <c r="BS151" i="10"/>
  <c r="BS159" i="10"/>
  <c r="BS167" i="10"/>
  <c r="BS175" i="10"/>
  <c r="BS183" i="10"/>
  <c r="BS191" i="10"/>
  <c r="BS199" i="10"/>
  <c r="BS207" i="10"/>
  <c r="BS215" i="10"/>
  <c r="BS223" i="10"/>
  <c r="BS231" i="10"/>
  <c r="BS239" i="10"/>
  <c r="BS247" i="10"/>
  <c r="BS255" i="10"/>
  <c r="BS263" i="10"/>
  <c r="BS271" i="10"/>
  <c r="BS279" i="10"/>
  <c r="BS287" i="10"/>
  <c r="BS295" i="10"/>
  <c r="BS303" i="10"/>
  <c r="BS311" i="10"/>
  <c r="BS319" i="10"/>
  <c r="BS327" i="10"/>
  <c r="BS335" i="10"/>
  <c r="BS343" i="10"/>
  <c r="BS358" i="10"/>
  <c r="BS359" i="10"/>
  <c r="BS361" i="10"/>
</calcChain>
</file>

<file path=xl/sharedStrings.xml><?xml version="1.0" encoding="utf-8"?>
<sst xmlns="http://schemas.openxmlformats.org/spreadsheetml/2006/main" count="13752" uniqueCount="4470">
  <si>
    <t>Data Before</t>
  </si>
  <si>
    <t>RF 1</t>
  </si>
  <si>
    <t>RF 2</t>
  </si>
  <si>
    <t>RF 3</t>
  </si>
  <si>
    <t>RF 4</t>
  </si>
  <si>
    <t>AAU 1</t>
  </si>
  <si>
    <t>AAU 2</t>
  </si>
  <si>
    <t>AAU 3</t>
  </si>
  <si>
    <t>MW 1</t>
  </si>
  <si>
    <t>MW 2</t>
  </si>
  <si>
    <t>MW 3</t>
  </si>
  <si>
    <t>MW 4</t>
  </si>
  <si>
    <t>NO</t>
  </si>
  <si>
    <t>Site ID Old</t>
  </si>
  <si>
    <t>Site Name Old</t>
  </si>
  <si>
    <t>Tenant</t>
  </si>
  <si>
    <t>Site ID Tenant</t>
  </si>
  <si>
    <t>Site Name Tenant</t>
  </si>
  <si>
    <t>Height</t>
  </si>
  <si>
    <t>Azimuth</t>
  </si>
  <si>
    <t>Height2</t>
  </si>
  <si>
    <t>Azimuth3</t>
  </si>
  <si>
    <t>Height4</t>
  </si>
  <si>
    <t>Azimuth5</t>
  </si>
  <si>
    <t>Height6</t>
  </si>
  <si>
    <t>Azimuth7</t>
  </si>
  <si>
    <t>Height8</t>
  </si>
  <si>
    <t>Azimuth9</t>
  </si>
  <si>
    <t>Height10</t>
  </si>
  <si>
    <t>Azimuth11</t>
  </si>
  <si>
    <t>Height12</t>
  </si>
  <si>
    <t>Azimuth13</t>
  </si>
  <si>
    <t>Link</t>
  </si>
  <si>
    <t>Height14</t>
  </si>
  <si>
    <t>Azimuth15</t>
  </si>
  <si>
    <t>Link16</t>
  </si>
  <si>
    <t>Height17</t>
  </si>
  <si>
    <t>Azimuth18</t>
  </si>
  <si>
    <t>Link19</t>
  </si>
  <si>
    <t>Height20</t>
  </si>
  <si>
    <t>Azimuth21</t>
  </si>
  <si>
    <t>Link22</t>
  </si>
  <si>
    <t>Height23</t>
  </si>
  <si>
    <t>Azimuth24</t>
  </si>
  <si>
    <t>Site ID New</t>
  </si>
  <si>
    <t>Site Name New</t>
  </si>
  <si>
    <t>LATITUDE</t>
  </si>
  <si>
    <t>LONGITUDE</t>
  </si>
  <si>
    <t>CR // CRQ // XLWO</t>
  </si>
  <si>
    <t>Start Dismantle</t>
  </si>
  <si>
    <t>Start Reinstall</t>
  </si>
  <si>
    <t>OA</t>
  </si>
  <si>
    <t>Data After</t>
  </si>
  <si>
    <t>R1200302</t>
  </si>
  <si>
    <t>BANGUN PURBA</t>
  </si>
  <si>
    <t>XLS</t>
  </si>
  <si>
    <t>SUM-SU-LBP-0405</t>
  </si>
  <si>
    <t>BANGUN PURBA Relocation</t>
  </si>
  <si>
    <t>to SUM-SU-LBP-0023</t>
  </si>
  <si>
    <t>to SUM-SU-SRH-1245</t>
  </si>
  <si>
    <t>to SUM-SU-LBP-0022</t>
  </si>
  <si>
    <t>to SUM-SU-SRH-8224</t>
  </si>
  <si>
    <t>ID-SU-03892</t>
  </si>
  <si>
    <t>3.37141</t>
  </si>
  <si>
    <t>98.8149</t>
  </si>
  <si>
    <t>XLWO-20260522-00000051</t>
  </si>
  <si>
    <t>R3350421</t>
  </si>
  <si>
    <t>KARANGJUNTI</t>
  </si>
  <si>
    <t>IOH</t>
  </si>
  <si>
    <t>14BRS0006</t>
  </si>
  <si>
    <t>KARANGJUNTI_CM</t>
  </si>
  <si>
    <t>ID-JT-17956</t>
  </si>
  <si>
    <t>LOSARI KARANGJUNTI</t>
  </si>
  <si>
    <t>-6.91628</t>
  </si>
  <si>
    <t>108.7941</t>
  </si>
  <si>
    <t>CR-20260529-00000297</t>
  </si>
  <si>
    <t>JAW-JT-BBS-0007</t>
  </si>
  <si>
    <t>KARANGJUNTI Relocation</t>
  </si>
  <si>
    <t>-6.91429</t>
  </si>
  <si>
    <t>XLWO-20260619-00006228</t>
  </si>
  <si>
    <t>SUM-SU-SRH-1245</t>
  </si>
  <si>
    <t>E3200525</t>
  </si>
  <si>
    <t>GEDUNG_LIPPO</t>
  </si>
  <si>
    <t>13BDG0292</t>
  </si>
  <si>
    <t>IMGEDUNG_LIPPO_EP</t>
  </si>
  <si>
    <t>ID-JB-03467</t>
  </si>
  <si>
    <t>PAKUHAJI WETAN NGAMPRAH</t>
  </si>
  <si>
    <t>-6.82802</t>
  </si>
  <si>
    <t>10754079</t>
  </si>
  <si>
    <t>to 14BRS0013</t>
  </si>
  <si>
    <t>E8200008</t>
  </si>
  <si>
    <t>JAILOLO</t>
  </si>
  <si>
    <t>32HBR0001</t>
  </si>
  <si>
    <t>JAILOLO_EP</t>
  </si>
  <si>
    <t>to 32HBR0002</t>
  </si>
  <si>
    <t>to 32HBR0011</t>
  </si>
  <si>
    <t>to 32TER0004 main</t>
  </si>
  <si>
    <t>to 32TER0004 standby</t>
  </si>
  <si>
    <t>ID-MU-14641</t>
  </si>
  <si>
    <t>GUAEMAADU JAILOLO</t>
  </si>
  <si>
    <t>CR-20251215-00000284</t>
  </si>
  <si>
    <t>R3270681</t>
  </si>
  <si>
    <t>JAPARA KUNINGAN</t>
  </si>
  <si>
    <t>JAW-JB-KNG-1359</t>
  </si>
  <si>
    <t>E3200649</t>
  </si>
  <si>
    <t>JAPARA</t>
  </si>
  <si>
    <t>-6.89649</t>
  </si>
  <si>
    <t>108.51681</t>
  </si>
  <si>
    <t>E3200182</t>
  </si>
  <si>
    <t>GEULIS_RESORT</t>
  </si>
  <si>
    <t>JAW-JB-CBI-0515</t>
  </si>
  <si>
    <t>GEULIS RESORT BOGOR</t>
  </si>
  <si>
    <t>to JAW-JB-BGR-0421</t>
  </si>
  <si>
    <t>ID-JB-14444</t>
  </si>
  <si>
    <t>GEULIS SUKARAJA</t>
  </si>
  <si>
    <t>-6.6318</t>
  </si>
  <si>
    <t>106.8663</t>
  </si>
  <si>
    <t>XLWO-20260804-00000177</t>
  </si>
  <si>
    <t>13CBN0771</t>
  </si>
  <si>
    <t>GEULIS_RESORT_EP</t>
  </si>
  <si>
    <t>CR-20260804-00000400
CR-20260804-00000411</t>
  </si>
  <si>
    <t>R3270184</t>
  </si>
  <si>
    <t>SETRAINDAH BARAT</t>
  </si>
  <si>
    <t>13BDG0084</t>
  </si>
  <si>
    <t>SETRAINDAHBARAT_CM</t>
  </si>
  <si>
    <t>JAW-JB-BDG-0045</t>
  </si>
  <si>
    <t>SETRA INDAH BARAT</t>
  </si>
  <si>
    <t>No</t>
  </si>
  <si>
    <t>Account Project</t>
  </si>
  <si>
    <t>Vendor</t>
  </si>
  <si>
    <t>Project</t>
  </si>
  <si>
    <t>Coverage Area</t>
  </si>
  <si>
    <t>SGP-TI-Nasional</t>
  </si>
  <si>
    <t>PT. Sempurna Global Pertama</t>
  </si>
  <si>
    <t>Telkom Infra</t>
  </si>
  <si>
    <t>Nasional</t>
  </si>
  <si>
    <t>SGI-ZTE_XLSmart-Nasional</t>
  </si>
  <si>
    <t>PT. Star Global Indonesia</t>
  </si>
  <si>
    <t>ZTE_XLSmart</t>
  </si>
  <si>
    <t>CMI-RBLD-Nasional</t>
  </si>
  <si>
    <t>PT. Centratama Menara Indonesi</t>
  </si>
  <si>
    <t>Rebuild</t>
  </si>
  <si>
    <t>CMI-TMAIN-Nasional</t>
  </si>
  <si>
    <t>Tower Maintenance</t>
  </si>
  <si>
    <t>CMI-COLO-Nasional</t>
  </si>
  <si>
    <t>Colocation</t>
  </si>
  <si>
    <t>CMI-MAC-Nasional</t>
  </si>
  <si>
    <t>MAC</t>
  </si>
  <si>
    <t>MSG-RTGS-Bengkulu</t>
  </si>
  <si>
    <t>PT. Mitra Sistematika Global</t>
  </si>
  <si>
    <t>Remote Terminal Ground Segment</t>
  </si>
  <si>
    <t>Bengkulu</t>
  </si>
  <si>
    <t>DMT-All-Nasional</t>
  </si>
  <si>
    <t>PT. Dayamitra Telekomunikasi</t>
  </si>
  <si>
    <t>All</t>
  </si>
  <si>
    <t>CCSI-XLS_PLN-EJ</t>
  </si>
  <si>
    <t>PT. China Comservice Indonesia</t>
  </si>
  <si>
    <t>XLSmart_PLN</t>
  </si>
  <si>
    <t>East Java</t>
  </si>
  <si>
    <t>MSG-COLO_IOH-Nasional</t>
  </si>
  <si>
    <t>Colocation_IOH</t>
  </si>
  <si>
    <t>MSG-STH-Kalimantan</t>
  </si>
  <si>
    <t>Strengthening</t>
  </si>
  <si>
    <t>Kalimantan</t>
  </si>
  <si>
    <t>CMI-TIP-Nasional</t>
  </si>
  <si>
    <t>PT. Centratama Menara Indonesia</t>
  </si>
  <si>
    <t>Tower Inspection Preventive</t>
  </si>
  <si>
    <t>CCSI-XLS_PLN-CJ</t>
  </si>
  <si>
    <t>Central Java</t>
  </si>
  <si>
    <t>CCSI-XLS_PLN-Kalimantan</t>
  </si>
  <si>
    <t>CCSI-IBC-Nasional</t>
  </si>
  <si>
    <t>In-Building Coverage</t>
  </si>
  <si>
    <t>CCSI-XLS_PLN-Sulawesi</t>
  </si>
  <si>
    <t>Sulawesi</t>
  </si>
  <si>
    <t>CMI-RLC-Nasional</t>
  </si>
  <si>
    <t>Relocation</t>
  </si>
  <si>
    <t>CMI-SURGE-Nasional</t>
  </si>
  <si>
    <t>SURGE</t>
  </si>
  <si>
    <t>Site ID</t>
  </si>
  <si>
    <t>Site Name</t>
  </si>
  <si>
    <t>Material</t>
  </si>
  <si>
    <t>UoM</t>
  </si>
  <si>
    <t>Qty</t>
  </si>
  <si>
    <t>SN</t>
  </si>
  <si>
    <t>Remark</t>
  </si>
  <si>
    <t>Inbound</t>
  </si>
  <si>
    <t>E3500375</t>
  </si>
  <si>
    <t>MERPATI</t>
  </si>
  <si>
    <t>Rack Recty</t>
  </si>
  <si>
    <t>unit</t>
  </si>
  <si>
    <t>Recty EATON</t>
  </si>
  <si>
    <t>Module recty</t>
  </si>
  <si>
    <t>pcs</t>
  </si>
  <si>
    <t>RTN Huawei 950</t>
  </si>
  <si>
    <t>CSHU + 1 SFP</t>
  </si>
  <si>
    <t>Fan RTN 950</t>
  </si>
  <si>
    <t>ISU 2</t>
  </si>
  <si>
    <t>DCPD</t>
  </si>
  <si>
    <t>Kabel DCPD biru</t>
  </si>
  <si>
    <t>tarikan</t>
  </si>
  <si>
    <t>Kabel DCPD hitam</t>
  </si>
  <si>
    <t>BBU V9200</t>
  </si>
  <si>
    <t>219634374099</t>
  </si>
  <si>
    <t>VBPe2q</t>
  </si>
  <si>
    <t>VPDc1</t>
  </si>
  <si>
    <t>VEMC4</t>
  </si>
  <si>
    <t>VBPE3q</t>
  </si>
  <si>
    <t>VSWd1</t>
  </si>
  <si>
    <t>SFP (VBPE2q)</t>
  </si>
  <si>
    <t>SFP (VBPE3q)</t>
  </si>
  <si>
    <t>SFP (VSWd1)</t>
  </si>
  <si>
    <t>Casing GPS</t>
  </si>
  <si>
    <t>LPU2</t>
  </si>
  <si>
    <t>219639300831</t>
  </si>
  <si>
    <t>BLP2</t>
  </si>
  <si>
    <t>200145
200343</t>
  </si>
  <si>
    <t>SCU</t>
  </si>
  <si>
    <t>21964195814</t>
  </si>
  <si>
    <t>2XCTN 6120H-SC</t>
  </si>
  <si>
    <t>D80AE69CFF38</t>
  </si>
  <si>
    <t>SFP (2XCTN)</t>
  </si>
  <si>
    <t>PW1DC (2XCTN)</t>
  </si>
  <si>
    <t>Battery ZTE ZXESM R311</t>
  </si>
  <si>
    <t>Kabel power batt (biru)</t>
  </si>
  <si>
    <t>Kabel power batt (hitam)</t>
  </si>
  <si>
    <t>Kabel grounding batt</t>
  </si>
  <si>
    <t>Kabel power BBU (biru-hitam)</t>
  </si>
  <si>
    <t>Kabel power RTN 950 (biru-hitam)</t>
  </si>
  <si>
    <t>Kabel power AAU</t>
  </si>
  <si>
    <t>Kabel power RRU</t>
  </si>
  <si>
    <t>Kabel optic AAU</t>
  </si>
  <si>
    <t>Kabel optic RRU</t>
  </si>
  <si>
    <t>Antenna AAU +SFP 2pcs</t>
  </si>
  <si>
    <t>RRU + SFP 1pcs</t>
  </si>
  <si>
    <t>Antanna RF</t>
  </si>
  <si>
    <t>Jumper Antenna RF</t>
  </si>
  <si>
    <t>Kabel AISG</t>
  </si>
  <si>
    <t>Kabel grounding AAU</t>
  </si>
  <si>
    <t>Kabel grounding RRU</t>
  </si>
  <si>
    <t>Belting kabinet</t>
  </si>
  <si>
    <t>R3580695</t>
  </si>
  <si>
    <t>3G_KUPANG KRAJAN</t>
  </si>
  <si>
    <t>Antenna sector</t>
  </si>
  <si>
    <t>KCK031874630005B
KCK031874630011W
KCK03187463000WW</t>
  </si>
  <si>
    <t>RRU 9264</t>
  </si>
  <si>
    <t>219645649504
219644276184
219644276183
219645649564
219645642979</t>
  </si>
  <si>
    <t>Antena AAU A9652D</t>
  </si>
  <si>
    <t>219657872911
219657872872
219657873107</t>
  </si>
  <si>
    <t>Battery Lithium</t>
  </si>
  <si>
    <t>UB2410015715
UB2410013042
219648643871</t>
  </si>
  <si>
    <t>ZXEDMSCU601B</t>
  </si>
  <si>
    <t>219653617801</t>
  </si>
  <si>
    <t>DCPD 10B</t>
  </si>
  <si>
    <t>265625312394
265625312349</t>
  </si>
  <si>
    <t>RTN 950</t>
  </si>
  <si>
    <t>21021131746TBB90304</t>
  </si>
  <si>
    <t>CSHU</t>
  </si>
  <si>
    <t>021YTFCNG6008019</t>
  </si>
  <si>
    <t>EMGTA</t>
  </si>
  <si>
    <t>E0247FB3ASE0-E5</t>
  </si>
  <si>
    <t>EG4</t>
  </si>
  <si>
    <t>020MXKNJ8004447</t>
  </si>
  <si>
    <t>SP3S</t>
  </si>
  <si>
    <t>020SYWYOF2001053</t>
  </si>
  <si>
    <t>ZXCTN G120H-SC</t>
  </si>
  <si>
    <t>210133047678</t>
  </si>
  <si>
    <t>SFP ZXCTN</t>
  </si>
  <si>
    <t>ZX RAN V9200</t>
  </si>
  <si>
    <t>219648108504</t>
  </si>
  <si>
    <t>SFP RAN V9200</t>
  </si>
  <si>
    <t>VSWD1</t>
  </si>
  <si>
    <t>N/A</t>
  </si>
  <si>
    <t>VBPE3P</t>
  </si>
  <si>
    <t>VBPE2Q</t>
  </si>
  <si>
    <t>VPDC1</t>
  </si>
  <si>
    <t>FAN RECTY</t>
  </si>
  <si>
    <t>2102120734N0EC000648</t>
  </si>
  <si>
    <t>MODULE RECTY</t>
  </si>
  <si>
    <t>245777891
246069500
245403719
245706645</t>
  </si>
  <si>
    <t>DISPLAY RECTY</t>
  </si>
  <si>
    <t>RECTIFIER</t>
  </si>
  <si>
    <t>APS63G-000713</t>
  </si>
  <si>
    <t>RACK RECTY</t>
  </si>
  <si>
    <t>SN BROKEN</t>
  </si>
  <si>
    <t>KABEL POWER RRU</t>
  </si>
  <si>
    <t>JUMPER</t>
  </si>
  <si>
    <t>OPTIC</t>
  </si>
  <si>
    <t>E3500307</t>
  </si>
  <si>
    <t>MOROKREMBANGAN</t>
  </si>
  <si>
    <t>13CN101991425
13CN101992628
Blur</t>
  </si>
  <si>
    <t>CPRI</t>
  </si>
  <si>
    <t>PMS</t>
  </si>
  <si>
    <t>2101073846NON8000434</t>
  </si>
  <si>
    <t>Battery ZTE</t>
  </si>
  <si>
    <t>123014631011</t>
  </si>
  <si>
    <t>MW NEC 1.2 + ODU</t>
  </si>
  <si>
    <t>set</t>
  </si>
  <si>
    <t>MW RTN 0.6 + ODU</t>
  </si>
  <si>
    <t>Coax RTN</t>
  </si>
  <si>
    <t>AHECC</t>
  </si>
  <si>
    <t>KG252518520
RW242300802
KG252911421</t>
  </si>
  <si>
    <t>FXDB</t>
  </si>
  <si>
    <t>L6130818055
L6130914051</t>
  </si>
  <si>
    <t>Kabel power biru-hitam</t>
  </si>
  <si>
    <t>kabel hybrid</t>
  </si>
  <si>
    <t>Westindo</t>
  </si>
  <si>
    <t>Sub Rack</t>
  </si>
  <si>
    <t>Eltek</t>
  </si>
  <si>
    <t>Modul ACDC</t>
  </si>
  <si>
    <t>IDU RTN</t>
  </si>
  <si>
    <t>AMIA</t>
  </si>
  <si>
    <t>ABIA</t>
  </si>
  <si>
    <t>ABIO</t>
  </si>
  <si>
    <t>ASIB</t>
  </si>
  <si>
    <t>26.06.26 Diambil MS XLS</t>
  </si>
  <si>
    <t>Modul subrack</t>
  </si>
  <si>
    <t>Modul SMU</t>
  </si>
  <si>
    <t>Kabel power battery</t>
  </si>
  <si>
    <t>Antenna AAU</t>
  </si>
  <si>
    <t>RRU</t>
  </si>
  <si>
    <t>Jumper</t>
  </si>
  <si>
    <t>ZXRAN V9200</t>
  </si>
  <si>
    <t>219642055147</t>
  </si>
  <si>
    <t>VBPe3p</t>
  </si>
  <si>
    <t>EMUA</t>
  </si>
  <si>
    <t>RTN 950A</t>
  </si>
  <si>
    <t>219634692539
219634984146
219634983498</t>
  </si>
  <si>
    <t>Cabinet</t>
  </si>
  <si>
    <t>R3580411</t>
  </si>
  <si>
    <t>PEGANTENAN</t>
  </si>
  <si>
    <t>SF</t>
  </si>
  <si>
    <t>Antenna 4.3-10 Int RE</t>
  </si>
  <si>
    <t>R3580412</t>
  </si>
  <si>
    <t>AISG 8 pin to DB15 Cable 5 M</t>
  </si>
  <si>
    <t>R3580413</t>
  </si>
  <si>
    <t>Filter 4.3-10</t>
  </si>
  <si>
    <t>R3580414</t>
  </si>
  <si>
    <t>ZXSDR R8998G TDD 2300-2400MHz</t>
  </si>
  <si>
    <t>R3580415</t>
  </si>
  <si>
    <t>ZXSDR R8862A S8500</t>
  </si>
  <si>
    <t>R3580416</t>
  </si>
  <si>
    <t>Connector RRU_Dismantle</t>
  </si>
  <si>
    <t>R3580417</t>
  </si>
  <si>
    <t>Bracket RUU Ints Kit Dism</t>
  </si>
  <si>
    <t>R3580418</t>
  </si>
  <si>
    <t>Connector GPS (I)</t>
  </si>
  <si>
    <t>R3580419</t>
  </si>
  <si>
    <t>Connector GPS (L)</t>
  </si>
  <si>
    <t>R3580420</t>
  </si>
  <si>
    <t>GPS Feeder</t>
  </si>
  <si>
    <t>R3580421</t>
  </si>
  <si>
    <t>1/4 outer cond coax dism</t>
  </si>
  <si>
    <t>R3580422</t>
  </si>
  <si>
    <t>Inst Kit Set Opr rack</t>
  </si>
  <si>
    <t>R3580423</t>
  </si>
  <si>
    <t xml:space="preserve">Frame with Fan </t>
  </si>
  <si>
    <t>R3580424</t>
  </si>
  <si>
    <t>Power module 3</t>
  </si>
  <si>
    <t>R3580425</t>
  </si>
  <si>
    <t>Site Alarm</t>
  </si>
  <si>
    <t>R3580426</t>
  </si>
  <si>
    <t xml:space="preserve">Processing Unit </t>
  </si>
  <si>
    <t>R3580427</t>
  </si>
  <si>
    <t>CCE1B</t>
  </si>
  <si>
    <t>R3580428</t>
  </si>
  <si>
    <t>SFP SM-10KM</t>
  </si>
  <si>
    <t>R3580429</t>
  </si>
  <si>
    <t>BPN 2</t>
  </si>
  <si>
    <t>R3580430</t>
  </si>
  <si>
    <t>SA Cable</t>
  </si>
  <si>
    <t>R3580431</t>
  </si>
  <si>
    <t>SFG 10G</t>
  </si>
  <si>
    <t>R3580432</t>
  </si>
  <si>
    <t>WTC09</t>
  </si>
  <si>
    <t>R3580433</t>
  </si>
  <si>
    <t>NR8961</t>
  </si>
  <si>
    <t>R3580434</t>
  </si>
  <si>
    <t>Coupler Kit</t>
  </si>
  <si>
    <t>R3580435</t>
  </si>
  <si>
    <t>Power Plug</t>
  </si>
  <si>
    <t>R3580436</t>
  </si>
  <si>
    <t>Waterproof Module</t>
  </si>
  <si>
    <t>R3580437</t>
  </si>
  <si>
    <t>Outdoor CAT5e FTP</t>
  </si>
  <si>
    <t>R3580438</t>
  </si>
  <si>
    <t>B;ack Screened Cable</t>
  </si>
  <si>
    <t xml:space="preserve">tarikan </t>
  </si>
  <si>
    <t>R3580439</t>
  </si>
  <si>
    <t>Antena pole rack</t>
  </si>
  <si>
    <t>R3580440</t>
  </si>
  <si>
    <t xml:space="preserve">Antena pole </t>
  </si>
  <si>
    <t>R3580441</t>
  </si>
  <si>
    <t>RF cable</t>
  </si>
  <si>
    <t>R3580442</t>
  </si>
  <si>
    <t>116-OA-TH-1145</t>
  </si>
  <si>
    <t>R3580443</t>
  </si>
  <si>
    <t>116-OB-TH-1145</t>
  </si>
  <si>
    <t>R3580444</t>
  </si>
  <si>
    <t>F4S-HM</t>
  </si>
  <si>
    <t>R3580445</t>
  </si>
  <si>
    <t>LC08</t>
  </si>
  <si>
    <t>R3580446</t>
  </si>
  <si>
    <t>PR-43Mb-1250-2000Mb</t>
  </si>
  <si>
    <t>R3580447</t>
  </si>
  <si>
    <t>XL</t>
  </si>
  <si>
    <t>Rack BTS XL</t>
  </si>
  <si>
    <t>R3580448</t>
  </si>
  <si>
    <t>Rack Batray</t>
  </si>
  <si>
    <t>R3580449</t>
  </si>
  <si>
    <t>RACK DDF</t>
  </si>
  <si>
    <t>R3580450</t>
  </si>
  <si>
    <t>RACK OPTIK</t>
  </si>
  <si>
    <t>R3580451</t>
  </si>
  <si>
    <t>SMU02C</t>
  </si>
  <si>
    <t>R3580452</t>
  </si>
  <si>
    <t>BATRAY(GFMF)</t>
  </si>
  <si>
    <t>R3580453</t>
  </si>
  <si>
    <t>BATRAY (12TD)</t>
  </si>
  <si>
    <t>R3580454</t>
  </si>
  <si>
    <t>JUMPER PLAT BATRAY</t>
  </si>
  <si>
    <t>R3580455</t>
  </si>
  <si>
    <t>RRU5866</t>
  </si>
  <si>
    <t>R3580456</t>
  </si>
  <si>
    <t>RRU5502</t>
  </si>
  <si>
    <t>R3580457</t>
  </si>
  <si>
    <t>SFP-10G</t>
  </si>
  <si>
    <t>R3580458</t>
  </si>
  <si>
    <t>BBU5900</t>
  </si>
  <si>
    <t>R3580459</t>
  </si>
  <si>
    <t>UBBPg2</t>
  </si>
  <si>
    <t>R3580460</t>
  </si>
  <si>
    <t>UBBPd3</t>
  </si>
  <si>
    <t>R3580461</t>
  </si>
  <si>
    <t>UBBP</t>
  </si>
  <si>
    <t>R3580462</t>
  </si>
  <si>
    <t>RTN950A</t>
  </si>
  <si>
    <t>R3580463</t>
  </si>
  <si>
    <t>CSHO</t>
  </si>
  <si>
    <t>R3580464</t>
  </si>
  <si>
    <t>SFP-2-125G</t>
  </si>
  <si>
    <t>R3580465</t>
  </si>
  <si>
    <t>MRFU9008</t>
  </si>
  <si>
    <t>R3580466</t>
  </si>
  <si>
    <t>GPS (SCC800-S1)</t>
  </si>
  <si>
    <t>R3580467</t>
  </si>
  <si>
    <t>DCDU16D-02</t>
  </si>
  <si>
    <t>R3580468</t>
  </si>
  <si>
    <t>EPU02D</t>
  </si>
  <si>
    <t>R3580469</t>
  </si>
  <si>
    <t>EPU02B</t>
  </si>
  <si>
    <t>R3580470</t>
  </si>
  <si>
    <t>OPTIK KABEL</t>
  </si>
  <si>
    <t>R3580471</t>
  </si>
  <si>
    <t>CONECTOR POWER RRU</t>
  </si>
  <si>
    <t>R3580472</t>
  </si>
  <si>
    <t>RF JUMPER</t>
  </si>
  <si>
    <t>R3580473</t>
  </si>
  <si>
    <t>ANTENA SECTOR</t>
  </si>
  <si>
    <t>R3580474</t>
  </si>
  <si>
    <t>KABEL RET</t>
  </si>
  <si>
    <t>R3580475</t>
  </si>
  <si>
    <t>KABEL POWER BATRAI M</t>
  </si>
  <si>
    <t>R3580476</t>
  </si>
  <si>
    <t>KABEL POWER BATRAI H</t>
  </si>
  <si>
    <t>R6300019</t>
  </si>
  <si>
    <t>JL. KELAPA BJM</t>
  </si>
  <si>
    <t>DCPDB10B</t>
  </si>
  <si>
    <t>ZQ5625380269)</t>
  </si>
  <si>
    <t>R6300020</t>
  </si>
  <si>
    <t>ZQ5625380267</t>
  </si>
  <si>
    <t>R6300021</t>
  </si>
  <si>
    <t>MODULE EATON APR 48ES</t>
  </si>
  <si>
    <t>245192645
246560529
246560484
245192659
246560541
244585224</t>
  </si>
  <si>
    <t>R6300022</t>
  </si>
  <si>
    <t>BBU ZTE ZXRAN V9200</t>
  </si>
  <si>
    <t>219658736623</t>
  </si>
  <si>
    <t>R6300023</t>
  </si>
  <si>
    <t>OTB</t>
  </si>
  <si>
    <t>R6300024</t>
  </si>
  <si>
    <t>ZTE LPU</t>
  </si>
  <si>
    <t>219658974417</t>
  </si>
  <si>
    <t>R6300025</t>
  </si>
  <si>
    <t>ZXEDM SCU601B</t>
  </si>
  <si>
    <t>210132413134</t>
  </si>
  <si>
    <t>R6300026</t>
  </si>
  <si>
    <t>BATT ZTE R311</t>
  </si>
  <si>
    <t>219643079439</t>
  </si>
  <si>
    <t>R6300027</t>
  </si>
  <si>
    <t>BATT HW ESM-48100B1</t>
  </si>
  <si>
    <t>EX2450067001</t>
  </si>
  <si>
    <t>R6300028</t>
  </si>
  <si>
    <t>ESM-48100B1</t>
  </si>
  <si>
    <t>X2450073493</t>
  </si>
  <si>
    <t>R6300029</t>
  </si>
  <si>
    <t>SFP ZTE 10G</t>
  </si>
  <si>
    <t>R6300030</t>
  </si>
  <si>
    <t>SFP ZTE 25G</t>
  </si>
  <si>
    <t>R6300031</t>
  </si>
  <si>
    <t>ANTENA ZTE AAU SECTOR 1</t>
  </si>
  <si>
    <t>219657872977</t>
  </si>
  <si>
    <t>R6300032</t>
  </si>
  <si>
    <t>ANTENA ZTE SECTOR 2</t>
  </si>
  <si>
    <t>219657434607</t>
  </si>
  <si>
    <t>R6300033</t>
  </si>
  <si>
    <t>ANTENA ZTE AAU SECTOR 3</t>
  </si>
  <si>
    <t>R6300034</t>
  </si>
  <si>
    <t>RRU ZTE R9264 N1821</t>
  </si>
  <si>
    <t>219656203200
219660088120
219660088140</t>
  </si>
  <si>
    <t>R6300035</t>
  </si>
  <si>
    <t>RRU ZTE R9264 M728</t>
  </si>
  <si>
    <t>219652643086
219652643038</t>
  </si>
  <si>
    <t>R6300036</t>
  </si>
  <si>
    <t>ANTENA PROOSE</t>
  </si>
  <si>
    <t>KCK031874G370052
KCK031874G37006Y
KCK031874G3700005M</t>
  </si>
  <si>
    <t>R6300037</t>
  </si>
  <si>
    <t>RECTIFIER EATON</t>
  </si>
  <si>
    <t>R6300038</t>
  </si>
  <si>
    <t>CABINET RBS TMCH 11</t>
  </si>
  <si>
    <t>R6300039</t>
  </si>
  <si>
    <t>KABEL OPTIK</t>
  </si>
  <si>
    <t>R6300040</t>
  </si>
  <si>
    <t>KABEL POWER DC/RRU</t>
  </si>
  <si>
    <t>R6300041</t>
  </si>
  <si>
    <t>KABEL POWER AC</t>
  </si>
  <si>
    <t>R6300042</t>
  </si>
  <si>
    <t>ANTENA GPS DAN KABEL COAX</t>
  </si>
  <si>
    <t>R6300043</t>
  </si>
  <si>
    <t>GPS DAN KABEL CROSS</t>
  </si>
  <si>
    <t>R6300044</t>
  </si>
  <si>
    <t>ANTENA SECTOR 1</t>
  </si>
  <si>
    <t>R6300045</t>
  </si>
  <si>
    <t xml:space="preserve">RRU ZTE SECTOR </t>
  </si>
  <si>
    <t>219267805084
219267805131
219267428494</t>
  </si>
  <si>
    <t>R6300046</t>
  </si>
  <si>
    <t>R6300047</t>
  </si>
  <si>
    <t>CABINET ZTE</t>
  </si>
  <si>
    <t>R6300048</t>
  </si>
  <si>
    <t>R6300049</t>
  </si>
  <si>
    <t>R6300050</t>
  </si>
  <si>
    <t>R6300051</t>
  </si>
  <si>
    <t>BATT DRYCELL TYPE MAXLIFE FGB12-100</t>
  </si>
  <si>
    <t>CME002196791
CME002196791
CME002196798
CME002196797
CME002196792 
CME002196799
CME002196800
CME002196794
CME002196796
CME002196803</t>
  </si>
  <si>
    <t>R6300052</t>
  </si>
  <si>
    <t>CME002196803</t>
  </si>
  <si>
    <t>CME002196752
CME002196752 
CME002197613</t>
  </si>
  <si>
    <t>R6300053</t>
  </si>
  <si>
    <t>219264286380</t>
  </si>
  <si>
    <t>R6300054</t>
  </si>
  <si>
    <t>METRO-E ZTE ZXA10</t>
  </si>
  <si>
    <t>219267639565</t>
  </si>
  <si>
    <t>R6300055</t>
  </si>
  <si>
    <t>R6300056</t>
  </si>
  <si>
    <t>DCPDB</t>
  </si>
  <si>
    <t>LA0637206041</t>
  </si>
  <si>
    <t>R6300057</t>
  </si>
  <si>
    <t>R6300058</t>
  </si>
  <si>
    <t>SFP</t>
  </si>
  <si>
    <t>E3200269</t>
  </si>
  <si>
    <t>CILEUNGSIKIDUL</t>
  </si>
  <si>
    <t>RECIFIER OUTDOOR</t>
  </si>
  <si>
    <t>E3200270</t>
  </si>
  <si>
    <t>ANTENNA MW 0.5</t>
  </si>
  <si>
    <t>21524311113RH5000035</t>
  </si>
  <si>
    <t>E3200271</t>
  </si>
  <si>
    <t>ODU HUAWEI XMC</t>
  </si>
  <si>
    <t>E3200272</t>
  </si>
  <si>
    <t>RTN COUPLER</t>
  </si>
  <si>
    <t>R5100062</t>
  </si>
  <si>
    <t>SMPK_THOMAS_AQUINO</t>
  </si>
  <si>
    <t>R5100063</t>
  </si>
  <si>
    <t xml:space="preserve">Rack BTS </t>
  </si>
  <si>
    <t>R5100064</t>
  </si>
  <si>
    <t>R5100065</t>
  </si>
  <si>
    <t>R5100066</t>
  </si>
  <si>
    <t>POWER RRU</t>
  </si>
  <si>
    <t>R5100067</t>
  </si>
  <si>
    <t>CPRI TRANSPOT</t>
  </si>
  <si>
    <t>R5100068</t>
  </si>
  <si>
    <t>SFP RRU</t>
  </si>
  <si>
    <t>R5100069</t>
  </si>
  <si>
    <t xml:space="preserve">POWER DCDU </t>
  </si>
  <si>
    <t>R5100070</t>
  </si>
  <si>
    <t>BATRAI LITHIUM</t>
  </si>
  <si>
    <t>R5100071</t>
  </si>
  <si>
    <t>ABBP D3</t>
  </si>
  <si>
    <t>R5100072</t>
  </si>
  <si>
    <t>ABRIB</t>
  </si>
  <si>
    <t>R5100073</t>
  </si>
  <si>
    <t>UMPT B1</t>
  </si>
  <si>
    <t>R5100074</t>
  </si>
  <si>
    <t>DCDU</t>
  </si>
  <si>
    <t>R5100075</t>
  </si>
  <si>
    <t>BBU 3900</t>
  </si>
  <si>
    <t>R5100076</t>
  </si>
  <si>
    <t>EMU</t>
  </si>
  <si>
    <t>R5100077</t>
  </si>
  <si>
    <t>SLPU</t>
  </si>
  <si>
    <t>R5100078</t>
  </si>
  <si>
    <t>FAN 0.2 A</t>
  </si>
  <si>
    <t>R5100079</t>
  </si>
  <si>
    <t>FAN 0.1 A</t>
  </si>
  <si>
    <t>R5100080</t>
  </si>
  <si>
    <t>SFP TRANSPOT</t>
  </si>
  <si>
    <t>R5100081</t>
  </si>
  <si>
    <t>MODULE APR 48</t>
  </si>
  <si>
    <t>R5100082</t>
  </si>
  <si>
    <t>DISPLAY APR ES</t>
  </si>
  <si>
    <t>R5100083</t>
  </si>
  <si>
    <t>R5100084</t>
  </si>
  <si>
    <t>CSR</t>
  </si>
  <si>
    <t>R5100085</t>
  </si>
  <si>
    <t>OPTIK RTN</t>
  </si>
  <si>
    <t>R7300461</t>
  </si>
  <si>
    <t>Nuri Rajawali</t>
  </si>
  <si>
    <t>R7300462</t>
  </si>
  <si>
    <t>R7300463</t>
  </si>
  <si>
    <t>R7300464</t>
  </si>
  <si>
    <t>BATERAI LITHIUM</t>
  </si>
  <si>
    <t>R7300465</t>
  </si>
  <si>
    <t>RACK RECKTIFIER</t>
  </si>
  <si>
    <t>R7300466</t>
  </si>
  <si>
    <t>RACK BTS KABINET</t>
  </si>
  <si>
    <t>R7300467</t>
  </si>
  <si>
    <t>ANTENA RF</t>
  </si>
  <si>
    <t>R7300468</t>
  </si>
  <si>
    <t>SUBRACK RECK</t>
  </si>
  <si>
    <t>R7300469</t>
  </si>
  <si>
    <t>DCDU 12B</t>
  </si>
  <si>
    <t>R7300470</t>
  </si>
  <si>
    <t>DCDU 12C</t>
  </si>
  <si>
    <t>R7300471</t>
  </si>
  <si>
    <t>ALARM EMUA</t>
  </si>
  <si>
    <t>R7300472</t>
  </si>
  <si>
    <t>BBU 5900</t>
  </si>
  <si>
    <t>R7300473</t>
  </si>
  <si>
    <t>FAN 10C</t>
  </si>
  <si>
    <t>R7300474</t>
  </si>
  <si>
    <t>DCDU 12A</t>
  </si>
  <si>
    <t>R7300475</t>
  </si>
  <si>
    <t>R7300476</t>
  </si>
  <si>
    <t>FAN 2 D</t>
  </si>
  <si>
    <t>R7300477</t>
  </si>
  <si>
    <t>MODUL REKCT</t>
  </si>
  <si>
    <t>R7300478</t>
  </si>
  <si>
    <t>PASO LINK</t>
  </si>
  <si>
    <t>R7300479</t>
  </si>
  <si>
    <t>R7300480</t>
  </si>
  <si>
    <t>IDU</t>
  </si>
  <si>
    <t>R3100496</t>
  </si>
  <si>
    <t>KELAPA DUA WETAN</t>
  </si>
  <si>
    <t>R3100497</t>
  </si>
  <si>
    <t>CABINET MTS9300A</t>
  </si>
  <si>
    <t>ES24300011</t>
  </si>
  <si>
    <t>R3100498</t>
  </si>
  <si>
    <t>ATN9lOC</t>
  </si>
  <si>
    <t>1024188540sS'</t>
  </si>
  <si>
    <t>R3100499</t>
  </si>
  <si>
    <t>Radio 4499</t>
  </si>
  <si>
    <t>E55B355398
E558355396
E558355318</t>
  </si>
  <si>
    <t>R3100500</t>
  </si>
  <si>
    <t>Radio 2219</t>
  </si>
  <si>
    <t>E551139463
E550360896
E550360842</t>
  </si>
  <si>
    <t>R3100501</t>
  </si>
  <si>
    <t>Cabinet MTS9300A</t>
  </si>
  <si>
    <t>E52370031508</t>
  </si>
  <si>
    <t>R3100502</t>
  </si>
  <si>
    <t>Modul Recty APR4850g</t>
  </si>
  <si>
    <t>BTQ1011679
BTQ10 12246
BTQ1011737</t>
  </si>
  <si>
    <t>R3100503</t>
  </si>
  <si>
    <t>HV2360302464</t>
  </si>
  <si>
    <t>R3100504</t>
  </si>
  <si>
    <t>Batteraititium</t>
  </si>
  <si>
    <t>ESM-4810002</t>
  </si>
  <si>
    <t>R3100505</t>
  </si>
  <si>
    <t>IDU Ipasotink MDP</t>
  </si>
  <si>
    <t>1320
35582</t>
  </si>
  <si>
    <t>R3100506</t>
  </si>
  <si>
    <t>BASEBAND 6630</t>
  </si>
  <si>
    <t>TD3858686120190108</t>
  </si>
  <si>
    <t>R3100507</t>
  </si>
  <si>
    <t>IDU IPASOLINK</t>
  </si>
  <si>
    <t>R3100508</t>
  </si>
  <si>
    <t>GENSET DENYO25</t>
  </si>
  <si>
    <t>R3100533</t>
  </si>
  <si>
    <t>PELEPAH INDAH</t>
  </si>
  <si>
    <t>ANTENA MW 0,3</t>
  </si>
  <si>
    <t>R3100534</t>
  </si>
  <si>
    <t>RADIO PASOLINK</t>
  </si>
  <si>
    <t>R3100535</t>
  </si>
  <si>
    <t>Antenna Sektor 1</t>
  </si>
  <si>
    <t>KA669125A1828718</t>
  </si>
  <si>
    <t/>
  </si>
  <si>
    <t>R3100536</t>
  </si>
  <si>
    <t>Antenna Sektor 2</t>
  </si>
  <si>
    <t>RAPAC03184700132</t>
  </si>
  <si>
    <t>R3100537</t>
  </si>
  <si>
    <t>Antenna Sektor 3</t>
  </si>
  <si>
    <t>R3100538</t>
  </si>
  <si>
    <t>Antenna Sektor 4</t>
  </si>
  <si>
    <t>KA669125A1828730</t>
  </si>
  <si>
    <t>R3100539</t>
  </si>
  <si>
    <t>RRU 4443 B1 B3</t>
  </si>
  <si>
    <t>E23A822736</t>
  </si>
  <si>
    <t>R3100540</t>
  </si>
  <si>
    <t>E23A856711</t>
  </si>
  <si>
    <t>R3100541</t>
  </si>
  <si>
    <t>RRU 2219 BOA</t>
  </si>
  <si>
    <t>CD3Y978419</t>
  </si>
  <si>
    <t>R3100542</t>
  </si>
  <si>
    <t>RRU 2219BOA</t>
  </si>
  <si>
    <t>CD3Y978400</t>
  </si>
  <si>
    <t>R3100543</t>
  </si>
  <si>
    <t xml:space="preserve">RUS 01 B1 </t>
  </si>
  <si>
    <t>SCB4N058020</t>
  </si>
  <si>
    <t>R3100544</t>
  </si>
  <si>
    <t>CD3Y978393</t>
  </si>
  <si>
    <t>R3100545</t>
  </si>
  <si>
    <t>E23A808842</t>
  </si>
  <si>
    <t>R3100546</t>
  </si>
  <si>
    <t>ANTENNA MW Alita NEC 0,3 M</t>
  </si>
  <si>
    <t>2303601.1</t>
  </si>
  <si>
    <t>R3100547</t>
  </si>
  <si>
    <t>Antena MW 0,6 ELPO</t>
  </si>
  <si>
    <t>R3100548</t>
  </si>
  <si>
    <t xml:space="preserve">Antena MW 0,3 NEC </t>
  </si>
  <si>
    <t xml:space="preserve">18R3C3A22F </t>
  </si>
  <si>
    <t>R3100549</t>
  </si>
  <si>
    <t xml:space="preserve">Antena MW 0,6 seragon </t>
  </si>
  <si>
    <t>R3100550</t>
  </si>
  <si>
    <t>R3100551</t>
  </si>
  <si>
    <t>Antena MW 0,3 NEC  1+ 1</t>
  </si>
  <si>
    <t>R3100552</t>
  </si>
  <si>
    <t>Antena MW ipasolink 0,3</t>
  </si>
  <si>
    <t>R3100553</t>
  </si>
  <si>
    <t>Radio NEC PASOLINK</t>
  </si>
  <si>
    <t>R3100554</t>
  </si>
  <si>
    <t>Radio NEC PASOLINK TRP-23G-1E</t>
  </si>
  <si>
    <t>R3100555</t>
  </si>
  <si>
    <t xml:space="preserve">Radio Elpo </t>
  </si>
  <si>
    <t>R3100556</t>
  </si>
  <si>
    <t>R3100557</t>
  </si>
  <si>
    <t>Radio NEC pasolink</t>
  </si>
  <si>
    <t>R3100558</t>
  </si>
  <si>
    <t xml:space="preserve">Radio Ceragon  </t>
  </si>
  <si>
    <t>R3100559</t>
  </si>
  <si>
    <t>R3100560</t>
  </si>
  <si>
    <t xml:space="preserve">Radio nec ipasolink </t>
  </si>
  <si>
    <t>R3100561</t>
  </si>
  <si>
    <t>R3100562</t>
  </si>
  <si>
    <t xml:space="preserve">Baseband 6630 </t>
  </si>
  <si>
    <t>TD38827457</t>
  </si>
  <si>
    <t>R3100563</t>
  </si>
  <si>
    <t>Basband  5216</t>
  </si>
  <si>
    <t>TD38884604</t>
  </si>
  <si>
    <t>R3100564</t>
  </si>
  <si>
    <t xml:space="preserve">IDU IPASOLINK 400 </t>
  </si>
  <si>
    <t>R3100565</t>
  </si>
  <si>
    <t>IDU IPASOLANG 400</t>
  </si>
  <si>
    <t>R3100566</t>
  </si>
  <si>
    <t>MODUL REQTY 4 PCS</t>
  </si>
  <si>
    <t>R3100567</t>
  </si>
  <si>
    <t xml:space="preserve">R .4850G  </t>
  </si>
  <si>
    <t>R3100568</t>
  </si>
  <si>
    <t>Batre Huawei Lithium</t>
  </si>
  <si>
    <t>R3100569</t>
  </si>
  <si>
    <t>RACK CABINET</t>
  </si>
  <si>
    <t>E1600040</t>
  </si>
  <si>
    <t>MUARA_BELITI</t>
  </si>
  <si>
    <t>BATTERY LITHIUM</t>
  </si>
  <si>
    <t>E1600041</t>
  </si>
  <si>
    <t>E1600042</t>
  </si>
  <si>
    <t xml:space="preserve">AHEGC </t>
  </si>
  <si>
    <t>E1600043</t>
  </si>
  <si>
    <t>E1600044</t>
  </si>
  <si>
    <t>BTS</t>
  </si>
  <si>
    <t>E1600045</t>
  </si>
  <si>
    <t>IDU NEC 2</t>
  </si>
  <si>
    <t>E1600046</t>
  </si>
  <si>
    <t>METRO E</t>
  </si>
  <si>
    <t>E1600047</t>
  </si>
  <si>
    <t>SUBRACK ELTEK-1 MODULE</t>
  </si>
  <si>
    <t>E1600048</t>
  </si>
  <si>
    <t>BMS 6 EBERGY</t>
  </si>
  <si>
    <t>E1600049</t>
  </si>
  <si>
    <t>ANTENA MW 1.8</t>
  </si>
  <si>
    <t>E1600050</t>
  </si>
  <si>
    <t>ANTENA MW 1.2</t>
  </si>
  <si>
    <t>E1600051</t>
  </si>
  <si>
    <t>E1600052</t>
  </si>
  <si>
    <t>CABEL OPTIK</t>
  </si>
  <si>
    <t>E1600053</t>
  </si>
  <si>
    <t>CABEL COAX</t>
  </si>
  <si>
    <t>E1600054</t>
  </si>
  <si>
    <t>E1600055</t>
  </si>
  <si>
    <t>SAPRAK FXDB</t>
  </si>
  <si>
    <t>E1600056</t>
  </si>
  <si>
    <t>BRACKET AHEGC</t>
  </si>
  <si>
    <t>E1600057</t>
  </si>
  <si>
    <t>TSEL</t>
  </si>
  <si>
    <t xml:space="preserve">CABEL OPTIK </t>
  </si>
  <si>
    <t>E1600058</t>
  </si>
  <si>
    <t>CABEL POWER RRU</t>
  </si>
  <si>
    <t>E1600059</t>
  </si>
  <si>
    <t>E1600060</t>
  </si>
  <si>
    <t>E1600061</t>
  </si>
  <si>
    <t>RACK REKCTY</t>
  </si>
  <si>
    <t>E1600062</t>
  </si>
  <si>
    <t>MODULE RECKTY</t>
  </si>
  <si>
    <t>E1600063</t>
  </si>
  <si>
    <t>SAPRACK RECKTY</t>
  </si>
  <si>
    <t>E1600064</t>
  </si>
  <si>
    <t>E1600065</t>
  </si>
  <si>
    <t>E1600066</t>
  </si>
  <si>
    <t>E1600067</t>
  </si>
  <si>
    <t>EUMB</t>
  </si>
  <si>
    <t>E1600068</t>
  </si>
  <si>
    <t>RECTING RACK RECKTY</t>
  </si>
  <si>
    <t>E1600069</t>
  </si>
  <si>
    <t>ANTENA KABEL GPS</t>
  </si>
  <si>
    <t>E1600070</t>
  </si>
  <si>
    <t>BRACKET POLE ANTENA SECTOR</t>
  </si>
  <si>
    <t>R1200054</t>
  </si>
  <si>
    <t>PUSAT PASAR</t>
  </si>
  <si>
    <t>R1200055</t>
  </si>
  <si>
    <t>R1200056</t>
  </si>
  <si>
    <t>COMBAINER</t>
  </si>
  <si>
    <t>R1200057</t>
  </si>
  <si>
    <t>KABEL POWER</t>
  </si>
  <si>
    <t>R1200058</t>
  </si>
  <si>
    <t>R1200059</t>
  </si>
  <si>
    <t>ANTENA MW 0.3</t>
  </si>
  <si>
    <t>R1200060</t>
  </si>
  <si>
    <t>KABEL COAX</t>
  </si>
  <si>
    <t>R1200061</t>
  </si>
  <si>
    <t>ODU</t>
  </si>
  <si>
    <t>R1200062</t>
  </si>
  <si>
    <t>R1200063</t>
  </si>
  <si>
    <t>BATERAIC</t>
  </si>
  <si>
    <t>R1200064</t>
  </si>
  <si>
    <t>R1200065</t>
  </si>
  <si>
    <t xml:space="preserve">JUMPER ANTENA </t>
  </si>
  <si>
    <t>R1200066</t>
  </si>
  <si>
    <t>JUMPER COMBAINER</t>
  </si>
  <si>
    <t>R1200067</t>
  </si>
  <si>
    <t>BBU</t>
  </si>
  <si>
    <t>R1200068</t>
  </si>
  <si>
    <t>LUB</t>
  </si>
  <si>
    <t>R1200069</t>
  </si>
  <si>
    <t>SPF</t>
  </si>
  <si>
    <t>R1200070</t>
  </si>
  <si>
    <t>BPQ</t>
  </si>
  <si>
    <t>R1200071</t>
  </si>
  <si>
    <t>ACPDB</t>
  </si>
  <si>
    <t>R1200072</t>
  </si>
  <si>
    <t>KABEL ACPDB</t>
  </si>
  <si>
    <t>R3270659</t>
  </si>
  <si>
    <t>PERUMNAS CIJERAH</t>
  </si>
  <si>
    <t>ANTENA SECTORAL</t>
  </si>
  <si>
    <t>212701316sN063001287
21270144s03ees100555
2127013165N013001274
2127013165N0L3001227</t>
  </si>
  <si>
    <t>R3270660</t>
  </si>
  <si>
    <t>AAU</t>
  </si>
  <si>
    <t>AAU5726E2102313XPH10Q5100379</t>
  </si>
  <si>
    <t>R3270661</t>
  </si>
  <si>
    <t>RRU 5502</t>
  </si>
  <si>
    <t xml:space="preserve">21023128SJ10JA000856 21023128SJ10JA14D000848
210231285BSIDUL5101382 </t>
  </si>
  <si>
    <t>R3270662</t>
  </si>
  <si>
    <t>RRU3938</t>
  </si>
  <si>
    <t>212314GJA10R110222</t>
  </si>
  <si>
    <t>R3270663</t>
  </si>
  <si>
    <t>RRU 5866</t>
  </si>
  <si>
    <t>2102314GJM10R7700222</t>
  </si>
  <si>
    <t>R3270664</t>
  </si>
  <si>
    <t>ANTENA MW 0.6</t>
  </si>
  <si>
    <t>21524311-00 AEBU00739</t>
  </si>
  <si>
    <t>R3270665</t>
  </si>
  <si>
    <t>ODU RTN</t>
  </si>
  <si>
    <t>215241403210K2000030
215241403410K5000117</t>
  </si>
  <si>
    <t>R3270666</t>
  </si>
  <si>
    <t>RECKTIFIER</t>
  </si>
  <si>
    <t xml:space="preserve">ES2110043711 </t>
  </si>
  <si>
    <t>R3270667</t>
  </si>
  <si>
    <t>006758
046724
009108</t>
  </si>
  <si>
    <t>R3270668</t>
  </si>
  <si>
    <t>Huawei ESM-48100B1
Huawei ESM-481C00U5</t>
  </si>
  <si>
    <t>R3270669</t>
  </si>
  <si>
    <t>2102120751PQ1002842
210212073116TF1901874</t>
  </si>
  <si>
    <t>R3270670</t>
  </si>
  <si>
    <t>DCDU 16D</t>
  </si>
  <si>
    <t>21021227206TQB913494</t>
  </si>
  <si>
    <t>R3270671</t>
  </si>
  <si>
    <t>2121030116DAEC001639</t>
  </si>
  <si>
    <t>R3270672</t>
  </si>
  <si>
    <t>UELP</t>
  </si>
  <si>
    <t xml:space="preserve">020FED4MGCO12034 </t>
  </si>
  <si>
    <t>R3270673</t>
  </si>
  <si>
    <t>UELP-C</t>
  </si>
  <si>
    <t>022KNY10F1004272</t>
  </si>
  <si>
    <t>R3270674</t>
  </si>
  <si>
    <t xml:space="preserve">COUPLER </t>
  </si>
  <si>
    <t>R3270675</t>
  </si>
  <si>
    <t>SP35</t>
  </si>
  <si>
    <t>R3270676</t>
  </si>
  <si>
    <t>GPS</t>
  </si>
  <si>
    <t>R3270677</t>
  </si>
  <si>
    <t>O21YTFCNFBOO344O</t>
  </si>
  <si>
    <t>R3270678</t>
  </si>
  <si>
    <t>ISM6</t>
  </si>
  <si>
    <t>022VHK10K200443</t>
  </si>
  <si>
    <t>R3270679</t>
  </si>
  <si>
    <t>E64</t>
  </si>
  <si>
    <t>021MXJCNFB001555</t>
  </si>
  <si>
    <t>R3270680</t>
  </si>
  <si>
    <t>Rtn 950</t>
  </si>
  <si>
    <t>E3500389</t>
  </si>
  <si>
    <t>BURNEH</t>
  </si>
  <si>
    <t>N3188038233</t>
  </si>
  <si>
    <t>E3500390</t>
  </si>
  <si>
    <t>SCC800-B1</t>
  </si>
  <si>
    <t>E3500391</t>
  </si>
  <si>
    <t>KABEL POWER DCDU</t>
  </si>
  <si>
    <t>E3500392</t>
  </si>
  <si>
    <t>KABEL BATTERY</t>
  </si>
  <si>
    <t>E3500393</t>
  </si>
  <si>
    <t>RAK RECKTY</t>
  </si>
  <si>
    <t>E3500394</t>
  </si>
  <si>
    <t>SMU RECKTY</t>
  </si>
  <si>
    <t>E3500395</t>
  </si>
  <si>
    <t>E3500396</t>
  </si>
  <si>
    <t>PANEL BOX OUTDOOR</t>
  </si>
  <si>
    <t>E3500397</t>
  </si>
  <si>
    <t>MCMS03-B</t>
  </si>
  <si>
    <t>E3500398</t>
  </si>
  <si>
    <t>PANEL ATS</t>
  </si>
  <si>
    <t>E3500399</t>
  </si>
  <si>
    <t>ACPDB GENSET</t>
  </si>
  <si>
    <t>E3500400</t>
  </si>
  <si>
    <t>DC POWER BLUE</t>
  </si>
  <si>
    <t>E3500401</t>
  </si>
  <si>
    <t>DC POWER HITAM</t>
  </si>
  <si>
    <t>E3500402</t>
  </si>
  <si>
    <t>COAT</t>
  </si>
  <si>
    <t>E3500403</t>
  </si>
  <si>
    <t>E3500404</t>
  </si>
  <si>
    <t>SFP BBU</t>
  </si>
  <si>
    <t>E3500405</t>
  </si>
  <si>
    <t>GIM 01C</t>
  </si>
  <si>
    <t>E3500406</t>
  </si>
  <si>
    <t>NIM 01C3</t>
  </si>
  <si>
    <t>E3500407</t>
  </si>
  <si>
    <t>UIM 02D</t>
  </si>
  <si>
    <t>E3500408</t>
  </si>
  <si>
    <t>UIM 03D</t>
  </si>
  <si>
    <t>E3500409</t>
  </si>
  <si>
    <t>FMLIA</t>
  </si>
  <si>
    <t>E3500410</t>
  </si>
  <si>
    <t>HYBRID KABEL</t>
  </si>
  <si>
    <t>E3500411</t>
  </si>
  <si>
    <t>SMK02C</t>
  </si>
  <si>
    <t>E3500412</t>
  </si>
  <si>
    <t>STICK ROAD MW</t>
  </si>
  <si>
    <t>E3500413</t>
  </si>
  <si>
    <t>21270112534XL300182
21270112534XL4001340
21270112534XL3000085</t>
  </si>
  <si>
    <t>E3500414</t>
  </si>
  <si>
    <t>MW 0,6</t>
  </si>
  <si>
    <t>E3500415</t>
  </si>
  <si>
    <t>MW 1,2</t>
  </si>
  <si>
    <t>E3500416</t>
  </si>
  <si>
    <t>2102312BSJ9WL3000761
2102312BSJ9WL3000595
2102312BSJ9WL200365</t>
  </si>
  <si>
    <t>E3500417</t>
  </si>
  <si>
    <t>RRU 5901</t>
  </si>
  <si>
    <t>2102311QMD108100307
2102311QMD10N710263
2102311QMD6TK9200550</t>
  </si>
  <si>
    <t>E3500418</t>
  </si>
  <si>
    <t>E3500419</t>
  </si>
  <si>
    <t>DPSIID</t>
  </si>
  <si>
    <t>2101073946POJFIOI3504</t>
  </si>
  <si>
    <t>E3500420</t>
  </si>
  <si>
    <t>E3500421</t>
  </si>
  <si>
    <t>E3500422</t>
  </si>
  <si>
    <t>UMPT</t>
  </si>
  <si>
    <t>E3500423</t>
  </si>
  <si>
    <t>UPEU</t>
  </si>
  <si>
    <t>E3500424</t>
  </si>
  <si>
    <t>RECKTY</t>
  </si>
  <si>
    <t>E3500425</t>
  </si>
  <si>
    <t>E3500426</t>
  </si>
  <si>
    <t>BATTERY</t>
  </si>
  <si>
    <t>E3500427</t>
  </si>
  <si>
    <t>RACK-19</t>
  </si>
  <si>
    <t>E3500428</t>
  </si>
  <si>
    <t>E3500429</t>
  </si>
  <si>
    <t>E3500430</t>
  </si>
  <si>
    <t>OPTIK</t>
  </si>
  <si>
    <t>E3500431</t>
  </si>
  <si>
    <t>FAN</t>
  </si>
  <si>
    <t>E3500432</t>
  </si>
  <si>
    <t>E3500433</t>
  </si>
  <si>
    <t>E3500434</t>
  </si>
  <si>
    <t>DCDU 15D</t>
  </si>
  <si>
    <t>E3500435</t>
  </si>
  <si>
    <t>E3500436</t>
  </si>
  <si>
    <t>E3500437</t>
  </si>
  <si>
    <t>ANTENA SECTOR A12</t>
  </si>
  <si>
    <t>E3500438</t>
  </si>
  <si>
    <t>ANTENA SECTOR AQU4</t>
  </si>
  <si>
    <t>E3500439</t>
  </si>
  <si>
    <t>ANTENA SECTOR AW45</t>
  </si>
  <si>
    <t>E3500440</t>
  </si>
  <si>
    <t>E3500441</t>
  </si>
  <si>
    <t>RRU 5905</t>
  </si>
  <si>
    <t>2102312BCY10L1005871
2102312BCY10L100159</t>
  </si>
  <si>
    <t>E3500442</t>
  </si>
  <si>
    <t>RRU 2300</t>
  </si>
  <si>
    <t>2102311HYY10J7001937
2102311HYY10J7001712</t>
  </si>
  <si>
    <t>E3500443</t>
  </si>
  <si>
    <t>2102312B5J9WM2000799
2102312B5J9WM20001022</t>
  </si>
  <si>
    <t>E3500444</t>
  </si>
  <si>
    <t>RRU 5865</t>
  </si>
  <si>
    <t>E3500445</t>
  </si>
  <si>
    <t>E3500446</t>
  </si>
  <si>
    <t>E3500447</t>
  </si>
  <si>
    <t>RAK APM 5930</t>
  </si>
  <si>
    <t>E3500448</t>
  </si>
  <si>
    <t>RAK TMC 11H</t>
  </si>
  <si>
    <t>E3500449</t>
  </si>
  <si>
    <t>RAK RECTI</t>
  </si>
  <si>
    <t>E3500450</t>
  </si>
  <si>
    <t>ESFP TRANSMISI</t>
  </si>
  <si>
    <t>E3500451</t>
  </si>
  <si>
    <t>ESFP RRU</t>
  </si>
  <si>
    <t>E3500452</t>
  </si>
  <si>
    <t>ESFPBBU TO RRU</t>
  </si>
  <si>
    <t>E3500453</t>
  </si>
  <si>
    <t>JUMPER 27</t>
  </si>
  <si>
    <t>E3500454</t>
  </si>
  <si>
    <t>KABEL BATTERY MERAH</t>
  </si>
  <si>
    <t>E3500455</t>
  </si>
  <si>
    <t>KABEL BATTERY HITAM</t>
  </si>
  <si>
    <t>E3500456</t>
  </si>
  <si>
    <t>KABEL POWERBANK BLUEBLACK</t>
  </si>
  <si>
    <t>E3500457</t>
  </si>
  <si>
    <t>ANTENA GPS + ARESTER</t>
  </si>
  <si>
    <t>E3500458</t>
  </si>
  <si>
    <t>POWER ACPDB</t>
  </si>
  <si>
    <t>E3500459</t>
  </si>
  <si>
    <t>RECTI</t>
  </si>
  <si>
    <t>E3500460</t>
  </si>
  <si>
    <t>MODULE RECTI</t>
  </si>
  <si>
    <t>E3500461</t>
  </si>
  <si>
    <t>FAN 02</t>
  </si>
  <si>
    <t>E3500462</t>
  </si>
  <si>
    <t>UBBPE4</t>
  </si>
  <si>
    <t>E3500463</t>
  </si>
  <si>
    <t>UBBPD6</t>
  </si>
  <si>
    <t>E3500464</t>
  </si>
  <si>
    <t>E3500465</t>
  </si>
  <si>
    <t>E3500466</t>
  </si>
  <si>
    <t>BESI C KANAL BTS</t>
  </si>
  <si>
    <t>E3500467</t>
  </si>
  <si>
    <t>E3500468</t>
  </si>
  <si>
    <t>UBBP62</t>
  </si>
  <si>
    <t>21030586261002100000</t>
  </si>
  <si>
    <t>E3500469</t>
  </si>
  <si>
    <t>EMU A</t>
  </si>
  <si>
    <t>E3500470</t>
  </si>
  <si>
    <t>FAN F</t>
  </si>
  <si>
    <t>E3500471</t>
  </si>
  <si>
    <t>RRU 3276</t>
  </si>
  <si>
    <t>2102312HY10J900 709</t>
  </si>
  <si>
    <t>E1200424</t>
  </si>
  <si>
    <t>DAPUR_DUA_BELAS / DAPUR 12</t>
  </si>
  <si>
    <t>KABEL POWER BATTERY</t>
  </si>
  <si>
    <t>E1200425</t>
  </si>
  <si>
    <t>DAPUR_DUA_BELAS / DAPUR 13</t>
  </si>
  <si>
    <t>KABEL POWER ACPDB</t>
  </si>
  <si>
    <t>E1200426</t>
  </si>
  <si>
    <t>DAPUR_DUA_BELAS / DAPUR 14</t>
  </si>
  <si>
    <t>KABEL POWER GROUND</t>
  </si>
  <si>
    <t>E1200427</t>
  </si>
  <si>
    <t>DAPUR_DUA_BELAS / DAPUR 15</t>
  </si>
  <si>
    <t>KABEL POWER FSMF</t>
  </si>
  <si>
    <t>E1200428</t>
  </si>
  <si>
    <t>DAPUR_DUA_BELAS / DAPUR 16</t>
  </si>
  <si>
    <t>KABEL POWER RTN</t>
  </si>
  <si>
    <t>E1200429</t>
  </si>
  <si>
    <t>DAPUR_DUA_BELAS / DAPUR 17</t>
  </si>
  <si>
    <t>RTN 910 A</t>
  </si>
  <si>
    <t>E1200430</t>
  </si>
  <si>
    <t>DAPUR_DUA_BELAS / DAPUR 18</t>
  </si>
  <si>
    <t>RTN 905</t>
  </si>
  <si>
    <t>E1200431</t>
  </si>
  <si>
    <t>DAPUR_DUA_BELAS / DAPUR 19</t>
  </si>
  <si>
    <t>RACK GPS</t>
  </si>
  <si>
    <t>E1200432</t>
  </si>
  <si>
    <t>DAPUR_DUA_BELAS / DAPUR 20</t>
  </si>
  <si>
    <t>RACK KABINET</t>
  </si>
  <si>
    <t>E1200433</t>
  </si>
  <si>
    <t>DAPUR_DUA_BELAS / DAPUR 21</t>
  </si>
  <si>
    <t>E1200434</t>
  </si>
  <si>
    <t>DAPUR_DUA_BELAS / DAPUR 22</t>
  </si>
  <si>
    <t>COVER MODULE RP</t>
  </si>
  <si>
    <t>E1200435</t>
  </si>
  <si>
    <t>DAPUR_DUA_BELAS / DAPUR 23</t>
  </si>
  <si>
    <t>E1200436</t>
  </si>
  <si>
    <t>DAPUR_DUA_BELAS / DAPUR 24</t>
  </si>
  <si>
    <t>MW 1.2</t>
  </si>
  <si>
    <t>E1200437</t>
  </si>
  <si>
    <t>DAPUR_DUA_BELAS / DAPUR 25</t>
  </si>
  <si>
    <t>JUNCTION BOX</t>
  </si>
  <si>
    <t>E1200438</t>
  </si>
  <si>
    <t>DAPUR_DUA_BELAS / DAPUR 26</t>
  </si>
  <si>
    <t xml:space="preserve">CONECTOR COAX </t>
  </si>
  <si>
    <t>E1200439</t>
  </si>
  <si>
    <t>DAPUR_DUA_BELAS / DAPUR 27</t>
  </si>
  <si>
    <t>KABEL POWER TWIS</t>
  </si>
  <si>
    <t>E1200440</t>
  </si>
  <si>
    <t>DAPUR_DUA_BELAS / DAPUR 28</t>
  </si>
  <si>
    <t xml:space="preserve">KABEL COAX </t>
  </si>
  <si>
    <t>E1200441</t>
  </si>
  <si>
    <t>DAPUR_DUA_BELAS / DAPUR 29</t>
  </si>
  <si>
    <t>E1200442</t>
  </si>
  <si>
    <t>DAPUR_DUA_BELAS / DAPUR 30</t>
  </si>
  <si>
    <t>FSMF</t>
  </si>
  <si>
    <t>E1200443</t>
  </si>
  <si>
    <t>DAPUR_DUA_BELAS / DAPUR 31</t>
  </si>
  <si>
    <t>FTIF</t>
  </si>
  <si>
    <t>E1200444</t>
  </si>
  <si>
    <t>DAPUR_DUA_BELAS / DAPUR 32</t>
  </si>
  <si>
    <t>E1200445</t>
  </si>
  <si>
    <t>DAPUR_DUA_BELAS / DAPUR 33</t>
  </si>
  <si>
    <t>E1200446</t>
  </si>
  <si>
    <t>DAPUR_DUA_BELAS / DAPUR 34</t>
  </si>
  <si>
    <t>E1200447</t>
  </si>
  <si>
    <t>DAPUR_DUA_BELAS / DAPUR 35</t>
  </si>
  <si>
    <t>SUBRACK RECTI</t>
  </si>
  <si>
    <t>E1200448</t>
  </si>
  <si>
    <t>DAPUR_DUA_BELAS / DAPUR 36</t>
  </si>
  <si>
    <t>FROU</t>
  </si>
  <si>
    <t>E1200449</t>
  </si>
  <si>
    <t>DAPUR_DUA_BELAS / DAPUR 37</t>
  </si>
  <si>
    <t>E1200450</t>
  </si>
  <si>
    <t>DAPUR_DUA_BELAS / DAPUR 38</t>
  </si>
  <si>
    <t>FXED</t>
  </si>
  <si>
    <t>E1200451</t>
  </si>
  <si>
    <t>DAPUR_DUA_BELAS / DAPUR 39</t>
  </si>
  <si>
    <t>E1200452</t>
  </si>
  <si>
    <t>DAPUR_DUA_BELAS / DAPUR 40</t>
  </si>
  <si>
    <t>LINK INFORMATION</t>
  </si>
  <si>
    <t>14BRS0006 KARANGJUNTI_CM</t>
  </si>
  <si>
    <t>14BRS0011 RUNGKANG_TB</t>
  </si>
  <si>
    <t>Near End</t>
  </si>
  <si>
    <t>Far End</t>
  </si>
  <si>
    <t>Result</t>
  </si>
  <si>
    <t>Latitude</t>
  </si>
  <si>
    <t>6°54'51.5"S</t>
  </si>
  <si>
    <t>6°54'58.1"S</t>
  </si>
  <si>
    <t>Site ID &amp; Site Name (A)</t>
  </si>
  <si>
    <t>Longitude (e)</t>
  </si>
  <si>
    <t>Latitude (s)</t>
  </si>
  <si>
    <t>Antenna Height (m)</t>
  </si>
  <si>
    <t>Azimuth (º)</t>
  </si>
  <si>
    <t>Distance (Km)</t>
  </si>
  <si>
    <t>Candidate</t>
  </si>
  <si>
    <t>Site ID &amp; Site Name (B)</t>
  </si>
  <si>
    <t>Longitude</t>
  </si>
  <si>
    <t>108°47'39.1"E</t>
  </si>
  <si>
    <t>108°48'32.4"E</t>
  </si>
  <si>
    <t>SUM-SU-LBP-0054 BANGUN PURBA Relocation</t>
  </si>
  <si>
    <t>proposed at height 60</t>
  </si>
  <si>
    <t>8.1</t>
  </si>
  <si>
    <t>SUM-SU-SRH-1245 Sei Buaya</t>
  </si>
  <si>
    <t>98.8075625</t>
  </si>
  <si>
    <t>3.2984375</t>
  </si>
  <si>
    <t>proposed at height 50</t>
  </si>
  <si>
    <t>LOS</t>
  </si>
  <si>
    <t>Need actual survey</t>
  </si>
  <si>
    <t>True azimuth (°)</t>
  </si>
  <si>
    <t>proposed at height 52</t>
  </si>
  <si>
    <t>10.5</t>
  </si>
  <si>
    <t>6.6</t>
  </si>
  <si>
    <t>SUM-SU-LBP-0412 Batu Lokong</t>
  </si>
  <si>
    <t>98.8301875</t>
  </si>
  <si>
    <t>3.4295625</t>
  </si>
  <si>
    <t>proposed at height 55</t>
  </si>
  <si>
    <t>Elevation (m)</t>
  </si>
  <si>
    <t>proposed at height 53</t>
  </si>
  <si>
    <t>12.9</t>
  </si>
  <si>
    <t>SUM-SU-SRH-8224 SF_Pematang Raya 2_COLLECTOR</t>
  </si>
  <si>
    <t>98.79774944</t>
  </si>
  <si>
    <t>3.255764722</t>
  </si>
  <si>
    <t>E3500158</t>
  </si>
  <si>
    <t>PLANDI</t>
  </si>
  <si>
    <t>16JMB0118 SUMBER_MULYO_MT</t>
  </si>
  <si>
    <t>112.26398</t>
  </si>
  <si>
    <t>-7.56379</t>
  </si>
  <si>
    <t>proposed at height 43</t>
  </si>
  <si>
    <t>16JMB0108 PLANDI_JMB1_EP</t>
  </si>
  <si>
    <t>112.257794</t>
  </si>
  <si>
    <t>-7.57167</t>
  </si>
  <si>
    <t>proposed at height 32</t>
  </si>
  <si>
    <t>108.7942</t>
  </si>
  <si>
    <t>-6.9143</t>
  </si>
  <si>
    <t>proposed at height 40</t>
  </si>
  <si>
    <t>14BRS0004 KUBANGDJERO_TB</t>
  </si>
  <si>
    <t>108.79078</t>
  </si>
  <si>
    <t>-6.92804</t>
  </si>
  <si>
    <t>proposed at height 38</t>
  </si>
  <si>
    <t>108.809</t>
  </si>
  <si>
    <t>-6.91615</t>
  </si>
  <si>
    <t>14BRS0013 PEJAGAN3RUNGKANG_AG</t>
  </si>
  <si>
    <t>108.81081</t>
  </si>
  <si>
    <t>-6.90065</t>
  </si>
  <si>
    <t>E3200182 GEULIS_RESORT</t>
  </si>
  <si>
    <t>106.866094</t>
  </si>
  <si>
    <t>-6.631617</t>
  </si>
  <si>
    <t>Proposed at height 49</t>
  </si>
  <si>
    <t>JAW-JB-BGR-0421 GERBANG CIAWI</t>
  </si>
  <si>
    <t>106.835292</t>
  </si>
  <si>
    <t>-6.623942</t>
  </si>
  <si>
    <t>Existing</t>
  </si>
  <si>
    <t>Nama</t>
  </si>
  <si>
    <t>ID KTP</t>
  </si>
  <si>
    <t>Tanggal Lahir</t>
  </si>
  <si>
    <t>Task</t>
  </si>
  <si>
    <t>Province</t>
  </si>
  <si>
    <t xml:space="preserve">Jenis Sertif </t>
  </si>
  <si>
    <t>No Sertif</t>
  </si>
  <si>
    <t>Contact</t>
  </si>
  <si>
    <t>Utut Wahyu Eka</t>
  </si>
  <si>
    <t>3175101512870006</t>
  </si>
  <si>
    <t>Engineer</t>
  </si>
  <si>
    <t>BALI</t>
  </si>
  <si>
    <t>Hoirul Anam</t>
  </si>
  <si>
    <t>3509131008950005</t>
  </si>
  <si>
    <t>Team Leader</t>
  </si>
  <si>
    <t>TKPK1</t>
  </si>
  <si>
    <t>12625/TKPK-TK1/XII/2021</t>
  </si>
  <si>
    <t>Muhammad Bahtiar</t>
  </si>
  <si>
    <t>3501120202880002</t>
  </si>
  <si>
    <t>Installer</t>
  </si>
  <si>
    <t>1221181022/N-TKPK1/31/X/2022</t>
  </si>
  <si>
    <t>Martono</t>
  </si>
  <si>
    <t>3511700407860004</t>
  </si>
  <si>
    <t>Ardiyanto Lase</t>
  </si>
  <si>
    <t>2171121512900000</t>
  </si>
  <si>
    <t>15/12/1990</t>
  </si>
  <si>
    <t>FA</t>
  </si>
  <si>
    <t>00716/020/DSB/P3K/SEPTEMBER/22</t>
  </si>
  <si>
    <t>M. Andrian Armeidiana</t>
  </si>
  <si>
    <t>3522060205930005</t>
  </si>
  <si>
    <t>JAKARTA</t>
  </si>
  <si>
    <t>00844/024/DSB/P3K/OCTOBER/22</t>
  </si>
  <si>
    <t>Bagus Tri Wardani</t>
  </si>
  <si>
    <t>3517071608910002</t>
  </si>
  <si>
    <t xml:space="preserve">                16/8/1991</t>
  </si>
  <si>
    <t>0184021122/N-TKPK1/32/XI/2022</t>
  </si>
  <si>
    <t>Akhmad Soleh</t>
  </si>
  <si>
    <t>3371010708840001</t>
  </si>
  <si>
    <t xml:space="preserve">                  7/8/1984</t>
  </si>
  <si>
    <t>Akub</t>
  </si>
  <si>
    <t>3604161201900001</t>
  </si>
  <si>
    <t xml:space="preserve">                20/1/1990</t>
  </si>
  <si>
    <t>Joko Dedoyo Kecil Liyanto</t>
  </si>
  <si>
    <t>3315121502970005</t>
  </si>
  <si>
    <t>JAWA TENGAH</t>
  </si>
  <si>
    <t>Muhamad Ali Nur S</t>
  </si>
  <si>
    <t>3315122911940002</t>
  </si>
  <si>
    <t>0843281022/N-TKPK1/33/X/2022</t>
  </si>
  <si>
    <t>Jimmi Perdana Putra</t>
  </si>
  <si>
    <t>3315120408010003</t>
  </si>
  <si>
    <t>Member</t>
  </si>
  <si>
    <t>0414200922/N-TKPK1/31/IX/2022</t>
  </si>
  <si>
    <t>Hengki Irawan</t>
  </si>
  <si>
    <t>3315120107010009</t>
  </si>
  <si>
    <t>Rano Aprilian Werdhana</t>
  </si>
  <si>
    <t>3578040604880002</t>
  </si>
  <si>
    <t>JAWATIMUR</t>
  </si>
  <si>
    <t>0218190522/N-TKPK1/31/V/2022</t>
  </si>
  <si>
    <t>Adi Putra</t>
  </si>
  <si>
    <t>3516070402920001</t>
  </si>
  <si>
    <t>JAWA TIMUR</t>
  </si>
  <si>
    <t>5268/TKPKT-T1-TELKO/X/2021</t>
  </si>
  <si>
    <t>Riza Brama Putra</t>
  </si>
  <si>
    <t>3578041202860001</t>
  </si>
  <si>
    <t>Dicky Dermawan</t>
  </si>
  <si>
    <t>3578042504020001</t>
  </si>
  <si>
    <t>3378/TKPK-TK1-TELKO/X/2020-BT</t>
  </si>
  <si>
    <t>Widodo</t>
  </si>
  <si>
    <t>3578091606740001</t>
  </si>
  <si>
    <t>16/06/1974</t>
  </si>
  <si>
    <t>01129/042/DSB/P3K/DECEMBER/22</t>
  </si>
  <si>
    <t>Mohamad Hendra</t>
  </si>
  <si>
    <t>5308181905860000</t>
  </si>
  <si>
    <t>19/05/1986</t>
  </si>
  <si>
    <t>KALIMANTAN TIMUR</t>
  </si>
  <si>
    <t>Brayen Varmandhella</t>
  </si>
  <si>
    <t>3506131805990001</t>
  </si>
  <si>
    <t>18/05/1999</t>
  </si>
  <si>
    <t>0548220722/N-TKPK1/51/VII/2022</t>
  </si>
  <si>
    <t>Tri Nurdiansyah</t>
  </si>
  <si>
    <t>3216071611950006</t>
  </si>
  <si>
    <t>16/11/1995</t>
  </si>
  <si>
    <t>22674/TKBT-TK2/X/2020-BT</t>
  </si>
  <si>
    <t>Samsudin Bin Arbaa</t>
  </si>
  <si>
    <t>5308181007910001</t>
  </si>
  <si>
    <t>Sunarji</t>
  </si>
  <si>
    <t>3524161003880001</t>
  </si>
  <si>
    <t>LAMPUNG</t>
  </si>
  <si>
    <t>01128/042/DSB/P3K/DECEMBER/22</t>
  </si>
  <si>
    <t>ahmad</t>
  </si>
  <si>
    <t>7371091507860007</t>
  </si>
  <si>
    <t>MALUKU UTARA</t>
  </si>
  <si>
    <t>Putut Rahadi</t>
  </si>
  <si>
    <t>3578140909680000</t>
  </si>
  <si>
    <t>4957/TKPK-TK1-TELKO/X/2021</t>
  </si>
  <si>
    <t>Andi Kurniawan</t>
  </si>
  <si>
    <t>3328181808890006</t>
  </si>
  <si>
    <t>Achmad Taufan Ardhitya Nugraha</t>
  </si>
  <si>
    <t>3578082603000001</t>
  </si>
  <si>
    <t>0559220722/N-TKPK1/35/VII/2022</t>
  </si>
  <si>
    <t>Obet Benmetan</t>
  </si>
  <si>
    <t>5302072405020001</t>
  </si>
  <si>
    <t>NTT</t>
  </si>
  <si>
    <t>Tarman</t>
  </si>
  <si>
    <t>3514011709780001</t>
  </si>
  <si>
    <t>0058011022/N-TKPK1/32/X/2022</t>
  </si>
  <si>
    <t>Fredi Septi Arianto</t>
  </si>
  <si>
    <t>3517132409880002</t>
  </si>
  <si>
    <t>4350/TKPK-TK1-TELKO/IV/2021</t>
  </si>
  <si>
    <t>Sunardi</t>
  </si>
  <si>
    <t>3574030410840005</t>
  </si>
  <si>
    <t>ABD. KARIM JOKO WIBOWO</t>
  </si>
  <si>
    <t>7306132109790002</t>
  </si>
  <si>
    <t>PAPUA TENGAH</t>
  </si>
  <si>
    <t>MUH. SAMSUNAR S</t>
  </si>
  <si>
    <t>7371120702030007</t>
  </si>
  <si>
    <t>SAPARUDDIN</t>
  </si>
  <si>
    <t>7305011002850001</t>
  </si>
  <si>
    <t>Moch. Ridwan</t>
  </si>
  <si>
    <t>3578141006820003</t>
  </si>
  <si>
    <t>4960/TKPK-TK1-TELKO/X/2021</t>
  </si>
  <si>
    <t>Saddam Husein</t>
  </si>
  <si>
    <t>3578071905920001</t>
  </si>
  <si>
    <t>4959/TKPK-TK1-TELKO/X/2021</t>
  </si>
  <si>
    <t>Moch Haris Islami</t>
  </si>
  <si>
    <t>3578060812840002</t>
  </si>
  <si>
    <t>RIAU</t>
  </si>
  <si>
    <t>5/0783240622/AS.01.04/VI/2022</t>
  </si>
  <si>
    <t>Rafsyanjani Akbar</t>
  </si>
  <si>
    <t>3215051102870003</t>
  </si>
  <si>
    <t>4958/TKPK-TK1-TELKO/X/2021</t>
  </si>
  <si>
    <t>Rekli Mustofa</t>
  </si>
  <si>
    <t>3374131209790006</t>
  </si>
  <si>
    <t>Hari Jumardi</t>
  </si>
  <si>
    <t>1302122903850001</t>
  </si>
  <si>
    <t xml:space="preserve">Defta Maulana </t>
  </si>
  <si>
    <t>1408033011900001</t>
  </si>
  <si>
    <t xml:space="preserve">              30/11/1990</t>
  </si>
  <si>
    <t xml:space="preserve">Edi Suwanto </t>
  </si>
  <si>
    <t>1471071007750042</t>
  </si>
  <si>
    <t xml:space="preserve">Beri Ahmad </t>
  </si>
  <si>
    <t>1403091612885463</t>
  </si>
  <si>
    <t xml:space="preserve">             16/12/1988</t>
  </si>
  <si>
    <t>Mawardi</t>
  </si>
  <si>
    <t>1106023004860003</t>
  </si>
  <si>
    <t>2855040624/N-TKPK1/14/VI/2024</t>
  </si>
  <si>
    <t>Muh. Nur Rizky</t>
  </si>
  <si>
    <t>7371091804010001</t>
  </si>
  <si>
    <t>SULAWESI SELATAN</t>
  </si>
  <si>
    <t>Imam Taupik</t>
  </si>
  <si>
    <t>3523051007900001</t>
  </si>
  <si>
    <t>0563220722/N-TKPK1/35/VII/2022</t>
  </si>
  <si>
    <t>Faisol Amir</t>
  </si>
  <si>
    <t>3524050603850004</t>
  </si>
  <si>
    <t>P.17.1813/TKPK-TK1/XII/2021</t>
  </si>
  <si>
    <t>Sapri</t>
  </si>
  <si>
    <t>7306131810910001</t>
  </si>
  <si>
    <t>Rahman</t>
  </si>
  <si>
    <t>7306081708870020</t>
  </si>
  <si>
    <t>Saiful S</t>
  </si>
  <si>
    <t>7371121808790000</t>
  </si>
  <si>
    <t>18/08/1979</t>
  </si>
  <si>
    <t>SULAWESI TENGGARA</t>
  </si>
  <si>
    <t>Muh.Amin</t>
  </si>
  <si>
    <t>7305011504910000</t>
  </si>
  <si>
    <t>15/01/1991</t>
  </si>
  <si>
    <t>MUH. AMIN</t>
  </si>
  <si>
    <t>7305011504910001</t>
  </si>
  <si>
    <t>SUARJO</t>
  </si>
  <si>
    <t>7315043112950113</t>
  </si>
  <si>
    <t>SAMIR</t>
  </si>
  <si>
    <t>7371091211810008</t>
  </si>
  <si>
    <t>Samson Hidayat</t>
  </si>
  <si>
    <t>3524160202870004</t>
  </si>
  <si>
    <t>0561220722/722/N-TKPK1/35/VII/2022</t>
  </si>
  <si>
    <t>Rizky Fernanda Nur LBS</t>
  </si>
  <si>
    <t>1205143007020007</t>
  </si>
  <si>
    <t>SUMATERA BARAT</t>
  </si>
  <si>
    <t>2848040624/N-TKPK1/14/VI/2024</t>
  </si>
  <si>
    <t>Alam Syah Ginta</t>
  </si>
  <si>
    <t>1219011912800001</t>
  </si>
  <si>
    <t>4336040624/N-TKPK1/14/VI/2024</t>
  </si>
  <si>
    <t>Sediaman</t>
  </si>
  <si>
    <t>1271211211780001</t>
  </si>
  <si>
    <t>Pardin Daulay</t>
  </si>
  <si>
    <t>1203070609811001</t>
  </si>
  <si>
    <t>Tryas Catur Ananda</t>
  </si>
  <si>
    <t>3522082005900000</t>
  </si>
  <si>
    <t>273/PJK3-MEJ-P3K-DTK/BDT-T/DSB/20/06/2022</t>
  </si>
  <si>
    <t>Ismail</t>
  </si>
  <si>
    <t>1271211204800003</t>
  </si>
  <si>
    <t>Darwin</t>
  </si>
  <si>
    <t>1271212912740003</t>
  </si>
  <si>
    <t>2849040624/N-TKPK1/14/VI/2024</t>
  </si>
  <si>
    <t>Pirmansyah</t>
  </si>
  <si>
    <t>1205130109980002</t>
  </si>
  <si>
    <t>Aldira Hidayat</t>
  </si>
  <si>
    <t>1207211704020000</t>
  </si>
  <si>
    <t>Maolana Abdi</t>
  </si>
  <si>
    <t>5271012108940004</t>
  </si>
  <si>
    <t>SUMATERA UTARA</t>
  </si>
  <si>
    <t>0145071022/N-TKPK1/32/X/2022</t>
  </si>
  <si>
    <t>Jumadi Tampubolon</t>
  </si>
  <si>
    <t>5207062105870002</t>
  </si>
  <si>
    <t>Endy</t>
  </si>
  <si>
    <t>1207260704930008</t>
  </si>
  <si>
    <t>Amri Ricardo Sinaga</t>
  </si>
  <si>
    <t>1208162305930002</t>
  </si>
  <si>
    <t>+62 888-0774-1023</t>
  </si>
  <si>
    <t>Bento Sory Pinagar Silalahi</t>
  </si>
  <si>
    <t>1208060911940002</t>
  </si>
  <si>
    <t>Joy Denharris Manurung</t>
  </si>
  <si>
    <t>1208160509970002</t>
  </si>
  <si>
    <t>2065090523/TKBT2/13/V/2023</t>
  </si>
  <si>
    <t>Juhendi Markus Sinaga</t>
  </si>
  <si>
    <t>1208160405850001</t>
  </si>
  <si>
    <t>0547150526/N-TKPK1/30/V/2026</t>
  </si>
  <si>
    <t>Name</t>
  </si>
  <si>
    <t>PIC Site</t>
  </si>
  <si>
    <t>Contact Number</t>
  </si>
  <si>
    <t>Email Company</t>
  </si>
  <si>
    <t>Password</t>
  </si>
  <si>
    <t>Start Account</t>
  </si>
  <si>
    <t>Expired Account</t>
  </si>
  <si>
    <t>Validity Account</t>
  </si>
  <si>
    <t>Muhamad Darmanto</t>
  </si>
  <si>
    <t>3309142707940006</t>
  </si>
  <si>
    <t>087865247367</t>
  </si>
  <si>
    <t>darmanto@tunggalsahabat.co.id</t>
  </si>
  <si>
    <t>Muchamad Faiz Fahmi</t>
  </si>
  <si>
    <t>3325080505030004</t>
  </si>
  <si>
    <t>085643166021</t>
  </si>
  <si>
    <t>faizfahmi@tunggalsahabat.co.id</t>
  </si>
  <si>
    <t>Arrys Yasir Zulkarnain</t>
  </si>
  <si>
    <t>3515111205800002</t>
  </si>
  <si>
    <t>089612377850</t>
  </si>
  <si>
    <t>yasir@tunggalsahabat.co.id</t>
  </si>
  <si>
    <t>FARIZ MEYER</t>
  </si>
  <si>
    <t>3203112212830003</t>
  </si>
  <si>
    <t>08814372949</t>
  </si>
  <si>
    <t>fariz@tunggalsahabat.co.id</t>
  </si>
  <si>
    <t>TAUFIK HIDAYAT</t>
  </si>
  <si>
    <t>3275081809800033</t>
  </si>
  <si>
    <t>081213207645</t>
  </si>
  <si>
    <t>taufik@tunggalsahabat.co.id</t>
  </si>
  <si>
    <t>Abe Taskura Rizal</t>
  </si>
  <si>
    <t>3578020206890006</t>
  </si>
  <si>
    <t>082141021724</t>
  </si>
  <si>
    <t>abe.taskurarizal@tunggalsahabat.co.id</t>
  </si>
  <si>
    <t>JOKO NURSIO</t>
  </si>
  <si>
    <t>3578182109800001</t>
  </si>
  <si>
    <t>087777788432</t>
  </si>
  <si>
    <t>joko.nursio@tunggalsahabat.co.id</t>
  </si>
  <si>
    <t>Suliswanto</t>
  </si>
  <si>
    <t>3316071612950001</t>
  </si>
  <si>
    <t>089670307305</t>
  </si>
  <si>
    <t>suliswanto@tunggalsahabat.co.id</t>
  </si>
  <si>
    <t>&amp;,=U^$rM*k^H</t>
  </si>
  <si>
    <t>Ilham Tirta Kawah</t>
  </si>
  <si>
    <t>3578052606930002</t>
  </si>
  <si>
    <t>085933744676</t>
  </si>
  <si>
    <t>Ilham.tirta@tunggalsahabat.co.id</t>
  </si>
  <si>
    <t>Munasirin</t>
  </si>
  <si>
    <t>Centra Java</t>
  </si>
  <si>
    <t>3324012212860001</t>
  </si>
  <si>
    <t>+62 812-5666-0163</t>
  </si>
  <si>
    <t>munasirin.ext_cj@tunggalsahabat.co.id</t>
  </si>
  <si>
    <t>w[CatTrQLY7G</t>
  </si>
  <si>
    <t>+62 896-7799-6532</t>
  </si>
  <si>
    <t>rano.ext_jav@tunggalsahabat.co.id</t>
  </si>
  <si>
    <t>Pdyp4Pm,$!@X</t>
  </si>
  <si>
    <t>Herawan Bin Nasir</t>
  </si>
  <si>
    <t>Kep. Riau</t>
  </si>
  <si>
    <t>+62 859-3834-20733</t>
  </si>
  <si>
    <t>herawan.ext_sum@tunggalsahabat.co.id</t>
  </si>
  <si>
    <t>b,kTkZ&amp;n4Db2</t>
  </si>
  <si>
    <t>Sunandar Sandya Ramdhan</t>
  </si>
  <si>
    <t>Central Kalimantan</t>
  </si>
  <si>
    <t>7304032512990002</t>
  </si>
  <si>
    <t>+62 823-5732-2405</t>
  </si>
  <si>
    <t>sandya.ext_kal@tunggalsahabat.co.id</t>
  </si>
  <si>
    <t>OrDJNCv?J3oH</t>
  </si>
  <si>
    <t>Adi Nugroho</t>
  </si>
  <si>
    <t>+62 812-3567-0006</t>
  </si>
  <si>
    <t>adinugroho.ext@tunggalsahabat.co.id</t>
  </si>
  <si>
    <t>~K,yBNDoX&amp;@y</t>
  </si>
  <si>
    <t>Andi Wawan</t>
  </si>
  <si>
    <t>West Java</t>
  </si>
  <si>
    <t>3275010107750260</t>
  </si>
  <si>
    <t>+62 819-9910-1650</t>
  </si>
  <si>
    <t>andiwawan.ext_wj@tunggalsahabat.co.id</t>
  </si>
  <si>
    <t>wgwYgLGQbl$6</t>
  </si>
  <si>
    <t>Dedi Djunaidi</t>
  </si>
  <si>
    <t>7171032606700001</t>
  </si>
  <si>
    <t>+62 81-1412-1707</t>
  </si>
  <si>
    <t>djunaidi.ext_sul@tunggalsahabat.co.id</t>
  </si>
  <si>
    <t>VPZ^J}VD8mWF</t>
  </si>
  <si>
    <t>Safar</t>
  </si>
  <si>
    <t>Sulawesi Tenggara</t>
  </si>
  <si>
    <t>7402020511850003</t>
  </si>
  <si>
    <t>+62 852-4162-2480</t>
  </si>
  <si>
    <t>safar.ext_ken@tunggalsahabat.co.id</t>
  </si>
  <si>
    <t>&amp;eg?Q5Y2V~ff</t>
  </si>
  <si>
    <t>Dwi Raharjo</t>
  </si>
  <si>
    <t>Jabo</t>
  </si>
  <si>
    <t>3304121003890006</t>
  </si>
  <si>
    <t>+62 838-4577-1263</t>
  </si>
  <si>
    <t>raharjo.ext_jabo@tunggalsahabat.co.id</t>
  </si>
  <si>
    <t>*5tuQ@s?yw2#</t>
  </si>
  <si>
    <t>Rangga Kenanga</t>
  </si>
  <si>
    <t>3201201409810001</t>
  </si>
  <si>
    <t>+62 895-1706-7001</t>
  </si>
  <si>
    <t>rangga.kenanga@tunggalsahabat.co.id</t>
  </si>
  <si>
    <t>6q5e*8)0UU9z</t>
  </si>
  <si>
    <t>+62 819-590-886</t>
  </si>
  <si>
    <t>dicky.dermawan_ext@tunghalsahabat.co.id</t>
  </si>
  <si>
    <t>9@6Y549;*Y26</t>
  </si>
  <si>
    <t>Haslan</t>
  </si>
  <si>
    <t>Sulawesi Selatan</t>
  </si>
  <si>
    <t>7372041010840003</t>
  </si>
  <si>
    <t>haslan_ext@tunggalsahabat.co.id</t>
  </si>
  <si>
    <t>bv#(RWlm~VR=</t>
  </si>
  <si>
    <t>Agus Sudarwanto</t>
  </si>
  <si>
    <t>3524131805850002</t>
  </si>
  <si>
    <t>agus.sudarwanto_ext@tunggalsahabat.co.id</t>
  </si>
  <si>
    <t>+}aYEo)0ssT0%</t>
  </si>
  <si>
    <t>Muchammad Adhim</t>
  </si>
  <si>
    <t>3515130404860005</t>
  </si>
  <si>
    <t>muchammad.adhim_ext@tunggalsahabat.co.id</t>
  </si>
  <si>
    <t>pTo_[-2v7,{q</t>
  </si>
  <si>
    <t>hoirulanam.ext_ej@tunggalsahabat.co.id</t>
  </si>
  <si>
    <t>Td7Tj=mN$~t^</t>
  </si>
  <si>
    <t>Bayu Martin Iksanudin</t>
  </si>
  <si>
    <t>3315121209950002</t>
  </si>
  <si>
    <t>bayu.martin_ext@tunggalsahabat.co.id</t>
  </si>
  <si>
    <t>zY$C^lcK47]l</t>
  </si>
  <si>
    <t>Arif Moh Riyadi</t>
  </si>
  <si>
    <t>3315121006860001</t>
  </si>
  <si>
    <t>arif.mohriyadi_ext@tunggalsahabat.co.id</t>
  </si>
  <si>
    <t>Doiw4{hY}veM</t>
  </si>
  <si>
    <t>Mubarok</t>
  </si>
  <si>
    <t>3578161408870011</t>
  </si>
  <si>
    <t>mubarok_ext@tunggalsahabat.co.id</t>
  </si>
  <si>
    <t>2#.ZVXUo;akB</t>
  </si>
  <si>
    <t>Yuda</t>
  </si>
  <si>
    <t>3216220112820005</t>
  </si>
  <si>
    <t>yuda.ext@tunggalsahabat.co.id</t>
  </si>
  <si>
    <t>wo&amp;cF!d@olge</t>
  </si>
  <si>
    <t>Haris Affandie</t>
  </si>
  <si>
    <t>6471052008800013</t>
  </si>
  <si>
    <t>081258518280</t>
  </si>
  <si>
    <t>haris.affandie_ext@tunggalsahabat.co.id</t>
  </si>
  <si>
    <t>-A_n-a5o#2Ha</t>
  </si>
  <si>
    <t>Bambang Sumartono</t>
  </si>
  <si>
    <t>3374091003740004</t>
  </si>
  <si>
    <t>085742288777</t>
  </si>
  <si>
    <t>bambang_ext.cj@tunggalsahabat.co.id</t>
  </si>
  <si>
    <t>#1F;)ybihtst</t>
  </si>
  <si>
    <t>Tri Margiyanto</t>
  </si>
  <si>
    <t>JAYENGAN</t>
  </si>
  <si>
    <t>3311012907830000</t>
  </si>
  <si>
    <t>085332424444</t>
  </si>
  <si>
    <t>tri.margiyanto_ext@tunggalsahabat.co.id</t>
  </si>
  <si>
    <t>QK4rwj]SJ2YF</t>
  </si>
  <si>
    <t>Yoricho Bashkara</t>
  </si>
  <si>
    <t>PEMENANG BARAT</t>
  </si>
  <si>
    <t>3275091304950022</t>
  </si>
  <si>
    <t>087845606243</t>
  </si>
  <si>
    <t>yoricho.bashkara@tunggal.sahabat.co.id</t>
  </si>
  <si>
    <t>QJ0mrq3Vy,IN</t>
  </si>
  <si>
    <t>Yayat</t>
  </si>
  <si>
    <t>Kayoon</t>
  </si>
  <si>
    <t>3211180401790001</t>
  </si>
  <si>
    <t>083148960851</t>
  </si>
  <si>
    <t>yayat_ext@tunggalsahabat.co.id</t>
  </si>
  <si>
    <t>En4W{a.vOGbc</t>
  </si>
  <si>
    <t>Ajang Suprianto</t>
  </si>
  <si>
    <t>08813913468</t>
  </si>
  <si>
    <t>ajang.suprianto_ext@tunggalsahabat.co.id</t>
  </si>
  <si>
    <t>}2bt8Cs*O=-p</t>
  </si>
  <si>
    <t>Dede Darno</t>
  </si>
  <si>
    <t>083112166206</t>
  </si>
  <si>
    <t>dede.darno_ext@tunggalsahabat.co.id</t>
  </si>
  <si>
    <t>r5%AXQTo$&amp;ec</t>
  </si>
  <si>
    <t>Edih</t>
  </si>
  <si>
    <t>085600237809</t>
  </si>
  <si>
    <t>edih_ext@tunggalsahabat.co.id</t>
  </si>
  <si>
    <t>j%V+3]?sfF.]</t>
  </si>
  <si>
    <t>Priatna</t>
  </si>
  <si>
    <t>3211130901890002</t>
  </si>
  <si>
    <t>088295614399</t>
  </si>
  <si>
    <t>priatna_ext@tunggalsahabat.co.id</t>
  </si>
  <si>
    <t>f?~.;{n36q#u</t>
  </si>
  <si>
    <t>Supriatna</t>
  </si>
  <si>
    <t>3211112311740009</t>
  </si>
  <si>
    <t>082286731149</t>
  </si>
  <si>
    <t>supriatna_ext@tunggalsahabat.co.id</t>
  </si>
  <si>
    <t>,@,WRs)QS(NV</t>
  </si>
  <si>
    <t>Wino</t>
  </si>
  <si>
    <t>3304141604820004</t>
  </si>
  <si>
    <t>085291104789</t>
  </si>
  <si>
    <t>wino_ext@tunggalsahabat.co.id</t>
  </si>
  <si>
    <t>!?G~9r5=uyaj</t>
  </si>
  <si>
    <t>Bibit Purwanto</t>
  </si>
  <si>
    <t>3373010201840002</t>
  </si>
  <si>
    <t>+62 822-3408-7449</t>
  </si>
  <si>
    <t>bibit.purwanto_ext@tunggalsahabat.co.id</t>
  </si>
  <si>
    <t>O.V}mG@4m-4}</t>
  </si>
  <si>
    <t>Tri Heru Saputro</t>
  </si>
  <si>
    <t>3374131107810002</t>
  </si>
  <si>
    <t xml:space="preserve">+62 856-4341-6014 </t>
  </si>
  <si>
    <t>tri.herusaputro_ext@tunggalsahabat.co.id</t>
  </si>
  <si>
    <t>8n0X3d5_25N5</t>
  </si>
  <si>
    <t>Slamet Riyadi</t>
  </si>
  <si>
    <t>3306060307830004</t>
  </si>
  <si>
    <t>+62 831-3121-2477</t>
  </si>
  <si>
    <t>slamet.riyadi_ext@tunggalsahabat.co.id</t>
  </si>
  <si>
    <t>k*Q(qI+i(S$_</t>
  </si>
  <si>
    <t>Beni Prasetyo</t>
  </si>
  <si>
    <t>3373011001800006</t>
  </si>
  <si>
    <t>+62 831-9397-3243</t>
  </si>
  <si>
    <t>beni.prasetyo_ext@tunggalsahabat.co.id</t>
  </si>
  <si>
    <t>K#&amp;&amp;R-~IIfn*</t>
  </si>
  <si>
    <t>Sodikin</t>
  </si>
  <si>
    <t>3322060912820001</t>
  </si>
  <si>
    <t>+62 851-8935-4982</t>
  </si>
  <si>
    <t>sodikin_ext@tunggalsahabat.co.id</t>
  </si>
  <si>
    <t>Tt]ee(aWmO#o</t>
  </si>
  <si>
    <t>Eko Hariyanto</t>
  </si>
  <si>
    <t>3373012007830003</t>
  </si>
  <si>
    <t>+62 857-0466-5890</t>
  </si>
  <si>
    <t>eko.hariyanto_ext@tunggalsahabat.co.id</t>
  </si>
  <si>
    <t>2]#aCG?p$K$h</t>
  </si>
  <si>
    <t>Dafit Suhirwanto</t>
  </si>
  <si>
    <t>3322062408850001</t>
  </si>
  <si>
    <t>+62 819-3668-3830</t>
  </si>
  <si>
    <t>dafit.suhirwanto_ext@tunggalsahabat.co.id</t>
  </si>
  <si>
    <t>8X6xX7df3ohm</t>
  </si>
  <si>
    <t>Prolis Heru Murdiyanto</t>
  </si>
  <si>
    <t>3578060812800003</t>
  </si>
  <si>
    <t>+62 822-2881-9193</t>
  </si>
  <si>
    <t>prolisheru@tunggalsahabat.co.id</t>
  </si>
  <si>
    <t>Kusmana Ardiansyah</t>
  </si>
  <si>
    <t>kusmana.ardiansyah_ext@tunggalsahabat.co.id</t>
  </si>
  <si>
    <t>v6bzIUL3?-[V</t>
  </si>
  <si>
    <t>Al Kasan Sahbrawi</t>
  </si>
  <si>
    <t>alkasan.sahbrawi_ext@tunggalsahabat.co.id</t>
  </si>
  <si>
    <t>OCiAox(@n=a8</t>
  </si>
  <si>
    <t>H Ajo Eko</t>
  </si>
  <si>
    <t>h.ajoeko_ext@tunggalsahabat.co.id</t>
  </si>
  <si>
    <t>jXl$;%Xg9ph9</t>
  </si>
  <si>
    <t>Repah Eka Wigelar</t>
  </si>
  <si>
    <t>repah.eka_ext@tunggalsahabat.co.id</t>
  </si>
  <si>
    <t>noPXzC-TA!g&amp;</t>
  </si>
  <si>
    <t>Endi Suhendi</t>
  </si>
  <si>
    <t>endi.suhendi_ext@tunggalsahabat.co.id</t>
  </si>
  <si>
    <t>sUO$ZVnsgI%[</t>
  </si>
  <si>
    <t>Dedi</t>
  </si>
  <si>
    <t>dedi_ext@tunggalsahabat.co.id</t>
  </si>
  <si>
    <t>VOt,q%0kld_w</t>
  </si>
  <si>
    <t>Mastam</t>
  </si>
  <si>
    <t>mastam_ext@tunggalsahabat.co.id</t>
  </si>
  <si>
    <t>Ab!CR8obxp=r</t>
  </si>
  <si>
    <t>Nur Arifin</t>
  </si>
  <si>
    <t>nur.arifin_ext@tunggalsahabat.co.id</t>
  </si>
  <si>
    <t>?42[Ggyk+XQz</t>
  </si>
  <si>
    <t>Rifaldi</t>
  </si>
  <si>
    <t>rifaldi_ext@tunggalsahabat.co.id</t>
  </si>
  <si>
    <t>uq(T.y?km5qn</t>
  </si>
  <si>
    <t>Taufan Agya Wiguna</t>
  </si>
  <si>
    <t>taufan.agya_ext@tunggalsahabat.co.id</t>
  </si>
  <si>
    <t>myJeqR}2e9-C</t>
  </si>
  <si>
    <t>Demak Hutahean</t>
  </si>
  <si>
    <t>Sumatera Utara</t>
  </si>
  <si>
    <t>1211012412890002</t>
  </si>
  <si>
    <t>Sumarlin Kaban</t>
  </si>
  <si>
    <t>1211060207940001</t>
  </si>
  <si>
    <t>1207062105870002</t>
  </si>
  <si>
    <t>Arnold Zeneger Sigalingging</t>
  </si>
  <si>
    <t>1211012911940002</t>
  </si>
  <si>
    <t>Miskam</t>
  </si>
  <si>
    <t>3207361807810001</t>
  </si>
  <si>
    <t>Giyanto</t>
  </si>
  <si>
    <t>3674040107780002</t>
  </si>
  <si>
    <t>+62 812-9264-9788</t>
  </si>
  <si>
    <t>giyanto.wj_ext@tunggalsahabat.co.id</t>
  </si>
  <si>
    <t>M#U.(Ni#fSt}</t>
  </si>
  <si>
    <t>Stefanus Jatmiko</t>
  </si>
  <si>
    <t>stefanus.jatmiko_ext@tunggalsahabat.co.id</t>
  </si>
  <si>
    <t>DX_!HoF*&gt;ZL</t>
  </si>
  <si>
    <t>Yadi Hermansyah</t>
  </si>
  <si>
    <t>yadi.hermansyah_ext@tunggalsahabat.co.id</t>
  </si>
  <si>
    <t>XxkCR2#Up!.,</t>
  </si>
  <si>
    <t>Apudin Maulana</t>
  </si>
  <si>
    <t>apudin.maulana_ext@tunggalsahabat.co.id</t>
  </si>
  <si>
    <t>oVfC,o*Y2JB~</t>
  </si>
  <si>
    <t>Fauzi Arief</t>
  </si>
  <si>
    <t>fauzi.arief_ext@tunggalsahabat.co.id</t>
  </si>
  <si>
    <t>d}AItFWa-XG!</t>
  </si>
  <si>
    <t>Ari Suryanto</t>
  </si>
  <si>
    <t>ari.suryanto_ext@tunggalsahabat.co.id</t>
  </si>
  <si>
    <t>s~lFTI1pvQ)I</t>
  </si>
  <si>
    <t>Afryla Akbar</t>
  </si>
  <si>
    <t>afryla.akbar_ext@tunggalsahabat.co.id</t>
  </si>
  <si>
    <t>8~Q{H?vaEhg3</t>
  </si>
  <si>
    <t>Husen Wahyudi</t>
  </si>
  <si>
    <t>husen.wahyudi_ext@tunggalsahabat.co.id</t>
  </si>
  <si>
    <t>ixB#YM-kiyWt</t>
  </si>
  <si>
    <t>Onie Albert Manopo</t>
  </si>
  <si>
    <t>onie.albert_ext@tunggalsahabat.co.id</t>
  </si>
  <si>
    <t>tS&amp;XSM.j]aR@</t>
  </si>
  <si>
    <t>Jefri Mokotika</t>
  </si>
  <si>
    <t>jefri.mokotika_ext@tunggalsahabat.co.id</t>
  </si>
  <si>
    <t>NmmPLD4Vk,xn</t>
  </si>
  <si>
    <t>Ongky Kevin Tandaju</t>
  </si>
  <si>
    <t>ongky.kevin_ext@tunggalsahabat.co.id</t>
  </si>
  <si>
    <t>Y&amp;?OB,04Rm32</t>
  </si>
  <si>
    <t>Yosua Ronaldo Andu</t>
  </si>
  <si>
    <t>yosua.ronaldo_ext@tunggalsahabat.co.id</t>
  </si>
  <si>
    <t>3B~FW4d*+=2y</t>
  </si>
  <si>
    <t>Saharuddin</t>
  </si>
  <si>
    <t>saharuddin_ext@tunggalsahabat.co.id</t>
  </si>
  <si>
    <t>5^+30,Pj=07M</t>
  </si>
  <si>
    <t>Topan Effendy</t>
  </si>
  <si>
    <t>topan.effendy_ext@tunggalsahabat.co.id</t>
  </si>
  <si>
    <t>Nq%gj$WjV2vo</t>
  </si>
  <si>
    <t>Yoan Rivandi</t>
  </si>
  <si>
    <t>yoan.rivandi_ext@tunggalsahabat.co.id</t>
  </si>
  <si>
    <t>y+!~4SMQhLrQ</t>
  </si>
  <si>
    <t>Create Date</t>
  </si>
  <si>
    <t>SPH Number</t>
  </si>
  <si>
    <t>Scope</t>
  </si>
  <si>
    <t>Description</t>
  </si>
  <si>
    <t>Price</t>
  </si>
  <si>
    <t>Total</t>
  </si>
  <si>
    <t>DRM</t>
  </si>
  <si>
    <t>BAN App</t>
  </si>
  <si>
    <t>BAN Number</t>
  </si>
  <si>
    <t>E3500300</t>
  </si>
  <si>
    <t>DUKUH_KUPANG</t>
  </si>
  <si>
    <t>006/TSA-SPH-CMI/VIII/2025</t>
  </si>
  <si>
    <t>Dismantle Tower</t>
  </si>
  <si>
    <t>Biaya buat Pagar site keliling 48 m²</t>
  </si>
  <si>
    <t>All In</t>
  </si>
  <si>
    <t>Management fee pembuatan Pagar</t>
  </si>
  <si>
    <t>sewa genset 5 kva</t>
  </si>
  <si>
    <t>day</t>
  </si>
  <si>
    <t>BBM Genset</t>
  </si>
  <si>
    <t>Operator Genset</t>
  </si>
  <si>
    <t>Relocation Equipment</t>
  </si>
  <si>
    <t>Kabel AWG 10 XL</t>
  </si>
  <si>
    <t>meter</t>
  </si>
  <si>
    <t>Kabel AWG 6 IOH</t>
  </si>
  <si>
    <t>Kabel Feeder 7/8</t>
  </si>
  <si>
    <t>Jumper Feeder</t>
  </si>
  <si>
    <t>Connector Feeder</t>
  </si>
  <si>
    <t>E3300285</t>
  </si>
  <si>
    <t>014/TSA-SPH-CMI/X/2025</t>
  </si>
  <si>
    <t>Pembongkaran pondasi ex tower dan bts serta perapian renovasi gedung oleh pihak pemilik lahan</t>
  </si>
  <si>
    <t>Ls</t>
  </si>
  <si>
    <t>Management Fee</t>
  </si>
  <si>
    <t>E1200372</t>
  </si>
  <si>
    <t>NONGSA_RESORT_1</t>
  </si>
  <si>
    <t>007/TSA-SPH-CMI/X/2025</t>
  </si>
  <si>
    <t>Scrap Lokal onsite</t>
  </si>
  <si>
    <t>Kg</t>
  </si>
  <si>
    <t>Material + Jasa pembuatan rumah genset</t>
  </si>
  <si>
    <t>Reinstall Genset</t>
  </si>
  <si>
    <t>Pembelian rack outdoor</t>
  </si>
  <si>
    <t>Unit</t>
  </si>
  <si>
    <t>Pembelian kabel power NYFGBY 4 x 16</t>
  </si>
  <si>
    <t>Meter</t>
  </si>
  <si>
    <t>Optic 100 meter</t>
  </si>
  <si>
    <t>Pcs</t>
  </si>
  <si>
    <t>Tiket Pesawat Jakarta - Batam</t>
  </si>
  <si>
    <t>Person</t>
  </si>
  <si>
    <t>Tiket Pesawat Batam - Jakarta</t>
  </si>
  <si>
    <t>E3600214</t>
  </si>
  <si>
    <t>SUPERMAL</t>
  </si>
  <si>
    <t>013/TSA-SPH-CMI/X/2025</t>
  </si>
  <si>
    <t>Pembelian Rack Outdoor include delivery</t>
  </si>
  <si>
    <t>Pembelian Kabel AWG 10</t>
  </si>
  <si>
    <t>Pembelian opctic CPRI 70 meter</t>
  </si>
  <si>
    <t>Pembelian Kabel coax RG8</t>
  </si>
  <si>
    <t>E1200351</t>
  </si>
  <si>
    <t>DANAGRAHA_BUILDING1 / DANA GRAHA</t>
  </si>
  <si>
    <t>001/TSA-SPH-CMI/XI/2025</t>
  </si>
  <si>
    <t>Membrane bakar merk fosroc 14 meter (2 rol x 10 m)</t>
  </si>
  <si>
    <t>roll</t>
  </si>
  <si>
    <t>Tukang pasang membrane bakar</t>
  </si>
  <si>
    <t>Ongkos unloading material ke lt 6</t>
  </si>
  <si>
    <t>PB-CME-266 Plester Aci</t>
  </si>
  <si>
    <t>M²</t>
  </si>
  <si>
    <t>PB-CME-266 Waterproofing (SikaTop 107 Seal)</t>
  </si>
  <si>
    <t>PB-CME-271 Pengecatan</t>
  </si>
  <si>
    <t>006/TSA-SPH-CMI/X/2025</t>
  </si>
  <si>
    <t>Project Management fee</t>
  </si>
  <si>
    <t>Delivery material scrap</t>
  </si>
  <si>
    <t>Biaya Langsir roaster dari site ke WH TSA Surabaya</t>
  </si>
  <si>
    <t>E6400049</t>
  </si>
  <si>
    <t>WADUK MANGGAR</t>
  </si>
  <si>
    <t>001/TSA-SPH-CMI/XII/2025</t>
  </si>
  <si>
    <t>Ticket Pesawat Semarang to Balikpapan</t>
  </si>
  <si>
    <t>orang</t>
  </si>
  <si>
    <t>Ticket Kapal Laut Balikpapan to Semarang</t>
  </si>
  <si>
    <t>006/TSA-SPH-CMI/IX/2025</t>
  </si>
  <si>
    <t>Pembelian Rak Outdoor + Delivery</t>
  </si>
  <si>
    <t>Set</t>
  </si>
  <si>
    <t>Ticket Pesawat Makassar - Ternate</t>
  </si>
  <si>
    <t>Ticket Pesawat Ternate - Makassar</t>
  </si>
  <si>
    <t>Jasa Pengambilan Rack + Delivery Makassar ke site</t>
  </si>
  <si>
    <t>Pengiriman MW dari Makassar ke site</t>
  </si>
  <si>
    <t>004/TSA-SPH-CMI/XII/2025</t>
  </si>
  <si>
    <t>Ticket Pesawat team dismantle tower Surabaya - Ternate</t>
  </si>
  <si>
    <t>Ticket Pesawat team dismantle tower Ternate - Surabaya</t>
  </si>
  <si>
    <t>Ticket Speedboat Ternate - Jailolo PP</t>
  </si>
  <si>
    <t>Ticket Bus Semarang - Surabaya PP</t>
  </si>
  <si>
    <t>Reloc Genset</t>
  </si>
  <si>
    <t>TRANS KALIMANTAN</t>
  </si>
  <si>
    <t>002/TSA-SPH-CMI/II/2026</t>
  </si>
  <si>
    <t>Cable Power RRU Awg 2x10 IOH</t>
  </si>
  <si>
    <t>Cable Power RRU Awg 2x10 XLS</t>
  </si>
  <si>
    <t>E1200343</t>
  </si>
  <si>
    <t>TEMIANG_BATAM / BUKIT MATA KUCING 2</t>
  </si>
  <si>
    <t>009/TSA-SPH-CMI/XI/2025</t>
  </si>
  <si>
    <t>Pembelian kabel twisted 2 x 16 (70m x 3tarikan)</t>
  </si>
  <si>
    <t>M</t>
  </si>
  <si>
    <t>Pembelian optic 100m x 3tarikan</t>
  </si>
  <si>
    <t>R3100450</t>
  </si>
  <si>
    <t>KEBON SIRIH</t>
  </si>
  <si>
    <t>Jasa Kontraktor / AKLI</t>
  </si>
  <si>
    <t>Multiguna PLN 24-12-25 sd 20-01-26</t>
  </si>
  <si>
    <t>002/TSA-SPH-CMI/XII/2025</t>
  </si>
  <si>
    <t>Sewa Alat Berat</t>
  </si>
  <si>
    <t>hari</t>
  </si>
  <si>
    <t>Buang puing pondasi</t>
  </si>
  <si>
    <t>rit</t>
  </si>
  <si>
    <t>Import Soil</t>
  </si>
  <si>
    <t>m3</t>
  </si>
  <si>
    <t>Management Fee sewa alat berat &amp; buang pondasi</t>
  </si>
  <si>
    <t>E3600061</t>
  </si>
  <si>
    <t>PARUNGSARI</t>
  </si>
  <si>
    <t>007/TSA-SPH-CMI/I/2026</t>
  </si>
  <si>
    <t>Kabel power twist 4x16mm</t>
  </si>
  <si>
    <t>Tiang FO 7m IOH</t>
  </si>
  <si>
    <t>Jasa Pasang tiang FO</t>
  </si>
  <si>
    <t>Jasa Pemindahan + Splicing 24 Core  FO TSEL</t>
  </si>
  <si>
    <t>Jasa Pemindahan + Splicing 12 Core+Cable 100m  FO Mandau (IOH)</t>
  </si>
  <si>
    <t>PB-PWR-18 Reinstall Genset, Fuel Tank, ATS (Inc. Wiring, Commisioning and Fungtional Test)</t>
  </si>
  <si>
    <t>E6400129</t>
  </si>
  <si>
    <t>SUSUK</t>
  </si>
  <si>
    <t>005/TSA-SPH-CMI/I/2026</t>
  </si>
  <si>
    <t>Bus Semarang to Surabaya PP</t>
  </si>
  <si>
    <t>Tiket Pesawat Surabaya to Samarinda</t>
  </si>
  <si>
    <t>Travel Samarinda to Site PP</t>
  </si>
  <si>
    <t>Tiket Pesawat Jakarta to Samarinda</t>
  </si>
  <si>
    <t>R6400134</t>
  </si>
  <si>
    <t>BATUAH KM.45</t>
  </si>
  <si>
    <t>006/TSA-SPH-CMI/I/2026</t>
  </si>
  <si>
    <t>PB-PWR-18 Re instal Genset,Fuel tank,ATS (Inc wiring,Commisioning and Fungtional Test)</t>
  </si>
  <si>
    <t>001/TSA-SPH-CMI/II/2026</t>
  </si>
  <si>
    <t>Cable Optik CPRI SM 70m</t>
  </si>
  <si>
    <t>Cancel</t>
  </si>
  <si>
    <t>Cable Jumper DM-N4310 3m</t>
  </si>
  <si>
    <t>P02-003-017 Supply and Install NYFGBY 4x16 mm2 include Accessories</t>
  </si>
  <si>
    <t>Cable Power RRU Awg 2x10</t>
  </si>
  <si>
    <t>R5100118</t>
  </si>
  <si>
    <t>PENYARINGAN RELOC</t>
  </si>
  <si>
    <t>003/TSA-SPH-CMI/II/2026</t>
  </si>
  <si>
    <t>Cable coax MW IOH</t>
  </si>
  <si>
    <t>011-DR-BAN/0426</t>
  </si>
  <si>
    <t>Cable Power RRU IOH 15 meter x 6 tarikan</t>
  </si>
  <si>
    <t>Cable Power RRU XL 20 meter x 6 tarikan</t>
  </si>
  <si>
    <t>Cable Power RRU Tsel 10 meter x 7 tarikan</t>
  </si>
  <si>
    <t>R7300203</t>
  </si>
  <si>
    <t>KIMA 2</t>
  </si>
  <si>
    <t>004/TSA-SPH-CMI/II/2026</t>
  </si>
  <si>
    <t>Cable Power RRU IOH 4 Meter x 4 Tarikan</t>
  </si>
  <si>
    <t>005/TSA-SPH-CMI/II/2026</t>
  </si>
  <si>
    <t>R35780005</t>
  </si>
  <si>
    <t>WONOKESUMO</t>
  </si>
  <si>
    <t>001/TSA-SPH-CMI/IV/2026</t>
  </si>
  <si>
    <t>Pulling cable FO</t>
  </si>
  <si>
    <t>Bongkar pasang OTB</t>
  </si>
  <si>
    <t>Joint core</t>
  </si>
  <si>
    <t>core</t>
  </si>
  <si>
    <t>017-DR-BAN 0426</t>
  </si>
  <si>
    <t>E3100287</t>
  </si>
  <si>
    <t>KAMPUNG_SAWAH</t>
  </si>
  <si>
    <t>002/TSA-SPH-CMI/IV/2026</t>
  </si>
  <si>
    <t>Kabel Power Twisted</t>
  </si>
  <si>
    <t>E02-005-002 Galian tanah pondasi</t>
  </si>
  <si>
    <t>E02-005-003 Urugan kembali tanah pondasi</t>
  </si>
  <si>
    <t>E02-005-007-1 Volume beton K-225 tanpa tulangan</t>
  </si>
  <si>
    <t>E02-005-008 Pondasi batu kali incl tangga</t>
  </si>
  <si>
    <t>E02-005-012 Sand layer</t>
  </si>
  <si>
    <t>003/TSA-SPH-CMI/IV/2026</t>
  </si>
  <si>
    <t>Pulling cable FO IOH &amp; SF</t>
  </si>
  <si>
    <t>020-DR-BAN 0526</t>
  </si>
  <si>
    <t>Bongkar pasang OTB IOH &amp; SF</t>
  </si>
  <si>
    <t>Joint core IOH &amp; SF</t>
  </si>
  <si>
    <t>E6400127</t>
  </si>
  <si>
    <t>N_KALIORANG</t>
  </si>
  <si>
    <t>005/TSA-SPH-CMI/IV/2026</t>
  </si>
  <si>
    <t>Delivery Cabinet from Balikpapan to site</t>
  </si>
  <si>
    <t>022-DR-BAN 0526</t>
  </si>
  <si>
    <t>Kabel NYY 4x16 ACPDB to Recty</t>
  </si>
  <si>
    <t xml:space="preserve">Pengadaan rack enclosure </t>
  </si>
  <si>
    <t>Akomodasi Team 2 orang</t>
  </si>
  <si>
    <t>006/TSA-SPH-CMI/IV/2026</t>
  </si>
  <si>
    <t>Cable Power RRU Telkomsel Awg 2x10 (32m x 9tarikan)</t>
  </si>
  <si>
    <t>034-DR-BAN 0726</t>
  </si>
  <si>
    <t>007/TSA-SPH-CMI/IV/2026</t>
  </si>
  <si>
    <t>Tagihan Listrik April 2026</t>
  </si>
  <si>
    <t>bulan</t>
  </si>
  <si>
    <t>024/DR-BAN/0526</t>
  </si>
  <si>
    <t>BPUJL</t>
  </si>
  <si>
    <t>NIDI + SLO</t>
  </si>
  <si>
    <t>Jasa AKLI</t>
  </si>
  <si>
    <t>E5300006</t>
  </si>
  <si>
    <t>V_LEMBOR</t>
  </si>
  <si>
    <t>008/TSA-SPH-CMI/IV/2026</t>
  </si>
  <si>
    <t>Ticket Surabaya - Labuan Bajo</t>
  </si>
  <si>
    <t>019/DR-BAN/0526</t>
  </si>
  <si>
    <t>Ticket Labuan Bajo - Surabaya</t>
  </si>
  <si>
    <t>R7200006</t>
  </si>
  <si>
    <t>NALU</t>
  </si>
  <si>
    <t>009/TSA-SPH-CMI/IV/2026</t>
  </si>
  <si>
    <t>Ticket Pesawat Team Makassar - Palu</t>
  </si>
  <si>
    <t>Pending</t>
  </si>
  <si>
    <t>Ticket Pesawat Team Palu - Makassar</t>
  </si>
  <si>
    <t>E3100485</t>
  </si>
  <si>
    <t>PEDONGKELAN</t>
  </si>
  <si>
    <t>010/TSA-SPH-CMI/IV/2026</t>
  </si>
  <si>
    <t>Cable Power RRU Awg 2x10 untuk Telkomsel</t>
  </si>
  <si>
    <t>023/DR-BAN/0526</t>
  </si>
  <si>
    <t>E7100037</t>
  </si>
  <si>
    <t>ROAD TO TAMAKO</t>
  </si>
  <si>
    <t>001/TSA-SPH-CMI/V/2026</t>
  </si>
  <si>
    <t>Ticket Makassar - Manado</t>
  </si>
  <si>
    <t>cancel karena team langsung ke V_Tahuna</t>
  </si>
  <si>
    <t>Ticket Manado - Makassar</t>
  </si>
  <si>
    <t>002/TSA-SPH-CMI/V/2026</t>
  </si>
  <si>
    <t>Delivery Cabinet recty</t>
  </si>
  <si>
    <t>Additional Team Reloc untuk 3 hari</t>
  </si>
  <si>
    <t>E9400005</t>
  </si>
  <si>
    <t>TVRI BIAK</t>
  </si>
  <si>
    <t>003/TSA-SPH-CMI/V/2026</t>
  </si>
  <si>
    <t>Scrap Material onsite</t>
  </si>
  <si>
    <t>kg</t>
  </si>
  <si>
    <t>028/DR-BAN/0626</t>
  </si>
  <si>
    <t>E7400036</t>
  </si>
  <si>
    <t>V_WANCI</t>
  </si>
  <si>
    <t>004/TSA-SPH-CMI/V/2026</t>
  </si>
  <si>
    <t>027/DR-BAN/0626</t>
  </si>
  <si>
    <t>005/TSA-SPH-CMI/V/2026</t>
  </si>
  <si>
    <t>026/DR-BAN/0626</t>
  </si>
  <si>
    <t>E1200119</t>
  </si>
  <si>
    <t>TELADAN</t>
  </si>
  <si>
    <t>006/TSA-SPH-CMI/V/2026</t>
  </si>
  <si>
    <t>Sewa Crane</t>
  </si>
  <si>
    <t>E7100038</t>
  </si>
  <si>
    <t>V_TAHUNA</t>
  </si>
  <si>
    <t>007/TSA-SPH-CMI/V/2026</t>
  </si>
  <si>
    <t>E1200337</t>
  </si>
  <si>
    <t>BUKIT_BALADA</t>
  </si>
  <si>
    <t>008/TSA-SPH-CMI/V/2026</t>
  </si>
  <si>
    <t>009/TSA-SPH-CMI/V/2026</t>
  </si>
  <si>
    <t>Scrap Material onsite (Tower + Mounting RF &amp; MW)</t>
  </si>
  <si>
    <t>Tagihan Listrik Juni 2026 551400883538</t>
  </si>
  <si>
    <t>akan dimasukkan ke site lain</t>
  </si>
  <si>
    <t>R5100055</t>
  </si>
  <si>
    <t>T_COW TEUKU UMAR</t>
  </si>
  <si>
    <t>002/TSA-SPH-CMI/VI/2026</t>
  </si>
  <si>
    <t>Sewa Crane + Mobilisasi</t>
  </si>
  <si>
    <t>003/TSA-SPH-CMI/VI/2026</t>
  </si>
  <si>
    <t>Cable Power RRU Awg 2x10 @60m x 9 tarikan</t>
  </si>
  <si>
    <t>Patch Cord LC to LC 15m</t>
  </si>
  <si>
    <t>E1200363</t>
  </si>
  <si>
    <t>PINTU 4 MUKA KUNING</t>
  </si>
  <si>
    <t>001/TSA-SPH-CMI/VI/2026</t>
  </si>
  <si>
    <t>Tiket Pesawat Semarang - Batam</t>
  </si>
  <si>
    <t>Tiket Pesawat Batam - Semarang</t>
  </si>
  <si>
    <t>E3200384</t>
  </si>
  <si>
    <t>KARABA INDAH</t>
  </si>
  <si>
    <t>004/TSA-SPH-CMI/VII/2026</t>
  </si>
  <si>
    <t>R3350408</t>
  </si>
  <si>
    <t>TINGKIR SALATIGA</t>
  </si>
  <si>
    <t>005/TSA-SPH-CMI/VII/2026</t>
  </si>
  <si>
    <t>E1200036</t>
  </si>
  <si>
    <t>BANDARA BINAKA</t>
  </si>
  <si>
    <t>006/TSA-SPH-CMI/VII/2026</t>
  </si>
  <si>
    <t>Dismantle Equipment</t>
  </si>
  <si>
    <t>Penyeberangan Sibolga ke G. Sitoli</t>
  </si>
  <si>
    <t>Penyeberangan G. Sitoli ke Sibolga</t>
  </si>
  <si>
    <t>Rental Mobil</t>
  </si>
  <si>
    <t>Penginapan</t>
  </si>
  <si>
    <t>Scrap Onsite</t>
  </si>
  <si>
    <t>R3350202</t>
  </si>
  <si>
    <t>RAYA TAHUNAN KALIPANG</t>
  </si>
  <si>
    <t>007/TSA-SPH-CMI/VII/2026</t>
  </si>
  <si>
    <t>Jasa dismantle kamuflase
30m x 5m = 150m² x 4 sisi = 600m²</t>
  </si>
  <si>
    <t>m²</t>
  </si>
  <si>
    <t>Buang puing fiber kamuflase</t>
  </si>
  <si>
    <t>E3500373</t>
  </si>
  <si>
    <t>HOTEL CORE SBY</t>
  </si>
  <si>
    <t>008/TSA-SPH-CMI/VII/2026</t>
  </si>
  <si>
    <t>Tagihan Listrik Juli 2026 551400883538</t>
  </si>
  <si>
    <t>E3300214</t>
  </si>
  <si>
    <t>SALATIGA_SLT</t>
  </si>
  <si>
    <t>010/TSA-SPH-CMI/VII/2026</t>
  </si>
  <si>
    <t>011/TSA-SPH-CMI/VII/2026</t>
  </si>
  <si>
    <t>Reinstall</t>
  </si>
  <si>
    <t>R6200094</t>
  </si>
  <si>
    <t>JUWATA PERMAI</t>
  </si>
  <si>
    <t>012/TSA-SPH-CMI/VII/2026</t>
  </si>
  <si>
    <t>Tower Provider</t>
  </si>
  <si>
    <t>Height proposed</t>
  </si>
  <si>
    <t>Near End (Site Acceptor)</t>
  </si>
  <si>
    <t>EMA</t>
  </si>
  <si>
    <t>JAW-JB-KNG-1353</t>
  </si>
  <si>
    <t>KUNINGAN BANGUN</t>
  </si>
  <si>
    <t>DMT</t>
  </si>
  <si>
    <t>-6.88686</t>
  </si>
  <si>
    <t>108.502806</t>
  </si>
  <si>
    <t>existing</t>
  </si>
  <si>
    <t>Update BORAM</t>
  </si>
  <si>
    <t>ID Pelanggan PLN</t>
  </si>
  <si>
    <t>Nama Pelanggan PLN</t>
  </si>
  <si>
    <t>Nama Site</t>
  </si>
  <si>
    <t>Alamat</t>
  </si>
  <si>
    <t>Keterangan</t>
  </si>
  <si>
    <t>Site ID CMI</t>
  </si>
  <si>
    <t>Site Name CMI</t>
  </si>
  <si>
    <t>ID Pel</t>
  </si>
  <si>
    <t>Daya (VA)</t>
  </si>
  <si>
    <t>SPBR Submit CMI</t>
  </si>
  <si>
    <t>SPBR Release</t>
  </si>
  <si>
    <t>SPBR Submit PLN</t>
  </si>
  <si>
    <t>BA Boram</t>
  </si>
  <si>
    <t>Progress</t>
  </si>
  <si>
    <t>BOT PLN</t>
  </si>
  <si>
    <t>152001107489</t>
  </si>
  <si>
    <t>PT. INDOSAT</t>
  </si>
  <si>
    <t>PINTU4_MUKA_KUNING_EP</t>
  </si>
  <si>
    <t>JL. TANJUNG RAYA , MUKA KUNING</t>
  </si>
  <si>
    <t>16SBY0363</t>
  </si>
  <si>
    <t>WONOSARILOR_CM</t>
  </si>
  <si>
    <t>511040607208</t>
  </si>
  <si>
    <t>IOH tidak mengeluarkan SPBR karena id pel tersebut sudah boram</t>
  </si>
  <si>
    <t>SBY098</t>
  </si>
  <si>
    <t>PEGIRIANCMI</t>
  </si>
  <si>
    <t>511040502273</t>
  </si>
  <si>
    <t>SPBR edit sendiri</t>
  </si>
  <si>
    <t>E3300061</t>
  </si>
  <si>
    <t>RSMARGONO</t>
  </si>
  <si>
    <t>14PWT0167</t>
  </si>
  <si>
    <t>RSMARGONO_EP</t>
  </si>
  <si>
    <t>522011266252</t>
  </si>
  <si>
    <t>E6400044</t>
  </si>
  <si>
    <t>MARKONI</t>
  </si>
  <si>
    <t>22BPP0085</t>
  </si>
  <si>
    <t>MARKONI_EP</t>
  </si>
  <si>
    <t>232000283760</t>
  </si>
  <si>
    <t>R3350400</t>
  </si>
  <si>
    <t>SUMBER LAWANG</t>
  </si>
  <si>
    <t>JAW-JT-SGN-1855</t>
  </si>
  <si>
    <t>520591331135</t>
  </si>
  <si>
    <t>412500929541</t>
  </si>
  <si>
    <t>R5100120</t>
  </si>
  <si>
    <t>PANTAI PANDAWA</t>
  </si>
  <si>
    <t>17DPR0188</t>
  </si>
  <si>
    <t>PANTAIPANDAWA_CM</t>
  </si>
  <si>
    <t>551201457578</t>
  </si>
  <si>
    <t>JAW-JI-PMK-2000</t>
  </si>
  <si>
    <t>PEGANTENAN PAMEKASAN</t>
  </si>
  <si>
    <t>517800793803</t>
  </si>
  <si>
    <t>E3500148</t>
  </si>
  <si>
    <t>KEDUNGPRING</t>
  </si>
  <si>
    <t>16LMG0033</t>
  </si>
  <si>
    <t>KEDUNGPRING_EP</t>
  </si>
  <si>
    <t>518041036694</t>
  </si>
  <si>
    <t>JAW-JI-LMG-4290</t>
  </si>
  <si>
    <t>KEDUNGPRING TLANAK</t>
  </si>
  <si>
    <t>518041755248</t>
  </si>
  <si>
    <t>KAL-KS-BJM-0197</t>
  </si>
  <si>
    <t>221103103075</t>
  </si>
  <si>
    <t>19.05.26 Boram done</t>
  </si>
  <si>
    <t>BJM179</t>
  </si>
  <si>
    <t>221103114978</t>
  </si>
  <si>
    <t>E5100119</t>
  </si>
  <si>
    <t>NUSALEMBONGAN</t>
  </si>
  <si>
    <t>17SPR0033</t>
  </si>
  <si>
    <t>NUSALEMBONGAN_EP</t>
  </si>
  <si>
    <t>551320015922</t>
  </si>
  <si>
    <t>R3350113</t>
  </si>
  <si>
    <t>PLIKEN</t>
  </si>
  <si>
    <t>14PWT0194</t>
  </si>
  <si>
    <t>PLIKEN_CM</t>
  </si>
  <si>
    <t>522020867980</t>
  </si>
  <si>
    <t>522020914363</t>
  </si>
  <si>
    <t>E1200347</t>
  </si>
  <si>
    <t>JODOH</t>
  </si>
  <si>
    <t>05BTM0110</t>
  </si>
  <si>
    <t>JODOH_EP</t>
  </si>
  <si>
    <t>151001044556</t>
  </si>
  <si>
    <t>23MRB0023</t>
  </si>
  <si>
    <t>TRANSKALIMANTAN_CM</t>
  </si>
  <si>
    <t>221500493526</t>
  </si>
  <si>
    <t>KAL-KS-MRH-0386</t>
  </si>
  <si>
    <t>221500137257</t>
  </si>
  <si>
    <t>05BTM0074</t>
  </si>
  <si>
    <t>TEMIANG_BATAM_EP</t>
  </si>
  <si>
    <t>152001110528</t>
  </si>
  <si>
    <t>SUM-KR-BTM-0604</t>
  </si>
  <si>
    <t>BULIANG</t>
  </si>
  <si>
    <t>152002075724</t>
  </si>
  <si>
    <t>BTM147</t>
  </si>
  <si>
    <t>TEMIANG_BATAM BUKIT MATA KUCING 2</t>
  </si>
  <si>
    <t>152001757921</t>
  </si>
  <si>
    <t>11RKB0143</t>
  </si>
  <si>
    <t>PARUNGSARI_RKB1_EP</t>
  </si>
  <si>
    <t>539211120671</t>
  </si>
  <si>
    <t>NJKT_1717</t>
  </si>
  <si>
    <t>562100172529</t>
  </si>
  <si>
    <t>562101444860</t>
  </si>
  <si>
    <t>E3200644</t>
  </si>
  <si>
    <t>JALAKSANA</t>
  </si>
  <si>
    <t>13KNG0046</t>
  </si>
  <si>
    <t>JALAKSANA_EP</t>
  </si>
  <si>
    <t>533710563089</t>
  </si>
  <si>
    <t>No Boram</t>
  </si>
  <si>
    <t>13CBN1024</t>
  </si>
  <si>
    <t>CIELUNGSIKIDUL_EP</t>
  </si>
  <si>
    <t>538654954208</t>
  </si>
  <si>
    <t>ZCRB_4188</t>
  </si>
  <si>
    <t>533711051862</t>
  </si>
  <si>
    <t>NBGR_0125</t>
  </si>
  <si>
    <t xml:space="preserve">538655662867
</t>
  </si>
  <si>
    <t>16SBY0152</t>
  </si>
  <si>
    <t>DUKUH_KUPANG_EP</t>
  </si>
  <si>
    <t>511413067240</t>
  </si>
  <si>
    <t>JAW-JI-SBY-2359</t>
  </si>
  <si>
    <t>PUTAT GEDE</t>
  </si>
  <si>
    <t>511413182597</t>
  </si>
  <si>
    <t>E3300323</t>
  </si>
  <si>
    <t>WIROSARI</t>
  </si>
  <si>
    <t>14GRO0118</t>
  </si>
  <si>
    <t>WIROSARI_EP</t>
  </si>
  <si>
    <t>523073092633</t>
  </si>
  <si>
    <t>E3200297</t>
  </si>
  <si>
    <t>CILOTO</t>
  </si>
  <si>
    <t>13CJR0017</t>
  </si>
  <si>
    <t>CILOTO_EP</t>
  </si>
  <si>
    <t>536712081435</t>
  </si>
  <si>
    <t>E3600042</t>
  </si>
  <si>
    <t>TOL_CILEGON_SERANG</t>
  </si>
  <si>
    <t>11CLG0103</t>
  </si>
  <si>
    <t>TOL_CLGN_SRANG_EP</t>
  </si>
  <si>
    <t>539411151940</t>
  </si>
  <si>
    <t>JAW-BT-SRG-1198</t>
  </si>
  <si>
    <t>BOJONEGARA_SERDANG</t>
  </si>
  <si>
    <t>561200596663</t>
  </si>
  <si>
    <t>539411611457</t>
  </si>
  <si>
    <t>12JKU0476</t>
  </si>
  <si>
    <t>PEDONGKELAN_EP</t>
  </si>
  <si>
    <t>545200594263</t>
  </si>
  <si>
    <t>waiting penyambungan inbuilding di new site</t>
  </si>
  <si>
    <t>JUX617</t>
  </si>
  <si>
    <t>MEDAN MARUNDA</t>
  </si>
  <si>
    <t>545303131129</t>
  </si>
  <si>
    <t>BAL-BA-MGW-0604</t>
  </si>
  <si>
    <t>SMPK THOMAS AQUINO</t>
  </si>
  <si>
    <t>551103534720</t>
  </si>
  <si>
    <t>14STG0029</t>
  </si>
  <si>
    <t>SALATIGA_SLT_EP</t>
  </si>
  <si>
    <t>523511005416</t>
  </si>
  <si>
    <t>JAW-JT-SLT-2167</t>
  </si>
  <si>
    <t>SALATIGA SELATAN</t>
  </si>
  <si>
    <t>523511496062</t>
  </si>
  <si>
    <t>E3300288</t>
  </si>
  <si>
    <t>PR KUDUS</t>
  </si>
  <si>
    <t>14KDS0024</t>
  </si>
  <si>
    <t>PRKUDUS_EP</t>
  </si>
  <si>
    <t>520013759025</t>
  </si>
  <si>
    <t>05BTM0128</t>
  </si>
  <si>
    <t>DANAGRAHA_BUILDING_EP</t>
  </si>
  <si>
    <t>151001829409</t>
  </si>
  <si>
    <t>05BTM0283</t>
  </si>
  <si>
    <t>NONGSA_RESORT_EP</t>
  </si>
  <si>
    <t>151000866377</t>
  </si>
  <si>
    <t>SUM-KR-BTM-0492</t>
  </si>
  <si>
    <t>154000398840</t>
  </si>
  <si>
    <t>BTM429</t>
  </si>
  <si>
    <t>NONGSA_RESORT</t>
  </si>
  <si>
    <t>154000200962</t>
  </si>
  <si>
    <t>17DPS0255</t>
  </si>
  <si>
    <t>PENYARINGAN_CM</t>
  </si>
  <si>
    <t>551004242550</t>
  </si>
  <si>
    <t>BAL-BA-DPR-0349</t>
  </si>
  <si>
    <t>PENYARINGAN BALI Relocation</t>
  </si>
  <si>
    <t>551004153092</t>
  </si>
  <si>
    <t>DPR134</t>
  </si>
  <si>
    <t>551004164236</t>
  </si>
  <si>
    <t>KAL-KI-TRG-0464</t>
  </si>
  <si>
    <t>231047000599</t>
  </si>
  <si>
    <t>16BKN0064</t>
  </si>
  <si>
    <t>BURNEH_EP</t>
  </si>
  <si>
    <t>517300513859</t>
  </si>
  <si>
    <t>SUL-SN-MKS-0125</t>
  </si>
  <si>
    <t>RAJAWALI</t>
  </si>
  <si>
    <t>321401616005</t>
  </si>
  <si>
    <t>BKN109</t>
  </si>
  <si>
    <t>517300843005</t>
  </si>
  <si>
    <t>JAW-JK-CKG-0221</t>
  </si>
  <si>
    <t>547200633598</t>
  </si>
  <si>
    <t>07LLG0030</t>
  </si>
  <si>
    <t>MUARA_BELITI_EP</t>
  </si>
  <si>
    <t>147800047966</t>
  </si>
  <si>
    <t>07.07.26 done boram, waiting BA</t>
  </si>
  <si>
    <t>R3350446</t>
  </si>
  <si>
    <t>WURYANTORO</t>
  </si>
  <si>
    <t>JAW-JT-WNG-2807</t>
  </si>
  <si>
    <t>520601092420</t>
  </si>
  <si>
    <t>147800525248</t>
  </si>
  <si>
    <t>R3300369</t>
  </si>
  <si>
    <t>NUSUKAN I</t>
  </si>
  <si>
    <t>14SKA0067</t>
  </si>
  <si>
    <t>KAPTENPT_CM</t>
  </si>
  <si>
    <t>520521333891</t>
  </si>
  <si>
    <t>JAW-JT-SKT-2056</t>
  </si>
  <si>
    <t>NUSUKAN RELOCATION 2</t>
  </si>
  <si>
    <t>520521374285</t>
  </si>
  <si>
    <t>29UPD0326</t>
  </si>
  <si>
    <t>IRSUTAMI_BIRA_CM</t>
  </si>
  <si>
    <t>321302090948</t>
  </si>
  <si>
    <t>27TLI0023</t>
  </si>
  <si>
    <t>315010498239</t>
  </si>
  <si>
    <t>JAW-JB-BDG-0733</t>
  </si>
  <si>
    <t>535555667882</t>
  </si>
  <si>
    <t>SUL-SN-MKS-0278</t>
  </si>
  <si>
    <t>KIMA DUA</t>
  </si>
  <si>
    <t>321300601220</t>
  </si>
  <si>
    <t>SUL-ST-TLI-0176</t>
  </si>
  <si>
    <t>NALU HANYALAH</t>
  </si>
  <si>
    <t>315010360795</t>
  </si>
  <si>
    <t>E3100424</t>
  </si>
  <si>
    <t>SUNTER_B</t>
  </si>
  <si>
    <t>12JKU0296</t>
  </si>
  <si>
    <t>SUNTER_JKU1_EP</t>
  </si>
  <si>
    <t>545103061273</t>
  </si>
  <si>
    <t>JAW-JK-TJP-2426</t>
  </si>
  <si>
    <t>545102776942</t>
  </si>
  <si>
    <t>E1200395</t>
  </si>
  <si>
    <t>KM 6 TG.PINANG / SUNGAI JANG SEAFOOD</t>
  </si>
  <si>
    <t>05TJG0026</t>
  </si>
  <si>
    <t>KM6PINANG_EP</t>
  </si>
  <si>
    <t>183090278172</t>
  </si>
  <si>
    <t>15.05.26 Boram done (waiting BA Boram)</t>
  </si>
  <si>
    <t>3G_Kupang Krajan Sawahan</t>
  </si>
  <si>
    <t>JAW-JI-SBY-2377</t>
  </si>
  <si>
    <t>KUPANGKRAJAN SAWAHAN</t>
  </si>
  <si>
    <t>511063165327</t>
  </si>
  <si>
    <t>12JKS0715</t>
  </si>
  <si>
    <t>KAMPUNG_SAWAH_EP</t>
  </si>
  <si>
    <t>547500442841</t>
  </si>
  <si>
    <t>ZBLK_0069</t>
  </si>
  <si>
    <t>232011576146</t>
  </si>
  <si>
    <t>TSA tidak jadi boram, diminta KTP penanggung jawab dari XL sama PLN. XL tidak mau ngasih</t>
  </si>
  <si>
    <t>JAW-JK-KYB-0175</t>
  </si>
  <si>
    <t>RAYA LENTENG AGUNG RELOC</t>
  </si>
  <si>
    <t>547401310502</t>
  </si>
  <si>
    <t>232011396690</t>
  </si>
  <si>
    <t>TSA tidak jadi boram, diminta KTP penanggung jawab dari telkomsel sama PLN. Tsel tidak mau ngasih</t>
  </si>
  <si>
    <t>126170452098</t>
  </si>
  <si>
    <t>E1200357</t>
  </si>
  <si>
    <t>BENGKONG_HARAPAN</t>
  </si>
  <si>
    <t>07BTM059</t>
  </si>
  <si>
    <t>BENGKONGHARAPAN_EP</t>
  </si>
  <si>
    <t>151000434988</t>
  </si>
  <si>
    <t>KWH Stolen
Done payment, waiting BA putus langganan</t>
  </si>
  <si>
    <t>R3350436</t>
  </si>
  <si>
    <t>CIMANGGU CILACAP</t>
  </si>
  <si>
    <t>JAW-JT-CLP-0423</t>
  </si>
  <si>
    <t>525020470615</t>
  </si>
  <si>
    <t>522550779277</t>
  </si>
  <si>
    <t>522550705294</t>
  </si>
  <si>
    <t>13.07.26 Plan boram by PLN</t>
  </si>
  <si>
    <t>E7300112</t>
  </si>
  <si>
    <t>BANTAENG</t>
  </si>
  <si>
    <t>29BTN0012</t>
  </si>
  <si>
    <t>BANTAENG_EP</t>
  </si>
  <si>
    <t>327400105660</t>
  </si>
  <si>
    <t>535596541629</t>
  </si>
  <si>
    <t>535596533200</t>
  </si>
  <si>
    <t>20SBY108</t>
  </si>
  <si>
    <t>MOROKREMBANGAN_EP</t>
  </si>
  <si>
    <t>511040478991</t>
  </si>
  <si>
    <t>PERAK BARAT KREMBANGAN BARU</t>
  </si>
  <si>
    <t>511040594261</t>
  </si>
  <si>
    <t>SBY374</t>
  </si>
  <si>
    <t>511040545712</t>
  </si>
  <si>
    <t>05BTM0018</t>
  </si>
  <si>
    <t>BUKIT_BALADA_EP</t>
  </si>
  <si>
    <t>152000372414</t>
  </si>
  <si>
    <t>need ID Pel PLN (No ID Pel di box KWH)</t>
  </si>
  <si>
    <t>02MDN0444</t>
  </si>
  <si>
    <t>TELADAN_MDN_EP</t>
  </si>
  <si>
    <t>120030477253</t>
  </si>
  <si>
    <t>05BTM0054</t>
  </si>
  <si>
    <t>DAPUR_DUA_BELAS_EP</t>
  </si>
  <si>
    <t>SPBR NY release</t>
  </si>
  <si>
    <t>153000082661</t>
  </si>
  <si>
    <t>need confirmation ID Pel PLN</t>
  </si>
  <si>
    <t>05BTM0207</t>
  </si>
  <si>
    <t>151000857894</t>
  </si>
  <si>
    <t>R7300149</t>
  </si>
  <si>
    <t>KDI AEROPPALA</t>
  </si>
  <si>
    <t>UPD832</t>
  </si>
  <si>
    <t>321203251026</t>
  </si>
  <si>
    <t>E3200034</t>
  </si>
  <si>
    <t>CIPANGAUR</t>
  </si>
  <si>
    <t>13CBN0069</t>
  </si>
  <si>
    <t>CIPANGAUR_EP</t>
  </si>
  <si>
    <t>538530316568</t>
  </si>
  <si>
    <t>538656796899</t>
  </si>
  <si>
    <t>R3350451</t>
  </si>
  <si>
    <t>BANYUURIP</t>
  </si>
  <si>
    <t>14PWR0054</t>
  </si>
  <si>
    <t>BANYUURIP_CM</t>
  </si>
  <si>
    <t>521520857598</t>
  </si>
  <si>
    <t>JAW-JT-PWR-1640</t>
  </si>
  <si>
    <t>BANYUURIP PURWOREJO</t>
  </si>
  <si>
    <t>521520810681</t>
  </si>
  <si>
    <t>33BIA0006</t>
  </si>
  <si>
    <t>422100182082</t>
  </si>
  <si>
    <t>Waiting SPBR release</t>
  </si>
  <si>
    <t>11TGN0458</t>
  </si>
  <si>
    <t>SUPERMAL_EP</t>
  </si>
  <si>
    <t>In Building</t>
  </si>
  <si>
    <t>-</t>
  </si>
  <si>
    <t>BA Switch Off</t>
  </si>
  <si>
    <t>All Tenant</t>
  </si>
  <si>
    <t>ZJKT_4697</t>
  </si>
  <si>
    <t>16JMB0108</t>
  </si>
  <si>
    <t>PLANDI_JMB1_EP</t>
  </si>
  <si>
    <t>514530964071</t>
  </si>
  <si>
    <t>need ID Pel PLN (Box KWH digembok)</t>
  </si>
  <si>
    <t>JAW-JI-JBG-0619</t>
  </si>
  <si>
    <t>NGUDIREJO JOMBANG</t>
  </si>
  <si>
    <t>E3300153</t>
  </si>
  <si>
    <t>GISIKDRONO</t>
  </si>
  <si>
    <t>14SMG0091</t>
  </si>
  <si>
    <t>GISIKDRONO_EP</t>
  </si>
  <si>
    <t>Site drop
need ID Pel PLN (No ID Pel di box KWH)</t>
  </si>
  <si>
    <t>E3300200</t>
  </si>
  <si>
    <t>UNISULA</t>
  </si>
  <si>
    <t>14SMG0336</t>
  </si>
  <si>
    <t>UNISULA_EP</t>
  </si>
  <si>
    <t>need ID Pel PLN (Sticker PLN sobek)</t>
  </si>
  <si>
    <t>JAW-JT-SLT-2171</t>
  </si>
  <si>
    <t>523511222790</t>
  </si>
  <si>
    <t>16SBY0489</t>
  </si>
  <si>
    <t>HOTEL_CORE_EP</t>
  </si>
  <si>
    <t>511423501201</t>
  </si>
  <si>
    <t>534756881111</t>
  </si>
  <si>
    <t>JAW-JB-KWG-2515</t>
  </si>
  <si>
    <t>KARYA PUTRA KARAWANG</t>
  </si>
  <si>
    <t>534757438011</t>
  </si>
  <si>
    <t>13KRW0084</t>
  </si>
  <si>
    <t>KARABAINDAH_EP</t>
  </si>
  <si>
    <t>534753543847</t>
  </si>
  <si>
    <t>02GST0004</t>
  </si>
  <si>
    <t>VANDRIA_HILIWETO_CM</t>
  </si>
  <si>
    <t>127100529332</t>
  </si>
  <si>
    <t>E3500496</t>
  </si>
  <si>
    <t>LAMONGAN</t>
  </si>
  <si>
    <t>16LMG0158</t>
  </si>
  <si>
    <t>LAMONGAN_LMG_EP</t>
  </si>
  <si>
    <t>JAW-JI-LMG-1492</t>
  </si>
  <si>
    <t>JETIS LAMONGAN</t>
  </si>
  <si>
    <t>533710321490</t>
  </si>
  <si>
    <t>KAL-KU-TAR-0032</t>
  </si>
  <si>
    <t>251000332002</t>
  </si>
  <si>
    <t>Status: AKTIF
IDPEL: 251000332002
Nama: PT. EXCELCOMINDO PRATAMA
Tarif/Daya: B2/13200 Kogol: 0
Unit: ULP TARAKAN, UP3 KALIMANTAN UTARA, UIW KALIMANTAN TIMUR
No.Meter: 311916003671
Merk/Type Meter: WASION/IMETER310
No.Gardu: 23520GD010000007553
Nama Gardu: GD HTP0007
No.Tiang: III6.B1
KDDK: FBAAAFF24000
Alamat: JLN. AKI PINGKA/JUATA PERMAI
Koordinat: https://www.google.com/maps/search/?api=1&amp;query=3.3645222222,117.5502222222</t>
  </si>
  <si>
    <t>Plan</t>
  </si>
  <si>
    <t>OG</t>
  </si>
  <si>
    <t>Prayudi</t>
  </si>
  <si>
    <t>Aghnia</t>
  </si>
  <si>
    <t>Prabowo</t>
  </si>
  <si>
    <t>New Site / FE MW</t>
  </si>
  <si>
    <t>Vendor Code</t>
  </si>
  <si>
    <t>Project Code</t>
  </si>
  <si>
    <t>Scope Of Area</t>
  </si>
  <si>
    <t>Unique ID</t>
  </si>
  <si>
    <t>Assignment</t>
  </si>
  <si>
    <t>Zone</t>
  </si>
  <si>
    <t>Entity</t>
  </si>
  <si>
    <t>Provinsi</t>
  </si>
  <si>
    <t>Kota/Kabupaten</t>
  </si>
  <si>
    <t>Site Address</t>
  </si>
  <si>
    <t>Tower Weight - Original (kg)</t>
  </si>
  <si>
    <t>Tower Height (Eng) (m)</t>
  </si>
  <si>
    <t>Site Type</t>
  </si>
  <si>
    <t>Tower Type</t>
  </si>
  <si>
    <t>SOW Detail</t>
  </si>
  <si>
    <t>PIC</t>
  </si>
  <si>
    <t>Kontak</t>
  </si>
  <si>
    <t>SOW Permit</t>
  </si>
  <si>
    <t>Start</t>
  </si>
  <si>
    <t>Expired</t>
  </si>
  <si>
    <t>Validitas Permit</t>
  </si>
  <si>
    <t>Remark Permit</t>
  </si>
  <si>
    <t>Survey</t>
  </si>
  <si>
    <t>Survey Report Submit</t>
  </si>
  <si>
    <t>End Lease / Drop</t>
  </si>
  <si>
    <t>RFD Approved</t>
  </si>
  <si>
    <t>Dismantle Perangkat</t>
  </si>
  <si>
    <t>Dismantle CME</t>
  </si>
  <si>
    <t>Install</t>
  </si>
  <si>
    <t>OA/RFS</t>
  </si>
  <si>
    <t>ATP Approve MS</t>
  </si>
  <si>
    <t>BAST</t>
  </si>
  <si>
    <t>Update Progress</t>
  </si>
  <si>
    <t>Remark Progress</t>
  </si>
  <si>
    <t>1st BOQ Submit</t>
  </si>
  <si>
    <t>1st BOQ Pass TI</t>
  </si>
  <si>
    <t>Engineering Structural Manager App</t>
  </si>
  <si>
    <t>SPH 1 / BAN 1 App</t>
  </si>
  <si>
    <t>Upload 1st BOQ &amp; BAN Isaac</t>
  </si>
  <si>
    <t>App 1st BOQ &amp; BAN Isaac</t>
  </si>
  <si>
    <t>1st BOQ</t>
  </si>
  <si>
    <t>2nd BOQ Submit</t>
  </si>
  <si>
    <t>2nd BOQ Pass TI</t>
  </si>
  <si>
    <t>SPH 2 / BAN 2 App</t>
  </si>
  <si>
    <t>Upload 2nd BOQ &amp; BAN Isaac</t>
  </si>
  <si>
    <t>App 2nd BOQ &amp; BAN Isaac</t>
  </si>
  <si>
    <t>2nd BOQ</t>
  </si>
  <si>
    <t>Remark BOQ</t>
  </si>
  <si>
    <t>HSE Plan &amp; JSA Submit</t>
  </si>
  <si>
    <t>Isaac HSE Plan &amp; JSA App</t>
  </si>
  <si>
    <t>JSA Doc No.</t>
  </si>
  <si>
    <t>SWP Submit</t>
  </si>
  <si>
    <t>SWP App</t>
  </si>
  <si>
    <t>SWP Doc No</t>
  </si>
  <si>
    <t>HSE &amp; JSA</t>
  </si>
  <si>
    <t>SWP</t>
  </si>
  <si>
    <t>BA Dism / BA OA / BAST Submit</t>
  </si>
  <si>
    <t>BA Dism / BA OA / BAST App</t>
  </si>
  <si>
    <t>SOW</t>
  </si>
  <si>
    <t>PO Number</t>
  </si>
  <si>
    <t>PO Release</t>
  </si>
  <si>
    <t>Aging PO</t>
  </si>
  <si>
    <t>PO Variation 1</t>
  </si>
  <si>
    <t>PO Variation 1 Release</t>
  </si>
  <si>
    <t>Aging PO Variation 1</t>
  </si>
  <si>
    <t>PO Variation 2</t>
  </si>
  <si>
    <t>PO Variation 2 Release</t>
  </si>
  <si>
    <t>Aging PO Variation 2</t>
  </si>
  <si>
    <t>Blocking Issue</t>
  </si>
  <si>
    <t>PIC Responsible</t>
  </si>
  <si>
    <t>Company</t>
  </si>
  <si>
    <t>Target Submit Date</t>
  </si>
  <si>
    <t>CR IOH</t>
  </si>
  <si>
    <t>XLWO</t>
  </si>
  <si>
    <t>CRQ Tsel</t>
  </si>
  <si>
    <t>Remark Reloc</t>
  </si>
  <si>
    <t>CMI</t>
  </si>
  <si>
    <t>RLC</t>
  </si>
  <si>
    <t>ID-JT-05773</t>
  </si>
  <si>
    <t>Kab. Banyumas</t>
  </si>
  <si>
    <t>KOMPLEK RS. MARGONO JL. JEND. SUDIRMAN PURWOKERTO</t>
  </si>
  <si>
    <t>-7.43475</t>
  </si>
  <si>
    <t>109.2674</t>
  </si>
  <si>
    <t>IOH (hwei)</t>
  </si>
  <si>
    <t>Greenfield</t>
  </si>
  <si>
    <t>SST 4 Legs</t>
  </si>
  <si>
    <t>Dismantle</t>
  </si>
  <si>
    <t>JSA No.02/TSA/HSE/02/2025</t>
  </si>
  <si>
    <t>SWP-HSE-09</t>
  </si>
  <si>
    <t>EMAPO25-000807</t>
  </si>
  <si>
    <t>Complete</t>
  </si>
  <si>
    <t>ID-JT-14614</t>
  </si>
  <si>
    <t>PAMIJEN SOKARAJA</t>
  </si>
  <si>
    <t>CR-20250226-00000275</t>
  </si>
  <si>
    <t>EMAPO25-000808</t>
  </si>
  <si>
    <t>EMAPO25-000809</t>
  </si>
  <si>
    <t>Rebuild_LOS Survey 14PWT0167_RSMARGONO to 14PWT0200_Purwadadi MT</t>
  </si>
  <si>
    <t>Rebuild_LOS Survey</t>
  </si>
  <si>
    <t>EMAPO25-000367</t>
  </si>
  <si>
    <t>14PWT0200</t>
  </si>
  <si>
    <t>Purwadadi MT</t>
  </si>
  <si>
    <t>E3300287</t>
  </si>
  <si>
    <t>ID-JT-05997</t>
  </si>
  <si>
    <t>SINGOSAREN_NEW</t>
  </si>
  <si>
    <t>Kota Surakarta</t>
  </si>
  <si>
    <t>Jl. Gatot Subroto No.27 - 28, Kemlayan, Kec. Serengan, Kota Surakarta</t>
  </si>
  <si>
    <t>-7.57308</t>
  </si>
  <si>
    <t>110.82058</t>
  </si>
  <si>
    <t>Rooftop</t>
  </si>
  <si>
    <t>MT 4 Legs</t>
  </si>
  <si>
    <t>03.02.26 Start dismantle</t>
  </si>
  <si>
    <t>JSA No.10/TSA/HSE/02/2025</t>
  </si>
  <si>
    <t>SWP-HSE-16</t>
  </si>
  <si>
    <t>EMAPO26-000073</t>
  </si>
  <si>
    <t>ID-JT-14679</t>
  </si>
  <si>
    <t>KEMLAYAN SURAKARTA</t>
  </si>
  <si>
    <t>Drop</t>
  </si>
  <si>
    <t>Dismantle Equipment by MNO</t>
  </si>
  <si>
    <t>ID-JT-02664</t>
  </si>
  <si>
    <t>Kab. Sragen</t>
  </si>
  <si>
    <t>-7.32809</t>
  </si>
  <si>
    <t>110.86232</t>
  </si>
  <si>
    <t>JSA No.09/TSA/HSE/02/2025</t>
  </si>
  <si>
    <t>SWP-HSE-17</t>
  </si>
  <si>
    <t>CMIPO25-002455</t>
  </si>
  <si>
    <t>ID-JT-15609</t>
  </si>
  <si>
    <t>KEBAYAN SRAGEN</t>
  </si>
  <si>
    <t>CMIPO25-002456</t>
  </si>
  <si>
    <t>CMIPO25-002457</t>
  </si>
  <si>
    <t>Rebuild_LOS Survey JAW-JT-SGN-1855_LTE_SUMBER_LAWANG to JAW-JT-PWD-1573_SOBO_GEYER</t>
  </si>
  <si>
    <t>CMIPO25-002162</t>
  </si>
  <si>
    <t>JAW-JT-PWD-1573</t>
  </si>
  <si>
    <t>SOBO_GEYER</t>
  </si>
  <si>
    <t>ID-KI-07431</t>
  </si>
  <si>
    <t>Kota Balikpapan</t>
  </si>
  <si>
    <t>Damai, Kota Balikpapan, Kalimantan Timur</t>
  </si>
  <si>
    <t>-1.27367</t>
  </si>
  <si>
    <t>116.85109</t>
  </si>
  <si>
    <t>IOH (nokia)</t>
  </si>
  <si>
    <t>JSA No.13/TSA/HSE/02/2025</t>
  </si>
  <si>
    <t>SWP-HSE-18</t>
  </si>
  <si>
    <t>EMAPO25-002009</t>
  </si>
  <si>
    <t>ID-KI-15616</t>
  </si>
  <si>
    <t>DAMAI BALIKPAPAN</t>
  </si>
  <si>
    <t>EMAPO25-002010</t>
  </si>
  <si>
    <t>CMI Project</t>
  </si>
  <si>
    <t>Abe Rizal</t>
  </si>
  <si>
    <t>11.11.25 ATP MS done</t>
  </si>
  <si>
    <t>EMAPO25-002011</t>
  </si>
  <si>
    <t>R5100123</t>
  </si>
  <si>
    <t>ID-BA-09703</t>
  </si>
  <si>
    <t>PALAPA BARAT</t>
  </si>
  <si>
    <t>Kab. Badung</t>
  </si>
  <si>
    <t>-8.6806</t>
  </si>
  <si>
    <t>115.16718</t>
  </si>
  <si>
    <t>Pole</t>
  </si>
  <si>
    <t>+62 813-3368-2903</t>
  </si>
  <si>
    <t>Urgent Site</t>
  </si>
  <si>
    <t>JSA No.04/TSA/HSE/01/2025</t>
  </si>
  <si>
    <t>SWP-HSE-01</t>
  </si>
  <si>
    <t>CMIPO25-000681</t>
  </si>
  <si>
    <t>XLWO-20250110-0000009</t>
  </si>
  <si>
    <t>CMIPO25-000682</t>
  </si>
  <si>
    <t>CMIPO25-000683</t>
  </si>
  <si>
    <t>E3300170</t>
  </si>
  <si>
    <t>ID-JT-05881</t>
  </si>
  <si>
    <t>WATUGONG</t>
  </si>
  <si>
    <t>Kota Semarang</t>
  </si>
  <si>
    <t>Banyumanik, Kec. Banyumanik, Kota Semarang, Jawa Tengah</t>
  </si>
  <si>
    <t>-7.0804</t>
  </si>
  <si>
    <t>110.412</t>
  </si>
  <si>
    <t>14.05.26 Start dismantle</t>
  </si>
  <si>
    <t>06.11.25 BOQ survey app</t>
  </si>
  <si>
    <t>JSA No.15/TSA/HSE/02/2025</t>
  </si>
  <si>
    <t>SWP-HSE-22</t>
  </si>
  <si>
    <t>EMAPO25-002203</t>
  </si>
  <si>
    <t>EMAPO26-000856</t>
  </si>
  <si>
    <t>R5100015</t>
  </si>
  <si>
    <t>ID-BA-00032</t>
  </si>
  <si>
    <t>MERCURE KUTA</t>
  </si>
  <si>
    <t>MERCURE HOTEL,JL. PANTAI KUTA BR. PANDA MAS.KUTA,BADUNG,BALI,80361</t>
  </si>
  <si>
    <t>-8.72108</t>
  </si>
  <si>
    <t>115.1704</t>
  </si>
  <si>
    <t>JSA No.04/TSA/HSE/02/2025</t>
  </si>
  <si>
    <t>SWP-HSE-11</t>
  </si>
  <si>
    <t>CMIPO25-001383</t>
  </si>
  <si>
    <t>R5100017</t>
  </si>
  <si>
    <t>ID-BA-00042</t>
  </si>
  <si>
    <t>BELO-PETANG</t>
  </si>
  <si>
    <t>HOUSE,JL. RAYA KINTAMANI PLAGA BR. BELO DESA BELO KEC. PETANG KAB. BADUNG.DESA BELO KEC. PETANG,BADUNG,BALI,80353</t>
  </si>
  <si>
    <t>-8.27693</t>
  </si>
  <si>
    <t>115.23985</t>
  </si>
  <si>
    <t>JSA No.05/TSA/HSE/02/2025</t>
  </si>
  <si>
    <t>SWP-HSE-12</t>
  </si>
  <si>
    <t>CMIPO25-001384</t>
  </si>
  <si>
    <t>R5100005</t>
  </si>
  <si>
    <t>ID-BA-00178</t>
  </si>
  <si>
    <t>MENGWI / BUDUK</t>
  </si>
  <si>
    <t>BANJAR TENGAH DESA BUDUK KEC. MENGUI BADUNG BALI</t>
  </si>
  <si>
    <t>-8.606059</t>
  </si>
  <si>
    <t>115.16469</t>
  </si>
  <si>
    <t>JSA No.01/TSA/HSE/02/2025</t>
  </si>
  <si>
    <t>SWP-HSE-08</t>
  </si>
  <si>
    <t>CMIPO25-001181</t>
  </si>
  <si>
    <t>E1200243</t>
  </si>
  <si>
    <t>ID-SB-03997</t>
  </si>
  <si>
    <t>RD TO PAINAN/BUKIT LANGKISAU</t>
  </si>
  <si>
    <t>Kab. Pesisir Selatan</t>
  </si>
  <si>
    <t>JL. RAYA PANTAI CAROCOK PAINAN KEC. 4 JURAI</t>
  </si>
  <si>
    <t>-1.34411</t>
  </si>
  <si>
    <t>100.57142</t>
  </si>
  <si>
    <t>JSA No.01/TSA/HSE/01/2025</t>
  </si>
  <si>
    <t>SWP-HSE-04</t>
  </si>
  <si>
    <t>EMAPO25-000459</t>
  </si>
  <si>
    <t>E1200260</t>
  </si>
  <si>
    <t>ID-SB-04014</t>
  </si>
  <si>
    <t>SURIAN</t>
  </si>
  <si>
    <t>Kab. Solok</t>
  </si>
  <si>
    <t>JL. PASAR SURIAN, JORONG PASAR, KEC. PANTAI CERMIN, KAB. SOLOK</t>
  </si>
  <si>
    <t>-1.25231</t>
  </si>
  <si>
    <t>100.88605</t>
  </si>
  <si>
    <t>JSA No.03/TSA/HSE/01/2025</t>
  </si>
  <si>
    <t>SWP-HSE-03</t>
  </si>
  <si>
    <t>EMAPO25-000460</t>
  </si>
  <si>
    <t>E7400037</t>
  </si>
  <si>
    <t>ID-SG-07845</t>
  </si>
  <si>
    <t>V_TOMIA</t>
  </si>
  <si>
    <t>Kab. Wakatobi</t>
  </si>
  <si>
    <t>LINGKUNGAN UNTU KEL. WAHA KEC. TOMIA KABUPATEN WAKATOBI, SULAWESI TENGGARA</t>
  </si>
  <si>
    <t>-5.7283</t>
  </si>
  <si>
    <t>123.89737</t>
  </si>
  <si>
    <t>JSA No.06/TSA/HSE/01/2025</t>
  </si>
  <si>
    <t>SWP-HSE-06</t>
  </si>
  <si>
    <t>EMAPO25-000463</t>
  </si>
  <si>
    <t>E7300173</t>
  </si>
  <si>
    <t>ID-SN-07804</t>
  </si>
  <si>
    <t>BIKERU</t>
  </si>
  <si>
    <t>Kab. Sinjai</t>
  </si>
  <si>
    <t>JL. PERSATUAN RAYA, KEL. SANGIASERI, KEC. SINJAI SELATAN</t>
  </si>
  <si>
    <t>JSA No.05/TSA/HSE/01/2025</t>
  </si>
  <si>
    <t>SWP-HSE-05</t>
  </si>
  <si>
    <t>EMAPO25-000462</t>
  </si>
  <si>
    <t>E7200035</t>
  </si>
  <si>
    <t>ID-ST-07619</t>
  </si>
  <si>
    <t>V_WAKAI</t>
  </si>
  <si>
    <t>SULAWESI TENGAH</t>
  </si>
  <si>
    <t>Kab. Tojo Una Una</t>
  </si>
  <si>
    <t>DS. WAKAI KEC. UNA-UNA, KAB. TOJO UNA-UNA, SULAWESI TENGAH</t>
  </si>
  <si>
    <t>-0.41265</t>
  </si>
  <si>
    <t>121.859</t>
  </si>
  <si>
    <t>JSA No.07/TSA/HSE/01/2025</t>
  </si>
  <si>
    <t>SWP-HSE-07</t>
  </si>
  <si>
    <t>EMAPO25-000461</t>
  </si>
  <si>
    <t>R5100027</t>
  </si>
  <si>
    <t>ID-BA-00065</t>
  </si>
  <si>
    <t>SULI</t>
  </si>
  <si>
    <t>Kota Denpasar</t>
  </si>
  <si>
    <t>JL. SULI NO.91 BANJAR KERTHA BHUWANA KAJA KEL. DANGRI KANGIN KEC. DENPASAR UTARA - BALI</t>
  </si>
  <si>
    <t>-8.64226</t>
  </si>
  <si>
    <t>115.22391</t>
  </si>
  <si>
    <t>JSA No.03/TSA/HSE/02/2025</t>
  </si>
  <si>
    <t>SWP-HSE-10</t>
  </si>
  <si>
    <t>CMIPO25-001182</t>
  </si>
  <si>
    <t>E3500317</t>
  </si>
  <si>
    <t>ID-JI-06482</t>
  </si>
  <si>
    <t>MIC_BUNGURASIH</t>
  </si>
  <si>
    <t>Kab. Sidoarjo</t>
  </si>
  <si>
    <t>JL RAYA BUNGURASIH SIDOARJO, AT WALL OF RAMAYAN DEPT.STORE</t>
  </si>
  <si>
    <t>-7.35169</t>
  </si>
  <si>
    <t>112.72274</t>
  </si>
  <si>
    <t>JSA No.08/TSA/HSE/02/2025</t>
  </si>
  <si>
    <t>SWP-HSE-13</t>
  </si>
  <si>
    <t>EMAPO25-000478</t>
  </si>
  <si>
    <t>E3300111</t>
  </si>
  <si>
    <t>ID-JT-05823</t>
  </si>
  <si>
    <t>DCS_ONGKLOK</t>
  </si>
  <si>
    <t>Kab. Wonosobo</t>
  </si>
  <si>
    <t xml:space="preserve">JL. DIENG NO. 60, RT.04/RW.05, KEL. KALIANGET, KEC WONOSOBO KAB. WONOSOBO, JAWA TENGAH </t>
  </si>
  <si>
    <t>JSA No.07/TSA/HSE/02/2025</t>
  </si>
  <si>
    <t>SWP-HSE-14</t>
  </si>
  <si>
    <t>EMAPO25-000458</t>
  </si>
  <si>
    <t>E3300302</t>
  </si>
  <si>
    <t>ID-JT-06012</t>
  </si>
  <si>
    <t>BHSPALUR</t>
  </si>
  <si>
    <t>Kab. Karanganyar</t>
  </si>
  <si>
    <t>DESA NGRINGO, KEC. JATEN, KAB. KARANGANYAR, JAWA TENGAH</t>
  </si>
  <si>
    <t>JSA No.12/TSA/HSE/02/2025</t>
  </si>
  <si>
    <t>SWP-HSE-20</t>
  </si>
  <si>
    <t>EMAPO25-000669</t>
  </si>
  <si>
    <t>E7400027</t>
  </si>
  <si>
    <t>ID-SG-07835</t>
  </si>
  <si>
    <t>SWISSBELL_KENDARI</t>
  </si>
  <si>
    <t>Kota Kendari</t>
  </si>
  <si>
    <t>JL__EDI_SABARA_NO_88_BYPASS_93122</t>
  </si>
  <si>
    <t>Pole &amp; Guyed Mast</t>
  </si>
  <si>
    <t>JSA No.06/TSA/HSE/02/2025</t>
  </si>
  <si>
    <t>SWP-HSE-15</t>
  </si>
  <si>
    <t>EMAPO25-000479</t>
  </si>
  <si>
    <t>ID-MU-07908</t>
  </si>
  <si>
    <t>Kab. Halmahera Barat</t>
  </si>
  <si>
    <t>DESA GUEAMADU, KEC. JAILOLO, KAB. HALMAHERA BARAT</t>
  </si>
  <si>
    <t>1.06113</t>
  </si>
  <si>
    <t>127.46551</t>
  </si>
  <si>
    <t>TSA ada hutang 1 cabinet untuk digunakan di site lain</t>
  </si>
  <si>
    <t>JSA No.11/TSA/HSE/02/2025</t>
  </si>
  <si>
    <t>SWP-HSE-19</t>
  </si>
  <si>
    <t>EMAPO25-002375</t>
  </si>
  <si>
    <t>01.12.25 Start dism equipment</t>
  </si>
  <si>
    <t>Include Reloc</t>
  </si>
  <si>
    <t>21.12.25 partial OA</t>
  </si>
  <si>
    <t>EMAPO25-002378</t>
  </si>
  <si>
    <t>EMAPO26-000137</t>
  </si>
  <si>
    <t>R5300046</t>
  </si>
  <si>
    <t>ID-NT-08458</t>
  </si>
  <si>
    <t>N3T POMA</t>
  </si>
  <si>
    <t>NUSA TENGGARA TIMUR</t>
  </si>
  <si>
    <t>Kab. Sikka</t>
  </si>
  <si>
    <t>RATEGILI, RT 001/ RW 007 DUSUN RATEGILI , DESA POMA KECAMATAN TANA WAWO KAB SIKKA</t>
  </si>
  <si>
    <t>-8,663972222</t>
  </si>
  <si>
    <t>121,99636</t>
  </si>
  <si>
    <t>JSA No.14/TSA/HSE/02/2025</t>
  </si>
  <si>
    <t>SWP-HSE-21</t>
  </si>
  <si>
    <t>CMIPO25-003409</t>
  </si>
  <si>
    <t>No Need (site down)</t>
  </si>
  <si>
    <t>CMIPO25-003410</t>
  </si>
  <si>
    <t>CMIPO25-003411</t>
  </si>
  <si>
    <t>E3500541</t>
  </si>
  <si>
    <t>ID-JI-06705</t>
  </si>
  <si>
    <t>GANDUSARI</t>
  </si>
  <si>
    <t>Kab. Trenggalek</t>
  </si>
  <si>
    <t>Jl. Gandusari - Kampak</t>
  </si>
  <si>
    <t>-8.12748</t>
  </si>
  <si>
    <t>111.71111</t>
  </si>
  <si>
    <t>Survey Only</t>
  </si>
  <si>
    <t>JSA No.16/TSA/HSE/02/2025</t>
  </si>
  <si>
    <t>SWP-HSE-23</t>
  </si>
  <si>
    <t>EMAPO25-002238</t>
  </si>
  <si>
    <t>ID-JI-16221</t>
  </si>
  <si>
    <t>DURENAN TRENGGALEK</t>
  </si>
  <si>
    <t>E1200267</t>
  </si>
  <si>
    <t>ID-RI-04021</t>
  </si>
  <si>
    <t>AMIK_DURI</t>
  </si>
  <si>
    <t>Kab. Bengkalis</t>
  </si>
  <si>
    <t>JL. KAYANGAN RT 01 RW 07 KEL. BABUSSALAM MANDAU RIAU</t>
  </si>
  <si>
    <t>1.27403</t>
  </si>
  <si>
    <t>101.17672</t>
  </si>
  <si>
    <t>JSA No.02/TSA/HSE/03/2025</t>
  </si>
  <si>
    <t>SWP-HSE-25</t>
  </si>
  <si>
    <t>EMAPO25-000667</t>
  </si>
  <si>
    <t>E1200268</t>
  </si>
  <si>
    <t>ID-RI-04022</t>
  </si>
  <si>
    <t>SUDIRMAN_DURI / SUDIRMAN DURI-4</t>
  </si>
  <si>
    <t>JL. JEND. SUDIRMAN NO. 9 KEL. BABUSSALAM KEL. MANDAU KAB. BENGKALIS- RIAU</t>
  </si>
  <si>
    <t>1.280917</t>
  </si>
  <si>
    <t>101.195194</t>
  </si>
  <si>
    <t>JSA No.03/TSA/HSE/04/2025</t>
  </si>
  <si>
    <t>SWP-HSE-29</t>
  </si>
  <si>
    <t>EMAPO25-000993</t>
  </si>
  <si>
    <t>E1200270</t>
  </si>
  <si>
    <t>ID-RI-04023</t>
  </si>
  <si>
    <t>HOTEL_FAJAR</t>
  </si>
  <si>
    <t>JALAN JEND. SUDIRMAN DESA GAJAH SAKTI KECAMATAN MANDAU KABUPATEN BENGKALIS PROVINSI RIAU</t>
  </si>
  <si>
    <t>1.27047</t>
  </si>
  <si>
    <t>101.20196</t>
  </si>
  <si>
    <t>JSA No.03/TSA/HSE/03/2025</t>
  </si>
  <si>
    <t>SWP-HSE-26</t>
  </si>
  <si>
    <t>EMAPO25-000668</t>
  </si>
  <si>
    <t>E1200417</t>
  </si>
  <si>
    <t>ID-KR-04167</t>
  </si>
  <si>
    <t>V_SERASAN / SERASAN</t>
  </si>
  <si>
    <t>KEPULAUAN RIAU</t>
  </si>
  <si>
    <t>Natuna</t>
  </si>
  <si>
    <t>JL.DATUK BONE KEC.SARASAN, KAB.NATUNA</t>
  </si>
  <si>
    <t>2.50902</t>
  </si>
  <si>
    <t>109.02495</t>
  </si>
  <si>
    <t>JSA No.01/TSA/HSE/03/2025</t>
  </si>
  <si>
    <t>SWP-HSE-24</t>
  </si>
  <si>
    <t>EMAPO25-000796</t>
  </si>
  <si>
    <t>ID-BA-09700</t>
  </si>
  <si>
    <t>JL. KARANG PUTIH, BANJAR DESA KUTUH, KEC KUTA SELATAN, KAB BADUNG</t>
  </si>
  <si>
    <t>-8.84399</t>
  </si>
  <si>
    <t>115.18181</t>
  </si>
  <si>
    <t>JSA No.04/TSA/HSE/03/2025</t>
  </si>
  <si>
    <t>SWP-HSE-27</t>
  </si>
  <si>
    <t>ID-BA-15316</t>
  </si>
  <si>
    <t>PANDAWA KUTA</t>
  </si>
  <si>
    <t>CMIPO25-001886</t>
  </si>
  <si>
    <t>CR-20250521-00000262</t>
  </si>
  <si>
    <t>CMIPO25-001934</t>
  </si>
  <si>
    <t>CR-20250522-00000228</t>
  </si>
  <si>
    <t>Rebuild_LOS Survey 17DPR0188_PANTAIPANDAWA_CM to 17DPR0395_MB_PANTAI_PANDAWA</t>
  </si>
  <si>
    <t>CMIPO25-001207</t>
  </si>
  <si>
    <t>17DPR0395</t>
  </si>
  <si>
    <t>MB_PANTAI_PANDAWA</t>
  </si>
  <si>
    <t>ID-JI-02869</t>
  </si>
  <si>
    <t>Kab. Pamekasan</t>
  </si>
  <si>
    <t>DUSUN DAJAH DS PEGANTENAN , KB PAMEKASAN - JAWA TIMUR</t>
  </si>
  <si>
    <t>-7.04081</t>
  </si>
  <si>
    <t>113.4853</t>
  </si>
  <si>
    <t>04.12.25 Start dismantle tower</t>
  </si>
  <si>
    <t>JSA No.01/TSA/HSE/04/2025</t>
  </si>
  <si>
    <t>SWP-HSE-30</t>
  </si>
  <si>
    <t>CMIPO25-002379</t>
  </si>
  <si>
    <t>CMIPO26-001700</t>
  </si>
  <si>
    <t>PENGANTENAN</t>
  </si>
  <si>
    <t>08.01.26 SF done inbound
14.01.26 XL done inbound</t>
  </si>
  <si>
    <t>CMIPO25-002380</t>
  </si>
  <si>
    <t>Install/Dismantle</t>
  </si>
  <si>
    <t>XL done Install NY OA, SF done OA</t>
  </si>
  <si>
    <t>EMAPO25-001303</t>
  </si>
  <si>
    <t>EMAPO25-001304</t>
  </si>
  <si>
    <t>Rebuild_LOS Survey ZSBY_2801_PEGANTENAN to ZSBY_2433_TEBUL TIMUR</t>
  </si>
  <si>
    <t>EMAPO25-000962</t>
  </si>
  <si>
    <t>ZSBY_2433</t>
  </si>
  <si>
    <t>TEBUL TIMUR</t>
  </si>
  <si>
    <t>E9400008</t>
  </si>
  <si>
    <t>ID-PA-07934</t>
  </si>
  <si>
    <t>PLB_TIMIKA</t>
  </si>
  <si>
    <t>Kab. Mimika</t>
  </si>
  <si>
    <t>JL. POROS POMAKO DISTRIK MIMIKA TIMUR KAB. MIMIKA,PAPUA</t>
  </si>
  <si>
    <t>-4.76712</t>
  </si>
  <si>
    <t>136.77</t>
  </si>
  <si>
    <t>JSA No.05/TSA/HSE/03/2025</t>
  </si>
  <si>
    <t>SWP-HSE-28</t>
  </si>
  <si>
    <t>EMAPO25-000580</t>
  </si>
  <si>
    <t>ID-JI-06316</t>
  </si>
  <si>
    <t>Kab. Lamongan</t>
  </si>
  <si>
    <t>DESA TELANAK, KEC. KEDUNGPRING, KAB. LAMONGAN</t>
  </si>
  <si>
    <t>-7.17095</t>
  </si>
  <si>
    <t>112.198</t>
  </si>
  <si>
    <t>IOH, XL</t>
  </si>
  <si>
    <t>011/TSA-SPH-CMI/IX/2025 Done Reivisi 1 Desember 25</t>
  </si>
  <si>
    <t>JSA No.10/TSA/HSE/04/2025</t>
  </si>
  <si>
    <t>SWP-HSE-38</t>
  </si>
  <si>
    <t>EMAPO25-002371</t>
  </si>
  <si>
    <t>ID-JI-15761</t>
  </si>
  <si>
    <t>TLANAK KEDUNGPRING</t>
  </si>
  <si>
    <t xml:space="preserve"> -7.172830</t>
  </si>
  <si>
    <t>112.197350</t>
  </si>
  <si>
    <t>EMAPO25-002377</t>
  </si>
  <si>
    <t>CR-20250917-00000204</t>
  </si>
  <si>
    <t>XLWO-20250915-00000024</t>
  </si>
  <si>
    <t>R3400078</t>
  </si>
  <si>
    <t>ID-YO-09674</t>
  </si>
  <si>
    <t>HOTEL HORISON ULTIMA YOGYAKARTA</t>
  </si>
  <si>
    <t>DI YOGYAKARTA</t>
  </si>
  <si>
    <t>Kota Yogyakarta</t>
  </si>
  <si>
    <t>Jl. Gowongan Kidul No.33-49, Sosromenduran, Gedong Tengen, Kota Yogyakarta, Daerah Istimewa Yogyakarta 55271</t>
  </si>
  <si>
    <t>-7.78803</t>
  </si>
  <si>
    <t>110.36449</t>
  </si>
  <si>
    <t>JSA No.02/TSA/HSE/04/2025</t>
  </si>
  <si>
    <t>SWP-HSE-31</t>
  </si>
  <si>
    <t>Include R3400081</t>
  </si>
  <si>
    <t>PO Release only HORISON ULTIMA RISS HOTEL YOGYAKARTA</t>
  </si>
  <si>
    <t>R3400081</t>
  </si>
  <si>
    <t>ID-YO-01773</t>
  </si>
  <si>
    <t>HORISON ULTIMA RISS HOTEL YOGYAKARTA</t>
  </si>
  <si>
    <t>-7.78806</t>
  </si>
  <si>
    <t>110.36456</t>
  </si>
  <si>
    <t>JSA No.04/TSA/HSE/04/2025</t>
  </si>
  <si>
    <t>SWP-HSE-32</t>
  </si>
  <si>
    <t>CMIPO25-004937</t>
  </si>
  <si>
    <t>R5100250</t>
  </si>
  <si>
    <t>ID-BA-10363</t>
  </si>
  <si>
    <t>Girisari Road</t>
  </si>
  <si>
    <t>JL. RAYA ULUWATU, GG.GUNUNG BAYUR, BR. KANGIN PECATU. DESA PECATU</t>
  </si>
  <si>
    <t>-8.83592</t>
  </si>
  <si>
    <t>115.113869</t>
  </si>
  <si>
    <t>JSA No.09/TSA/HSE/04/2025</t>
  </si>
  <si>
    <t>SWP-HSE-36</t>
  </si>
  <si>
    <t>CMIPO25-005364</t>
  </si>
  <si>
    <t>E3500266</t>
  </si>
  <si>
    <t>ID-JI-06433</t>
  </si>
  <si>
    <t>SAMBIKEREP</t>
  </si>
  <si>
    <t>Kota Surabaya</t>
  </si>
  <si>
    <t>JL. TAMAN MAISONETE BLOK I 16-22 CITRALAND KAWASAN G-WALK CITRALAND SURABAYA</t>
  </si>
  <si>
    <t>-7.2899</t>
  </si>
  <si>
    <t>112.65482</t>
  </si>
  <si>
    <t>JSA No.06/TSA/HSE/04/2025</t>
  </si>
  <si>
    <t>SWP-HSE-33</t>
  </si>
  <si>
    <t>EMAPO25-000914</t>
  </si>
  <si>
    <t>R3100460</t>
  </si>
  <si>
    <t>ID-JK-01737</t>
  </si>
  <si>
    <t>RUMAH SAKIT HARAPAN BUNDA</t>
  </si>
  <si>
    <t>DKI JAKARTA</t>
  </si>
  <si>
    <t>Kota Administrasi Jakarta Timur</t>
  </si>
  <si>
    <t>JL. RAYA BOGOR KM. 22 NO. 44, PASAR REBO, JAKARTA TIMUR</t>
  </si>
  <si>
    <t>-6.30309</t>
  </si>
  <si>
    <t>106.86785</t>
  </si>
  <si>
    <t xml:space="preserve"> saprudin</t>
  </si>
  <si>
    <t>+6285959413356</t>
  </si>
  <si>
    <t>JSA No.08/TSA/HSE/04/2025</t>
  </si>
  <si>
    <t>SWP-HSE-34</t>
  </si>
  <si>
    <t>R1800058</t>
  </si>
  <si>
    <t>ID-LA-09507</t>
  </si>
  <si>
    <t>JL. IR. SUTAMI</t>
  </si>
  <si>
    <t>Kab. Tulang Bawang</t>
  </si>
  <si>
    <t>CENTRAL HOUSING PT. CPB KP. BRATASENA ADIWARNA KEC. DENTE TELADAS</t>
  </si>
  <si>
    <t>-4.57106</t>
  </si>
  <si>
    <t>105.81801</t>
  </si>
  <si>
    <t>JSA No.07/TSA/HSE/04/2025</t>
  </si>
  <si>
    <t>SWP-HSE-35</t>
  </si>
  <si>
    <t>CMIPO25-002057</t>
  </si>
  <si>
    <t>E1200255</t>
  </si>
  <si>
    <t>ID-SB-04009</t>
  </si>
  <si>
    <t>SAWAH LUNTO</t>
  </si>
  <si>
    <t>Kab. Sawahlunto</t>
  </si>
  <si>
    <t>PUNCAK BUKIT PARI KEC. BERANGIN</t>
  </si>
  <si>
    <t>-0.66851</t>
  </si>
  <si>
    <t>100.772</t>
  </si>
  <si>
    <t>JSA No.05/TSA/HSE/04/2025</t>
  </si>
  <si>
    <t>SWP-HSE-37</t>
  </si>
  <si>
    <t>EMAPO25-001756</t>
  </si>
  <si>
    <t>R7300272</t>
  </si>
  <si>
    <t>ID-SN-08598</t>
  </si>
  <si>
    <t>LSP MCP Kayangan Sopeng</t>
  </si>
  <si>
    <t>Kab. Soppeng</t>
  </si>
  <si>
    <t>JL. KAYANGAN KELURAHAN BOTTO KECAMATAN LALABATA KABUPATEN SOPPENG</t>
  </si>
  <si>
    <t>-4.35713</t>
  </si>
  <si>
    <t>119.882</t>
  </si>
  <si>
    <t>IOH, Tsel, SF</t>
  </si>
  <si>
    <t>Monopole</t>
  </si>
  <si>
    <t>Aswar</t>
  </si>
  <si>
    <t>+62 852-4268-5586</t>
  </si>
  <si>
    <t>XLWO-20250813-00000104</t>
  </si>
  <si>
    <t>CMIPO26-000497</t>
  </si>
  <si>
    <t>ID-SU-00605</t>
  </si>
  <si>
    <t>HAMDAN</t>
  </si>
  <si>
    <t>Kota Medan</t>
  </si>
  <si>
    <t>JL. DAZAN RAYA NO. 10, KEL. PETISAH TENGAH, KEC. MEDAN KOTA, KOTA MEDAN, SUMATRA UTARA</t>
  </si>
  <si>
    <t>3.58662</t>
  </si>
  <si>
    <t>98.66433</t>
  </si>
  <si>
    <t>Defta Maulana</t>
  </si>
  <si>
    <t>085363615979</t>
  </si>
  <si>
    <t>JSA No.11/TSA/HSE/04/2025</t>
  </si>
  <si>
    <t>SWP-HSE-39</t>
  </si>
  <si>
    <t>CMIPO25-002056</t>
  </si>
  <si>
    <t>ID-BA-07040</t>
  </si>
  <si>
    <t>Kab. Klungkung</t>
  </si>
  <si>
    <t>DUSUN KANGIN, DESA JUNGUT BATU KEC. NUSA PENIDA, KAB. KLUNGKUNG</t>
  </si>
  <si>
    <t>-8.6805</t>
  </si>
  <si>
    <t>115.44864</t>
  </si>
  <si>
    <t>JSA No.02/TSA/HSE/05/2025</t>
  </si>
  <si>
    <t>SWP-HSE-44</t>
  </si>
  <si>
    <t>EMAPO25-002241</t>
  </si>
  <si>
    <t>Prolis Heru</t>
  </si>
  <si>
    <t>Reloc</t>
  </si>
  <si>
    <t>EMAPO25-002244</t>
  </si>
  <si>
    <t>ID-BA-16156</t>
  </si>
  <si>
    <t>NUSAPENIDA KLUNGKUNG</t>
  </si>
  <si>
    <t>R3350220</t>
  </si>
  <si>
    <t>ID-JT-03515</t>
  </si>
  <si>
    <t>RUMAH SAKIT HERMINA SOLO</t>
  </si>
  <si>
    <t>JL. KOLONEL SUTARTO NO. 16. RW.002, JEBRES, SURAKARTA</t>
  </si>
  <si>
    <t>-7.56039</t>
  </si>
  <si>
    <t>110.84014</t>
  </si>
  <si>
    <t>JSA No.01/TSA/HSE/11/2025</t>
  </si>
  <si>
    <t>CMIPO25-005579</t>
  </si>
  <si>
    <t>Include Dism Tower</t>
  </si>
  <si>
    <t>SWP-HSE-88</t>
  </si>
  <si>
    <t>ID-KS-00288</t>
  </si>
  <si>
    <t>KALIMANTAN SELATAN</t>
  </si>
  <si>
    <t>Kota Banjarmasin</t>
  </si>
  <si>
    <t>JL. A YANI KM.3,7 NO.2 RT.33, KEL. KEBON BUNGA, KEC. BANJARMASIN TIMUR, KODYA BANJARMASIN, PROP. KALIMANTAN SELATAN</t>
  </si>
  <si>
    <t>-3.3304</t>
  </si>
  <si>
    <t>114.61279</t>
  </si>
  <si>
    <t>Benny</t>
  </si>
  <si>
    <t>+6285256666653</t>
  </si>
  <si>
    <t>19.05.26 Start dismantle</t>
  </si>
  <si>
    <t>JSA No.12/TSA/HSE/04/2025</t>
  </si>
  <si>
    <t>SWP-HSE-40</t>
  </si>
  <si>
    <t>CMIPO26-001330</t>
  </si>
  <si>
    <t>11.05.26 start dismantle
13.05.26 MW XL dibawa RTS (need BA)
19.05.26 XLS done inbound
21.05.26 TSEL done inbound</t>
  </si>
  <si>
    <t>Dismantle Drop</t>
  </si>
  <si>
    <t>TSA</t>
  </si>
  <si>
    <t>ID-JT-00831</t>
  </si>
  <si>
    <t>PLIKENRT 004 RW002, DS PLIKEN KECAMATAN KEMBARAN KABUPATEN ,BANYUMAS,KABUPATEN BANYUMAS PROPINSI  JAWA TENGAH</t>
  </si>
  <si>
    <t>-7.4325</t>
  </si>
  <si>
    <t>109.28854</t>
  </si>
  <si>
    <t>Kusmana</t>
  </si>
  <si>
    <t>+62 851-6953-0970</t>
  </si>
  <si>
    <t>27.01.26 Start dism</t>
  </si>
  <si>
    <t>JSA No.06/TSA/HSE/12/2025</t>
  </si>
  <si>
    <t>SWP-HSE-97</t>
  </si>
  <si>
    <t>CMIPO26-000311</t>
  </si>
  <si>
    <t>ID-KI-07514</t>
  </si>
  <si>
    <t>Kab. Kutai Timur</t>
  </si>
  <si>
    <t>JL. PERUSAHAAN MP, DESA SUSUK TENGAH, KEC. SANDARAN, KAB. KUTAI TIMUR, KAL-TIM</t>
  </si>
  <si>
    <t>0.89267</t>
  </si>
  <si>
    <t>118.2037</t>
  </si>
  <si>
    <t>Darman</t>
  </si>
  <si>
    <t>+62 878-6524-7367</t>
  </si>
  <si>
    <t>28.01.26 Start dismantle</t>
  </si>
  <si>
    <t>JSA No.09/TSA/HSE/06/2025</t>
  </si>
  <si>
    <t>SWP-HSE-43</t>
  </si>
  <si>
    <t>EMAPO25-002343</t>
  </si>
  <si>
    <t>24.01.26 Start dismantle</t>
  </si>
  <si>
    <t>27.01.26 Start reinstall</t>
  </si>
  <si>
    <t>EMAPO25-002339</t>
  </si>
  <si>
    <t>EMAPO26-000587</t>
  </si>
  <si>
    <t>ID-KI-16319</t>
  </si>
  <si>
    <t>SANDARAN KALTIM</t>
  </si>
  <si>
    <t>CR-20260122-00000296
CR-20260121-00000397
CR-20260124-00000058
CR-20260126-00000036</t>
  </si>
  <si>
    <t>ID-KR-04100</t>
  </si>
  <si>
    <t>Kota Batam</t>
  </si>
  <si>
    <t>HOTEL OASIS KOMPLEX ORCHID MAS CENTRE, SEI JODOH, BATU AMPAR</t>
  </si>
  <si>
    <t>1.157056</t>
  </si>
  <si>
    <t>104.003753</t>
  </si>
  <si>
    <t>JSA No.6/TSA/HSE/06/2025</t>
  </si>
  <si>
    <t>SWP-HSE-45</t>
  </si>
  <si>
    <t>EMAPO26-000043</t>
  </si>
  <si>
    <t>1.16611</t>
  </si>
  <si>
    <t>104.04257</t>
  </si>
  <si>
    <t>ID-KR-14656</t>
  </si>
  <si>
    <t>SUNGAI JODOH</t>
  </si>
  <si>
    <t>EMAPO26-000079</t>
  </si>
  <si>
    <t>CR-20250925-00000432</t>
  </si>
  <si>
    <t>ID-KS-09713</t>
  </si>
  <si>
    <t>Kab. Barito Kuala</t>
  </si>
  <si>
    <t>JL. TRANS KALIMANTAN RT. 09 DS. HANDIL BAKTI KEC. ALALAK KAB. BARITO KUALA KALIMANTAN SELATAN</t>
  </si>
  <si>
    <t>-3.27494</t>
  </si>
  <si>
    <t>114.599</t>
  </si>
  <si>
    <t>XL &amp; IOH</t>
  </si>
  <si>
    <t>Lingga</t>
  </si>
  <si>
    <t>20.01.26 Start dismantle</t>
  </si>
  <si>
    <t>JSA No.07/TSA/HSE/06/2025</t>
  </si>
  <si>
    <t>SWP-HSE-50</t>
  </si>
  <si>
    <t>CMIPO25-005577</t>
  </si>
  <si>
    <t>13.01.26 Dismantle equip IOH
16.01.26 Dismantle equip XLS</t>
  </si>
  <si>
    <t>14.01.26 Reinstall IOH
16.01.26 OA IOH
17.01.26 Reinstall XLS
20.01.26 OA XLS</t>
  </si>
  <si>
    <t>CMIPO25-005582</t>
  </si>
  <si>
    <t>CMIPO26-002503</t>
  </si>
  <si>
    <t>Waiting PO Variation</t>
  </si>
  <si>
    <t>ID-KS-15363</t>
  </si>
  <si>
    <t>ALALAK BARITO</t>
  </si>
  <si>
    <t>-3.2786</t>
  </si>
  <si>
    <t>114.5995</t>
  </si>
  <si>
    <t>CR-20260111-00000093
CR-20260110-00000137
CR-20260110-00000138
CR-20260110-00000139</t>
  </si>
  <si>
    <t>XLWO-20260108-00000796</t>
  </si>
  <si>
    <t>R3600173</t>
  </si>
  <si>
    <t>ID-BT-00439</t>
  </si>
  <si>
    <t>KARANG SARI, NEGLASARI</t>
  </si>
  <si>
    <t>BANTEN</t>
  </si>
  <si>
    <t>Kota Tangerang</t>
  </si>
  <si>
    <t>JL. BARIANG HILIR NO.14 RT01/01 KEL.KARANGSARI KEC. NEGLASARI TANGGERANG</t>
  </si>
  <si>
    <t>-6.15594</t>
  </si>
  <si>
    <t>106.63649</t>
  </si>
  <si>
    <t>JSA No.04/TSA/HSE/06/2025</t>
  </si>
  <si>
    <t>SWP-HSE-47</t>
  </si>
  <si>
    <t>CMIPO25-003970</t>
  </si>
  <si>
    <t>R3600174</t>
  </si>
  <si>
    <t>ID-BT-00448</t>
  </si>
  <si>
    <t>PERIUK JAYA, PERIUK 1</t>
  </si>
  <si>
    <t>JL. DADAP V NO. 104 RT 02 RW 08 KEL. PERIUK JAYA KEC. PERIUK, TANGERANG</t>
  </si>
  <si>
    <t>-6,16462</t>
  </si>
  <si>
    <t>106,60799</t>
  </si>
  <si>
    <t>JSA No.05/TSA/HSE/06/2025</t>
  </si>
  <si>
    <t>SWP-HSE-48</t>
  </si>
  <si>
    <t>CMIPO25-003034</t>
  </si>
  <si>
    <t>E3500247</t>
  </si>
  <si>
    <t>ID-JI-06415</t>
  </si>
  <si>
    <t>MIC_PIRANHA</t>
  </si>
  <si>
    <t>Kota Malang</t>
  </si>
  <si>
    <t>JL. IKAN PIRANHA ATAS NO 63 RT/RW 02/03, KEL. LOWOK WARU, KEC. TANJUNG SEKAR, MALANG</t>
  </si>
  <si>
    <t>-7.92965</t>
  </si>
  <si>
    <t>112.633</t>
  </si>
  <si>
    <t>JSA No.02/TSA/HSE/06/2025</t>
  </si>
  <si>
    <t>SWP-HSE-41</t>
  </si>
  <si>
    <t>EMAPO25-001440</t>
  </si>
  <si>
    <t>E3500383</t>
  </si>
  <si>
    <t>ID-JI-06548</t>
  </si>
  <si>
    <t>RUNGKUT</t>
  </si>
  <si>
    <t>JL.RUNGKUTMENANGGALSELATANXIBLOKGA22NO.18SURABAYA</t>
  </si>
  <si>
    <t>-7,33845</t>
  </si>
  <si>
    <t>112,77723</t>
  </si>
  <si>
    <t>JSA No.01/TSA/HSE/06/2025</t>
  </si>
  <si>
    <t>SWP-HSE-42</t>
  </si>
  <si>
    <t>EMAPO25-001688</t>
  </si>
  <si>
    <t>E3100487</t>
  </si>
  <si>
    <t>ID-JK-04884</t>
  </si>
  <si>
    <t>MIC_TRMNL_PULO_GEBANG</t>
  </si>
  <si>
    <t>PULO GEBANG, CAKUNG, JAKARTA TIMUR</t>
  </si>
  <si>
    <t>-6,21136</t>
  </si>
  <si>
    <t>106,95349</t>
  </si>
  <si>
    <t>JSA No.03/TSA/HSE/06/2025</t>
  </si>
  <si>
    <t>SWP-HSE-46</t>
  </si>
  <si>
    <t>EMAPO25-001439</t>
  </si>
  <si>
    <t>E6400029</t>
  </si>
  <si>
    <t>ID-KI-07418</t>
  </si>
  <si>
    <t>ITCI_DONGHWA</t>
  </si>
  <si>
    <t>Kab. Penajam Paser Utara</t>
  </si>
  <si>
    <t>PT.ITCI KARTIKA UTAMA KENANGAN, KEC. PENAJAM, KAB. PENAJAM PASER UTARA, KAL-TIM</t>
  </si>
  <si>
    <t>-1.08965</t>
  </si>
  <si>
    <t>116.68709</t>
  </si>
  <si>
    <t>JSA No.08/TSA/HSE/06/2025</t>
  </si>
  <si>
    <t>SWP-HSE-49</t>
  </si>
  <si>
    <t>NY release</t>
  </si>
  <si>
    <t>PO NY Release</t>
  </si>
  <si>
    <t>ID-KR-04096</t>
  </si>
  <si>
    <t>KP. PARADISE RT 07/3 DAERAH SUNGAI TEMIANG KEL. TIBAN ASRI KEC. SEKUPANG BATAM</t>
  </si>
  <si>
    <t>1.06381</t>
  </si>
  <si>
    <t>103.97043</t>
  </si>
  <si>
    <t>IOH, Tsel, XL</t>
  </si>
  <si>
    <t>29.12.25 Revisi BOQ non SL</t>
  </si>
  <si>
    <t>JSA No.04/TSA/HSE/07/2025</t>
  </si>
  <si>
    <t>SWP-HSE-51</t>
  </si>
  <si>
    <t>EMAPO26-000134</t>
  </si>
  <si>
    <t>08.12.25 Dism Tsel
14.12.25 Dism XL
16.12.25 Dism IOH</t>
  </si>
  <si>
    <t>24.12.25 Tsel OA
15.12.25 XL OA
22.12.25 IOH OA</t>
  </si>
  <si>
    <t>EMAPO26-000136</t>
  </si>
  <si>
    <t>ID-KR-15629</t>
  </si>
  <si>
    <t>SEKUPANG BATAM</t>
  </si>
  <si>
    <t>XLWO-20251118-00000014</t>
  </si>
  <si>
    <t>CRQ000001041435</t>
  </si>
  <si>
    <t>R3580657</t>
  </si>
  <si>
    <t>ID-JI-03692</t>
  </si>
  <si>
    <t>BUMIINDAH</t>
  </si>
  <si>
    <t>-7.26353</t>
  </si>
  <si>
    <t>112.674</t>
  </si>
  <si>
    <t>IOH / SF</t>
  </si>
  <si>
    <t>JSA No.02/TSA/HSE/01/2025</t>
  </si>
  <si>
    <t>SWP-HSE-02</t>
  </si>
  <si>
    <t>CMIPO25-002317</t>
  </si>
  <si>
    <t>CMIPO25-002318</t>
  </si>
  <si>
    <t>CMIPO25-002319</t>
  </si>
  <si>
    <t>CMIPO25-005450</t>
  </si>
  <si>
    <t>ID-BT-06774</t>
  </si>
  <si>
    <t>Kab. Lebak</t>
  </si>
  <si>
    <t>JL. RAYA CIPANAS KP. CURUNG PASIR</t>
  </si>
  <si>
    <t>-6.36815</t>
  </si>
  <si>
    <t>106.283</t>
  </si>
  <si>
    <t xml:space="preserve">Andri Kurniawan </t>
  </si>
  <si>
    <t>JSA No.05/TSA/HSE/07/2025</t>
  </si>
  <si>
    <t>SWP-HSE-54</t>
  </si>
  <si>
    <t>EMAPO25-002240</t>
  </si>
  <si>
    <t>-6.36701</t>
  </si>
  <si>
    <t>106.28291</t>
  </si>
  <si>
    <t>Relocation Equipment to Combat</t>
  </si>
  <si>
    <t>Taufik Hidayat</t>
  </si>
  <si>
    <t>EMAPO25-002243</t>
  </si>
  <si>
    <t>ID-BT-16555</t>
  </si>
  <si>
    <t>RANGKASBITUNG LEBAK</t>
  </si>
  <si>
    <t>WO-GEN_PWO-240825-0853909</t>
  </si>
  <si>
    <t>E3200276</t>
  </si>
  <si>
    <t>ID-JB-05231</t>
  </si>
  <si>
    <t>ISTAKA</t>
  </si>
  <si>
    <t>JAWA BARAT</t>
  </si>
  <si>
    <t>Kota Bekasi</t>
  </si>
  <si>
    <t>Bojong Rawalumbu, Kec. Rawalumbu, Kota Bks, Jawa Barat 17116</t>
  </si>
  <si>
    <t>-6.28726</t>
  </si>
  <si>
    <t>106.98544</t>
  </si>
  <si>
    <t>JSA No.02/TSA/HSE/07/2025</t>
  </si>
  <si>
    <t>EMAPO25-001895</t>
  </si>
  <si>
    <t>ID-JB-16193</t>
  </si>
  <si>
    <t>RAWALUMBU BEKASI</t>
  </si>
  <si>
    <t>-6.28813</t>
  </si>
  <si>
    <t>106.98704</t>
  </si>
  <si>
    <t>ID-JB-05598</t>
  </si>
  <si>
    <t>Kab. Kuningan</t>
  </si>
  <si>
    <t>DUSUN MANIS RT 010 RW 002 DESA KALAPAGUNUNG KEC KRAMATMULYA KAB KUNINGAN JAWA BARAT</t>
  </si>
  <si>
    <t>-6.93207</t>
  </si>
  <si>
    <t>108.48000</t>
  </si>
  <si>
    <t>Active</t>
  </si>
  <si>
    <t>Pekerjaan cancel pengajuan BOQ Survey only 03.02.26</t>
  </si>
  <si>
    <t>JSA No.08/TSA/HSE/11/2025</t>
  </si>
  <si>
    <t>SWP-HSE-91</t>
  </si>
  <si>
    <t>EMAPO26-000404</t>
  </si>
  <si>
    <t>ID-JB-05137</t>
  </si>
  <si>
    <t>Kab. Bogor</t>
  </si>
  <si>
    <t>Gn. Geulis, Kabupaten Bogor, Jawa Barat</t>
  </si>
  <si>
    <t>-6.6269</t>
  </si>
  <si>
    <t>106.86487</t>
  </si>
  <si>
    <t>IOH &amp; XLS</t>
  </si>
  <si>
    <t>JSA No.03/TSA/HSE/07/2025</t>
  </si>
  <si>
    <t>SWP-HSE-53</t>
  </si>
  <si>
    <t>BOQ NY Submit</t>
  </si>
  <si>
    <t>Alfan</t>
  </si>
  <si>
    <t>-6.63167</t>
  </si>
  <si>
    <t>106.8662</t>
  </si>
  <si>
    <t>ID-JB-05224</t>
  </si>
  <si>
    <t>Cileungsi Kidul, Kabupaten Bogor, Jawa Barat</t>
  </si>
  <si>
    <t>-6.40574</t>
  </si>
  <si>
    <t>106.97561</t>
  </si>
  <si>
    <t>IOH , SF &amp; XL</t>
  </si>
  <si>
    <t>20.04.26 Start dismantle</t>
  </si>
  <si>
    <t>JSA No.01/TSA/HSE/07/2025</t>
  </si>
  <si>
    <t>SWP-HSE-52</t>
  </si>
  <si>
    <t>EMAPO26-000335</t>
  </si>
  <si>
    <t>ID-JB-16165</t>
  </si>
  <si>
    <t>CILEUNGSI BOGOR</t>
  </si>
  <si>
    <t>-6.40554</t>
  </si>
  <si>
    <t>106.97553</t>
  </si>
  <si>
    <t>07.04.26 Start Dismantle IOH
08.04.26 Start dismantle SF
15.04.26 Plan Dismantle XL
19.06.26 Inbound material XL yg tidak di reloc</t>
  </si>
  <si>
    <t>08.05.26 ATP XL &amp; SF App
11.05.26 ATP IOH App</t>
  </si>
  <si>
    <t>CR-20260406-00000060
CR-20260406-00000065</t>
  </si>
  <si>
    <t>XLWO-20260407-00000343</t>
  </si>
  <si>
    <t>08.04.26 Done Install IOH
10.04.26 Done Install SF
17.04.26 Done Install XL</t>
  </si>
  <si>
    <t>NA</t>
  </si>
  <si>
    <t>EMAPO26-000338</t>
  </si>
  <si>
    <t>EMAPO26-000642</t>
  </si>
  <si>
    <t>ID-BT-06924</t>
  </si>
  <si>
    <t>Kab. Tangerang</t>
  </si>
  <si>
    <t>Jl. Boulevard Diponegoro No.105, Bencongan, Kec. Klp. Dua, Kabupaten Tangerang, Banten 15810</t>
  </si>
  <si>
    <t>-6.22686</t>
  </si>
  <si>
    <t>106.60578</t>
  </si>
  <si>
    <t>Taufik + Kusmana</t>
  </si>
  <si>
    <t>13.03.26 Start dismantle</t>
  </si>
  <si>
    <t>06/TSA/HSE/07/2025</t>
  </si>
  <si>
    <t>EMAPO25-002289</t>
  </si>
  <si>
    <t>ID-BT-02965</t>
  </si>
  <si>
    <t>SITE KARAWACI ( PURI BETA )</t>
  </si>
  <si>
    <t>-6.22432</t>
  </si>
  <si>
    <t>106.60764</t>
  </si>
  <si>
    <t>PO add cost NY release</t>
  </si>
  <si>
    <t>Puri beta</t>
  </si>
  <si>
    <t>SWP-HSE-55</t>
  </si>
  <si>
    <t>CMIPO25-005254</t>
  </si>
  <si>
    <t>CMIPO26-001672</t>
  </si>
  <si>
    <t>E3300206</t>
  </si>
  <si>
    <t>ID-JT-05916</t>
  </si>
  <si>
    <t>GENUK</t>
  </si>
  <si>
    <t>JL. DONG BIRU RT 07/03, GENUK SARI, GENUK, KODYA SEMARANG</t>
  </si>
  <si>
    <t>-6.96484</t>
  </si>
  <si>
    <t>110.47557</t>
  </si>
  <si>
    <t>Tsel</t>
  </si>
  <si>
    <t>Dismantle Equipment (BTS Only)</t>
  </si>
  <si>
    <t>Arrys Yasir Z -KUS</t>
  </si>
  <si>
    <t>Include PO Colo</t>
  </si>
  <si>
    <t>PO Include Colo</t>
  </si>
  <si>
    <t>Relocation Equipment (BTS Only)</t>
  </si>
  <si>
    <t>ID-JI-06465</t>
  </si>
  <si>
    <t>Jl. Dukuh Kupang Barat 19 Dukuh Kupang, Surabaya, Jawa Timur</t>
  </si>
  <si>
    <t>-7.28236</t>
  </si>
  <si>
    <t>112.70929</t>
  </si>
  <si>
    <t>Ilham Tirta</t>
  </si>
  <si>
    <t>006/TSA-SPH-CMI/VIII/2025 Done Revisi 1 Sept</t>
  </si>
  <si>
    <t>EMAPO25-002237</t>
  </si>
  <si>
    <t>ID-JI-15728</t>
  </si>
  <si>
    <t>DUKUH PAKIS</t>
  </si>
  <si>
    <t>-7.28277</t>
  </si>
  <si>
    <t>112.71079</t>
  </si>
  <si>
    <t>Jl. Dukuh Kupang Barat Dukuh Kupang, Surabaya, Jawa Timur</t>
  </si>
  <si>
    <t>EMAPO25-002247</t>
  </si>
  <si>
    <t>ID-JT-06033</t>
  </si>
  <si>
    <t>Kab. Grobogan</t>
  </si>
  <si>
    <t>Wirosari, Kabupaten Grobogan, Jawa Tengah</t>
  </si>
  <si>
    <t>-7.07789</t>
  </si>
  <si>
    <t>111.08836</t>
  </si>
  <si>
    <t>Done Revisi 22 Sept</t>
  </si>
  <si>
    <t>EMAPO25-002109</t>
  </si>
  <si>
    <t>Rebuild_LOS Survey 11TGN0458  SUPERMAL_EP to 11TGN0466 PALEM_RATU_RAYA_PL</t>
  </si>
  <si>
    <t>CMIPO25-004481</t>
  </si>
  <si>
    <t>Invoice Submit</t>
  </si>
  <si>
    <t>Lifi</t>
  </si>
  <si>
    <t>11TGR0202</t>
  </si>
  <si>
    <t>MARIO_PL</t>
  </si>
  <si>
    <t>ID-JB-05252</t>
  </si>
  <si>
    <t>Kab. Cianjur</t>
  </si>
  <si>
    <t>Ciloto, Kabupaten Cianjur, Jawa Barat</t>
  </si>
  <si>
    <t>-6.71249</t>
  </si>
  <si>
    <t>107.00275</t>
  </si>
  <si>
    <t>IOH, SF</t>
  </si>
  <si>
    <t>EMAPO25-002017</t>
  </si>
  <si>
    <t>Payment Invoice</t>
  </si>
  <si>
    <t>CMI Finance</t>
  </si>
  <si>
    <t>R7400025</t>
  </si>
  <si>
    <t>ID-SG-01914</t>
  </si>
  <si>
    <t>LASANDARA</t>
  </si>
  <si>
    <t>JL. LASANDARA - KOTA KENDARI, SULAWESI TENGGARA</t>
  </si>
  <si>
    <t>-3.96497</t>
  </si>
  <si>
    <t>122.52178</t>
  </si>
  <si>
    <t>JSA No.01/TSA/HSE/08/2025</t>
  </si>
  <si>
    <t>SWP-HSE-56</t>
  </si>
  <si>
    <t>CMIPO25-004467</t>
  </si>
  <si>
    <t>R7400027</t>
  </si>
  <si>
    <t>ID-SG-01916</t>
  </si>
  <si>
    <t>RS.KOREM</t>
  </si>
  <si>
    <t>JL.DRS. H. ABD. SILONDAE – JL. SYEH YUSUF (BANK BAHTERAMAS) - KOTA KENDARI, SULAWESI TENGGARA</t>
  </si>
  <si>
    <t>-3.97033</t>
  </si>
  <si>
    <t>122.51596</t>
  </si>
  <si>
    <t>Quotation 3 vendor untuk crane</t>
  </si>
  <si>
    <t>JSA No.02/TSA/HSE/08/2025</t>
  </si>
  <si>
    <t>SWP-HSE-57</t>
  </si>
  <si>
    <t>CMIPO25-004468</t>
  </si>
  <si>
    <t>R7400028</t>
  </si>
  <si>
    <t>ID-SG-01917</t>
  </si>
  <si>
    <t>BALAIKOTA</t>
  </si>
  <si>
    <t>JL. DRS. H ABD SILONDAE(BUNDARAN MTQ)- KOTA KENDARI, SULAWESI TENGGARA</t>
  </si>
  <si>
    <t>-3.97441</t>
  </si>
  <si>
    <t>122.51416</t>
  </si>
  <si>
    <t>JSA No.03/TSA/HSE/08/2025</t>
  </si>
  <si>
    <t>SWP-HSE-58</t>
  </si>
  <si>
    <t>CMIPO25-004469</t>
  </si>
  <si>
    <t>ID-BT-06755</t>
  </si>
  <si>
    <t>Kab. Serang</t>
  </si>
  <si>
    <t>TOL MERAK SERANG, BLOK AMBON KEL. TERATE, KEC. KRAMATWATU, KAB. SERANG</t>
  </si>
  <si>
    <t>-6.01744</t>
  </si>
  <si>
    <t>106.08647</t>
  </si>
  <si>
    <t>001/TSA‐SPH‐CMI/IX/2025</t>
  </si>
  <si>
    <t>JSA No.04/TSA/HSE/08/2025</t>
  </si>
  <si>
    <t>EMAPO25-002239</t>
  </si>
  <si>
    <t>EMAPO25-002242</t>
  </si>
  <si>
    <t>ID-BT-16193</t>
  </si>
  <si>
    <t>BOJONEGARA SERANG</t>
  </si>
  <si>
    <t>-6.01866</t>
  </si>
  <si>
    <t>106.08698</t>
  </si>
  <si>
    <t>CR-20250825-00000042</t>
  </si>
  <si>
    <t>Rebuild_LOS Survey JAW-BT-SRG-1198 BOJONEGARA_SERANG to JAW-BT-SRG-0833 TERATE BOJONEGARA</t>
  </si>
  <si>
    <t>EMAPO25-002021</t>
  </si>
  <si>
    <t>JAW-BT-SRG-0833</t>
  </si>
  <si>
    <t>TERATE BOJONEGARA</t>
  </si>
  <si>
    <t>-6.004039</t>
  </si>
  <si>
    <t>106.089411</t>
  </si>
  <si>
    <t>R3270701</t>
  </si>
  <si>
    <t>ID-JB-02531</t>
  </si>
  <si>
    <t>SITE BOBOS</t>
  </si>
  <si>
    <t>Kab. Cirebon</t>
  </si>
  <si>
    <t>Cikalahang, Kabupaten Cirebon, Jawa Barat</t>
  </si>
  <si>
    <t>-6.77656</t>
  </si>
  <si>
    <t>108.4096</t>
  </si>
  <si>
    <t>SST 3 Legs</t>
  </si>
  <si>
    <t>1-32 &amp; 39 – 49.5 m (CMI konfirm center 49.5m sesuai ketinggian eksisting tersedia)</t>
  </si>
  <si>
    <t>003/TSA-SPH-CMI/XI/2025</t>
  </si>
  <si>
    <t>JSA No.08/TSA/HSE/08/2025</t>
  </si>
  <si>
    <t>SWP-HSE-62</t>
  </si>
  <si>
    <t>CMIPO25-005424</t>
  </si>
  <si>
    <t>E3200633</t>
  </si>
  <si>
    <t>BOBOS</t>
  </si>
  <si>
    <t>-6.77657</t>
  </si>
  <si>
    <t>108.4098</t>
  </si>
  <si>
    <t>05.12.25 KWH PLN geser ke new site</t>
  </si>
  <si>
    <t>EMAPO25-002332</t>
  </si>
  <si>
    <t>XLWO-20251106-00001697
XLWO-20251106-00001701</t>
  </si>
  <si>
    <t>E7400025</t>
  </si>
  <si>
    <t>ID-SG-07834</t>
  </si>
  <si>
    <t>ISAT_KENDARI</t>
  </si>
  <si>
    <t>Jl. Drs. H. Abdullah Silondae, Mandonga, Kec. Mandonga, Kota Kendari, Sulawesi Tenggara</t>
  </si>
  <si>
    <t>-3.96917</t>
  </si>
  <si>
    <t>122.51697</t>
  </si>
  <si>
    <t>PO NY Release (proses E Memo CMI)</t>
  </si>
  <si>
    <t>ID-BA-00446</t>
  </si>
  <si>
    <t>BANJAR BABAKAN DESA CANGGU KEC.KUTA UTARA KAB.BADUNG</t>
  </si>
  <si>
    <t>-8.62888</t>
  </si>
  <si>
    <t>115.15247</t>
  </si>
  <si>
    <t>pole</t>
  </si>
  <si>
    <t>10.11.25 upload revisi
006/TSA-SPH-CMI/X/2025</t>
  </si>
  <si>
    <t>JSA No.05/TSA/HSE/08/2025</t>
  </si>
  <si>
    <t>SWP-HSE-60</t>
  </si>
  <si>
    <t>CMIPO25-005744</t>
  </si>
  <si>
    <t>12.10.25 done inbound</t>
  </si>
  <si>
    <t>SPH Delivery roaster</t>
  </si>
  <si>
    <t>ID-JB-05480</t>
  </si>
  <si>
    <t>Kota Bandung</t>
  </si>
  <si>
    <t>JL. GATOT SUBROTO NO.2, MALABAR</t>
  </si>
  <si>
    <t>-6.92289</t>
  </si>
  <si>
    <t>107.61799</t>
  </si>
  <si>
    <t>JSA No.07/TSA/HSE/08/2025</t>
  </si>
  <si>
    <t>EMAPO25-002204</t>
  </si>
  <si>
    <t>CR-20250909-00000434</t>
  </si>
  <si>
    <t>Material in WH TSA</t>
  </si>
  <si>
    <t>SWP-HSE-59</t>
  </si>
  <si>
    <t>Relocation Equipment to R3270874 PAKUHAJI WETAN NGAMPRAH</t>
  </si>
  <si>
    <t>CMIPO26-001696</t>
  </si>
  <si>
    <t>OG 1 sector
PO need reset reloc all sector</t>
  </si>
  <si>
    <t>ID-JK-04882</t>
  </si>
  <si>
    <t>Kota Administrasi Jakarta Utara</t>
  </si>
  <si>
    <t>KBN MARUNDA BLOK C3-2.1, KEL. MARUNDA, KEC. CILINCING, JAKARTA UTARA</t>
  </si>
  <si>
    <t>-6.11436</t>
  </si>
  <si>
    <t>106.94512</t>
  </si>
  <si>
    <t>30.04.26 DRM</t>
  </si>
  <si>
    <t>JSA No.06/TSA/HSE/08/2025</t>
  </si>
  <si>
    <t>SWP-HSE-61</t>
  </si>
  <si>
    <t>EMAPO26-000075</t>
  </si>
  <si>
    <t xml:space="preserve">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</si>
  <si>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06.05.26 ATP IOH full sign
28.04.26 ATP Submit to RTS Hwei XLS
06.05.26 ATP submit sign NOP TSEL</t>
  </si>
  <si>
    <t>CRQ000001106230</t>
  </si>
  <si>
    <t>26.04.26 XLS sign ATP</t>
  </si>
  <si>
    <t>EMAPO26-000080</t>
  </si>
  <si>
    <t>EMAPO26-000641</t>
  </si>
  <si>
    <t>ID-JK-13069</t>
  </si>
  <si>
    <t>MARUNDA CILINCING</t>
  </si>
  <si>
    <t>CR-20260417-00000605
CR-20260418-00000026</t>
  </si>
  <si>
    <t>NO XLWO</t>
  </si>
  <si>
    <t>ID-JT-05924</t>
  </si>
  <si>
    <t>Kota Salatiga</t>
  </si>
  <si>
    <t>JL. KUMPUL REJO RT.006/03, KEL. GENDONGAN - SALATIGA SELATAN</t>
  </si>
  <si>
    <t>-7.33688</t>
  </si>
  <si>
    <t>110.509</t>
  </si>
  <si>
    <t>Reinstall Genset &amp; Pondasi di 2nd BOQ</t>
  </si>
  <si>
    <t>JSA No.41/TSA/HSE/07/2026</t>
  </si>
  <si>
    <t>SWP-HSE-141</t>
  </si>
  <si>
    <t>Waiting Survey</t>
  </si>
  <si>
    <t>ID-JT-05998</t>
  </si>
  <si>
    <t>Kab. Kudus</t>
  </si>
  <si>
    <t>Jati Wetan, Kabupaten Kudus, Jawa Tengah</t>
  </si>
  <si>
    <t>-6.83577</t>
  </si>
  <si>
    <t>110.82246</t>
  </si>
  <si>
    <t>Mobile Combat</t>
  </si>
  <si>
    <t>JSA No.01/TSA/HSE/09/2025</t>
  </si>
  <si>
    <t>-6.83704</t>
  </si>
  <si>
    <t>110.82167</t>
  </si>
  <si>
    <t>EMAPO25-002338</t>
  </si>
  <si>
    <t>E3500376</t>
  </si>
  <si>
    <t>ID-JI-06541</t>
  </si>
  <si>
    <t>MANYAR_TIRTOYOSO</t>
  </si>
  <si>
    <t>JL.KARTIKA, MANYAR TIRTOYOSO SURABAYA</t>
  </si>
  <si>
    <t>-7.28906</t>
  </si>
  <si>
    <t>112.766</t>
  </si>
  <si>
    <t>JSA No.02/TSA/HSE/09/2025</t>
  </si>
  <si>
    <t>SWP-HSE-65</t>
  </si>
  <si>
    <t>EMAPO26-000118</t>
  </si>
  <si>
    <t>Rebuild_LOS Survey JAW-JI-LMG-4290 KEDUNGPRING TLANAK (NE) to JAW-JI-LMG-4254 KEDUNGPRING NGLEBUR (FE)</t>
  </si>
  <si>
    <t>JAW-JI-LMG-4254</t>
  </si>
  <si>
    <t>KEDUNGPRING NGLEBUR</t>
  </si>
  <si>
    <t>-7.184972</t>
  </si>
  <si>
    <t>112.231472</t>
  </si>
  <si>
    <t>E3500352</t>
  </si>
  <si>
    <t>ID-JI-06517</t>
  </si>
  <si>
    <t>KAYOON_OFFICE</t>
  </si>
  <si>
    <t>Jl. Kayoon No.72, Embong Kaliasin, Kec. Genteng, Surabaya, Jawa Timur 60271</t>
  </si>
  <si>
    <t>-7.271732</t>
  </si>
  <si>
    <t>112.744267</t>
  </si>
  <si>
    <t>Cutting Tower from 120 to 72m</t>
  </si>
  <si>
    <t>Rizky</t>
  </si>
  <si>
    <t>+62 896-9522-7013</t>
  </si>
  <si>
    <t>28.10.25 Start cutting tower
03.05.26 Finish cutting tower</t>
  </si>
  <si>
    <t>JSA No.04/TSA/HSE/09/2025</t>
  </si>
  <si>
    <t>SWP-HSE-63</t>
  </si>
  <si>
    <t>EMAPO25-002290</t>
  </si>
  <si>
    <t>ID-JT-05995</t>
  </si>
  <si>
    <t>JL YOS SUDARSO NO 280 KELURAHAN KRATONAN, KECAMATAN SERENGAN, KOTA SURAKARTA PROPINSI JAWA TENGAH</t>
  </si>
  <si>
    <t>-7.58174</t>
  </si>
  <si>
    <t>110.82</t>
  </si>
  <si>
    <t>abe / Yasir</t>
  </si>
  <si>
    <t>18.11.25 Item mounting belum ada di boq
014/TSA-SPH-CMI/X/2025</t>
  </si>
  <si>
    <t>JSA No.06/TSA/HSE/09/2025</t>
  </si>
  <si>
    <t>SWP-HSE-68</t>
  </si>
  <si>
    <t>EMAPO26-000077</t>
  </si>
  <si>
    <t>NY Pass TI</t>
  </si>
  <si>
    <t>R3580015</t>
  </si>
  <si>
    <t>ID-JI-00474</t>
  </si>
  <si>
    <t>KALI PECABEAN</t>
  </si>
  <si>
    <t>KALIPECABEAN RT.06/02 DESA KALIPECABEAN KECAMATAN CANDI SIDOARJO JAWA TIMUR</t>
  </si>
  <si>
    <t>-7,48268</t>
  </si>
  <si>
    <t>112,74091</t>
  </si>
  <si>
    <t>Ranu / Diki</t>
  </si>
  <si>
    <t>002/TSA-SPH-CMI/X/2025</t>
  </si>
  <si>
    <t>JSA No.03/TSA/HSE/09/2025</t>
  </si>
  <si>
    <t>SWP-HSE-64</t>
  </si>
  <si>
    <t>CMIPO25-005580</t>
  </si>
  <si>
    <t>R3350009</t>
  </si>
  <si>
    <t>ID-JT-00469</t>
  </si>
  <si>
    <t>KAROWELANG</t>
  </si>
  <si>
    <t>Kab. Kebumen</t>
  </si>
  <si>
    <t>DUSUN JURUTENGAH RT 04 RW 02, KEL/DESA KABUARAN, KEC. PREMBUN, KAB.KEBUMEN, JAWA TENGAH</t>
  </si>
  <si>
    <t>-7,67228</t>
  </si>
  <si>
    <t>109,78598</t>
  </si>
  <si>
    <t>start work 28-10-25</t>
  </si>
  <si>
    <t>012/TSA-SPH-CMI/X/2025</t>
  </si>
  <si>
    <t>JSA No.08/TSA/HSE/09/2025</t>
  </si>
  <si>
    <t>SWP-HSE-69</t>
  </si>
  <si>
    <t>CMIPO25-005575</t>
  </si>
  <si>
    <t>Rebuild_LOS Survey ZJKT2_6397_PARUNGSARI 2 to ZJKT2_4032 SF_Rangkas Bitung_Corp</t>
  </si>
  <si>
    <t>ZJKT2_4032</t>
  </si>
  <si>
    <t>SF_Rangkas Bitung_Corp</t>
  </si>
  <si>
    <t>-6.34323</t>
  </si>
  <si>
    <t>106.23833</t>
  </si>
  <si>
    <t>R3580803</t>
  </si>
  <si>
    <t>ID-JI-10052</t>
  </si>
  <si>
    <t>Trosobo Minaret</t>
  </si>
  <si>
    <t>Masjid Al Ikhlash Wisma Trosobo, Kec. Taman, Kab. Sidoarjo (Cp : H. M. Ridwan), Propinsi Jawa Timur</t>
  </si>
  <si>
    <t>-7.37508</t>
  </si>
  <si>
    <t>112.643</t>
  </si>
  <si>
    <t>Minaret</t>
  </si>
  <si>
    <t>Dismantle Mounting only</t>
  </si>
  <si>
    <t>JSA No.05/TSA/HSE/09/2025</t>
  </si>
  <si>
    <t>SWP-HSE-66</t>
  </si>
  <si>
    <t>CMIPO25-005751</t>
  </si>
  <si>
    <t>R5200035</t>
  </si>
  <si>
    <t>ID-NB-03032</t>
  </si>
  <si>
    <t>NUSA TENGGARA BARAT</t>
  </si>
  <si>
    <t>Kab. Lombok Utara</t>
  </si>
  <si>
    <t>TEBANGO DESA PEMENANG BARAT KECAMATAN TANJUNG, KAB LOMBOK BARAT</t>
  </si>
  <si>
    <t>-8.4072</t>
  </si>
  <si>
    <t>116.105</t>
  </si>
  <si>
    <t>16.01.26 Start dismantle</t>
  </si>
  <si>
    <t>JSA No.07/TSA/HSE/09/2025</t>
  </si>
  <si>
    <t>SWP-HSE-67</t>
  </si>
  <si>
    <t>CMIPO26-000313</t>
  </si>
  <si>
    <t>FAC Submit</t>
  </si>
  <si>
    <t>ID-NT-07093</t>
  </si>
  <si>
    <t>Kab. Manggarai</t>
  </si>
  <si>
    <t>JL. MELAWAR-NANGLILI RT 11 RW 06, KEL. TANGGE, KEC. LEMBOR, KAB. MANGGARAI BARAT</t>
  </si>
  <si>
    <t>-8.70902</t>
  </si>
  <si>
    <t>120.17</t>
  </si>
  <si>
    <t>JSA No.09/TSA/HSE/09/2025</t>
  </si>
  <si>
    <t>SWP-HSE-70</t>
  </si>
  <si>
    <t>EMAPO26-000483</t>
  </si>
  <si>
    <t>EMAPO26-000640</t>
  </si>
  <si>
    <t>R3580804</t>
  </si>
  <si>
    <t>ID-JI-10043</t>
  </si>
  <si>
    <t>Jalan Ahmad Yani</t>
  </si>
  <si>
    <t>Ruko MBC (Depan Kantor Bulog), Jl. Jendral Ahmad Yani No. 151 Kav 13, Kel. Jemur Wonosari, Kec. Wonocolo, Kota Surabaya, Propinsi Jawa Timur</t>
  </si>
  <si>
    <t>-7.32774</t>
  </si>
  <si>
    <t>112.732</t>
  </si>
  <si>
    <t>JSA No.11/TSA/HSE/09/2025</t>
  </si>
  <si>
    <t>SWP-HSE-71</t>
  </si>
  <si>
    <t>CMIPO26-000312</t>
  </si>
  <si>
    <t>E3200303</t>
  </si>
  <si>
    <t>ID-JB-05258</t>
  </si>
  <si>
    <t>DADANG_BEKASI</t>
  </si>
  <si>
    <t>JL. MELATI RAYA 2 RT.006/01, KEL. BEKASI JAYA, BEKASI TIMUR</t>
  </si>
  <si>
    <t>-6.24619</t>
  </si>
  <si>
    <t>107.01023</t>
  </si>
  <si>
    <t>CRQ000001033976</t>
  </si>
  <si>
    <t>ID-KR-04104</t>
  </si>
  <si>
    <t>JL. IMAM BONJOL - NAGOYA/KOMP. NAGOYA DANA GRAHA NAGOYA</t>
  </si>
  <si>
    <t>1.14898</t>
  </si>
  <si>
    <t>104.00901</t>
  </si>
  <si>
    <t>11.11.25 done drm
10.11.25 upload revisi
001/TSA-SPH-CMI/XI/2025</t>
  </si>
  <si>
    <t>JSA No.1/TSA/HSE/10/2025</t>
  </si>
  <si>
    <t>SWP-HSE-72</t>
  </si>
  <si>
    <t>EMAPO25-002372</t>
  </si>
  <si>
    <t>Material diambil MS di site</t>
  </si>
  <si>
    <t>ID-KR-04123</t>
  </si>
  <si>
    <t>Jl. Hang Jebat Sambau, Kota Batam, Kepulauan Riau</t>
  </si>
  <si>
    <t>1.19336</t>
  </si>
  <si>
    <t>104.10190</t>
  </si>
  <si>
    <t>EMAPO25-002374</t>
  </si>
  <si>
    <t>21.10.25 Dism Equip XL
24.10.25 Dism Equip IOH
23.10.25 Dism Equip Tsel</t>
  </si>
  <si>
    <t>21.10.25 OA XL
30.10.25 OA IOH
30.10.25 OA IOH</t>
  </si>
  <si>
    <t>EMAPO25-002376</t>
  </si>
  <si>
    <t>ID-KR-14200</t>
  </si>
  <si>
    <t>Nongsa Sambu</t>
  </si>
  <si>
    <t>XLWO-20251014-00000059</t>
  </si>
  <si>
    <t>CRQ000001035472</t>
  </si>
  <si>
    <t>ID-JI-06540</t>
  </si>
  <si>
    <t>MERPATI AIRPORT, BANDARA UDARA JUANDA, SURABAYA</t>
  </si>
  <si>
    <t>-7.38106</t>
  </si>
  <si>
    <t>19.02.25 Plan survey
09.03.26 Start dismantle
11.03.26 Power off MDP ke KWH</t>
  </si>
  <si>
    <t>JSA No.06/TSA/HSE/02/2026</t>
  </si>
  <si>
    <t>SWP-HSE-106</t>
  </si>
  <si>
    <t>EMAPO26-000403</t>
  </si>
  <si>
    <t>03.03.26 done dism XLS
03.03.26 done dism Tsel
04.03.26 Inbound Tsel
08.03.26 IOH done dism by MNO
14.07.26 Inbound XLS</t>
  </si>
  <si>
    <t>04.03.26 done Inbound Tsel
XLS NY Inbound</t>
  </si>
  <si>
    <t>ID-BA-09698</t>
  </si>
  <si>
    <t>JL. TUNJUNG SARI,GG MELATI, BANJAR MADURA SANUR KAUH DENPASAR. (80231)</t>
  </si>
  <si>
    <t>-8.69005</t>
  </si>
  <si>
    <t>115.251</t>
  </si>
  <si>
    <t>JSA No.10/TSA/HSE/09/2025</t>
  </si>
  <si>
    <t>SWP-HSE-73</t>
  </si>
  <si>
    <t>CMIPO25-005578</t>
  </si>
  <si>
    <t>14.01.26 Dismantle equip Tsel
26.01.26 Dismantle equip IOH
29.01.26 Dismantle equip XLS</t>
  </si>
  <si>
    <t>16.01.26 OA Tsel
28.01.26 OA IOH
04.02.26 install done
23.02.26 OA XL (done install FO)</t>
  </si>
  <si>
    <t>CMIPO26-001877</t>
  </si>
  <si>
    <t>CMIPO26-001963</t>
  </si>
  <si>
    <t>ID-BA15315</t>
  </si>
  <si>
    <t>DENPASAR SELATAN</t>
  </si>
  <si>
    <t>CR-20260122-00000255
CR-20260122-00000256
CR-20260122-00000258
CR-20260122-00000262</t>
  </si>
  <si>
    <t>XLWO-20260127-00000224</t>
  </si>
  <si>
    <t>E3200727</t>
  </si>
  <si>
    <t>ID-JB-05681</t>
  </si>
  <si>
    <t>KEBAKTIAN</t>
  </si>
  <si>
    <t>JL. PSM,SUKAPURA, KEC. KIARACONDONG, KOTA BANDUNG, JAWA BARAT</t>
  </si>
  <si>
    <t>-6.9297</t>
  </si>
  <si>
    <t>107.649</t>
  </si>
  <si>
    <t>09.06.26 boq mentahan</t>
  </si>
  <si>
    <t>ID-KI-03116</t>
  </si>
  <si>
    <t>Kab. Kutai Kartanegara</t>
  </si>
  <si>
    <t>Batuah, Kec. Loa Janan, Kabupaten Kutai Kartanegara, Kalimantan Timur 75262</t>
  </si>
  <si>
    <t>-0.7551</t>
  </si>
  <si>
    <t>117.0518</t>
  </si>
  <si>
    <t>16.01.26 start dismantle tower</t>
  </si>
  <si>
    <t>JSA No.04/TSA/HSE/10/2025</t>
  </si>
  <si>
    <t>SWP-HSE-74</t>
  </si>
  <si>
    <t>CMIPO26-000309</t>
  </si>
  <si>
    <t>Waiting Approval BAST</t>
  </si>
  <si>
    <t>14.01.26 Dismantle equip XLS</t>
  </si>
  <si>
    <t>Waiting boram PLN</t>
  </si>
  <si>
    <t>Endra</t>
  </si>
  <si>
    <t>16.01.26 OA XLS</t>
  </si>
  <si>
    <t>EMAPO26-000081</t>
  </si>
  <si>
    <t>ID-KI-07454</t>
  </si>
  <si>
    <t>KM80_BALIKPAPAN</t>
  </si>
  <si>
    <t>-0.75455</t>
  </si>
  <si>
    <t>117.05177</t>
  </si>
  <si>
    <t>Rebuild_LOS Survey 05BTM0110 JODOH_EP to 05BTM0187 JLTJ_BUNTUNG_PL</t>
  </si>
  <si>
    <t>05BTM0187</t>
  </si>
  <si>
    <t>JLTJ_BUNTUNG_PL</t>
  </si>
  <si>
    <t>1.1638</t>
  </si>
  <si>
    <t>104.03036</t>
  </si>
  <si>
    <t>Protelindo</t>
  </si>
  <si>
    <t>ID-JI-06554</t>
  </si>
  <si>
    <t>Kab. Bangkalan</t>
  </si>
  <si>
    <t>JL KH MUNIF NO 26 DESA BURNEH KECAMATAN BURNEH KAB BANGKALAN</t>
  </si>
  <si>
    <t>-7.05249</t>
  </si>
  <si>
    <t>112.785</t>
  </si>
  <si>
    <t>12.02.26 Start dismantle</t>
  </si>
  <si>
    <t>JSA No.08/TSA/HSE/10/2025</t>
  </si>
  <si>
    <t>SWP-HSE-81</t>
  </si>
  <si>
    <t>EMAPO25-002405</t>
  </si>
  <si>
    <t>ID-SN-09959</t>
  </si>
  <si>
    <t>Kab. Gowa</t>
  </si>
  <si>
    <t>Masjid Jami, Jl. Nuri No. 12, Kel. Mariso, Kec. Mariso, Kab. Gowa, Propinsi Sulawesi Selatan</t>
  </si>
  <si>
    <t>-5.15895</t>
  </si>
  <si>
    <t>119.41</t>
  </si>
  <si>
    <t>JSA No.05/TSA/HSE/10/2025</t>
  </si>
  <si>
    <t>SWP-HSE-75</t>
  </si>
  <si>
    <t>CMIPO25-005422</t>
  </si>
  <si>
    <t>27.10.25 Inbound XLS</t>
  </si>
  <si>
    <t>ID-JK-02429</t>
  </si>
  <si>
    <t>JL KELAPA DUA WETAN NO 42 RT01/08 , KEL.KELAPA DUA WETAN, KEC.CIRACAS</t>
  </si>
  <si>
    <t>-6.34497</t>
  </si>
  <si>
    <t>106.884</t>
  </si>
  <si>
    <t>005/TSA-SPH-CMI/XI/2025</t>
  </si>
  <si>
    <t>SWP-HSE-79</t>
  </si>
  <si>
    <t>CMIPO25-005420</t>
  </si>
  <si>
    <t>04.03.26 done inbound</t>
  </si>
  <si>
    <t>drop</t>
  </si>
  <si>
    <t>ID-SS-04261</t>
  </si>
  <si>
    <t>SUMATERA SELATAN</t>
  </si>
  <si>
    <t>Kab. Musi Rawas</t>
  </si>
  <si>
    <t>KEL MUARA BELITI KEC MUARA BELITI KAB MUARA RAWAS PROP SUMATERA SELATAN</t>
  </si>
  <si>
    <t>-3.2452</t>
  </si>
  <si>
    <t>103.04</t>
  </si>
  <si>
    <t>IOH &amp; TSEL</t>
  </si>
  <si>
    <t>009/TSA-SPH-CMI/X/2025</t>
  </si>
  <si>
    <t>JSA No.03/TSA/HSE/10/2025</t>
  </si>
  <si>
    <t>SWP-HSE-76</t>
  </si>
  <si>
    <t>EMAPO25-002373</t>
  </si>
  <si>
    <t>25.10.25 Done HO material Tsel
04.11.25 Done HO material IOH</t>
  </si>
  <si>
    <t>BAN NY App</t>
  </si>
  <si>
    <t>ID-JT-02710</t>
  </si>
  <si>
    <t>Kab. Wonogiri</t>
  </si>
  <si>
    <t>JL WURYANTORO LOR RT01/02 , KL WURYANTORO KB WONOGIRI JATENG</t>
  </si>
  <si>
    <t>-7.90697</t>
  </si>
  <si>
    <t>110.864</t>
  </si>
  <si>
    <t>14.11.25 upload revisi
10.11.25 upload revisi
002/TSA-SPH-CMI/XI/2025</t>
  </si>
  <si>
    <t>JSA No.06/TSA/HSE/10/2025</t>
  </si>
  <si>
    <t>SWP-HSE-78</t>
  </si>
  <si>
    <t>CMIPO25-005423</t>
  </si>
  <si>
    <t>ID-JT-06011</t>
  </si>
  <si>
    <t>E3300301 WURYANTORO</t>
  </si>
  <si>
    <t>yasir</t>
  </si>
  <si>
    <t>EMAPO25-002323</t>
  </si>
  <si>
    <t>ID-JB-05588</t>
  </si>
  <si>
    <t>Rebuild_LOS Survey JAW-JB-SBR-1890 to JAW-JB-MJL-3028</t>
  </si>
  <si>
    <t>Permit by MS</t>
  </si>
  <si>
    <t>Rebuild_LOS Survey JAW-JB-SBR-1890 to JAW-JB-SBR-1904</t>
  </si>
  <si>
    <t>EMAPO25-002329</t>
  </si>
  <si>
    <t>Rebuild_LOS Survey JAW-JB-SBR-1890 to JAW-JB-MJL-1493</t>
  </si>
  <si>
    <t>Rebuild_LOS Survey JAW-JB-SBR-1890 to JAW-JB-MJL-3026</t>
  </si>
  <si>
    <t>Rebuild_LOS Survey JAW-JB-SBR-1890 to JAW-JB-MJL-8006</t>
  </si>
  <si>
    <t>ID-SS-04286</t>
  </si>
  <si>
    <t>TANJUNG_ENIM</t>
  </si>
  <si>
    <t>Kab. Muara Enim</t>
  </si>
  <si>
    <t>JL. BTN KEBAN AGUNG BLOK AE / DESA TANJUNG ENIM KAB MUARA ENIMSUMSEL</t>
  </si>
  <si>
    <t>-3.7765</t>
  </si>
  <si>
    <t>103.8</t>
  </si>
  <si>
    <t>011/TSA-SPH-CMI/X/2025</t>
  </si>
  <si>
    <t>JSA No.02/TSA/HSE/10/2025</t>
  </si>
  <si>
    <t>SWP-HSE-77</t>
  </si>
  <si>
    <t>EMAPO25-002370</t>
  </si>
  <si>
    <t>ID-SU-00665</t>
  </si>
  <si>
    <t>JL. DURIAN NO 2 S KEL. PERINTIS, KEC. MEDAN TIMUR, KOTA MEDAN, SUMATRA UTARA</t>
  </si>
  <si>
    <t>3.59866</t>
  </si>
  <si>
    <t>98.68378</t>
  </si>
  <si>
    <t>008/TSA-SPH-CMI/X/2025</t>
  </si>
  <si>
    <t>JSA No.07/TSA/HSE/10/2025</t>
  </si>
  <si>
    <t>SHP-HSE-80</t>
  </si>
  <si>
    <t>Rebuild_LOS Survey JAW-JK-CKG-0211 to JAW-JK-CKG-0184</t>
  </si>
  <si>
    <t>01.11.25 Done HO material XLS</t>
  </si>
  <si>
    <t>ID-JT-00008</t>
  </si>
  <si>
    <t>BONOREJO, BANJARSARI, SURAKARTA</t>
  </si>
  <si>
    <t>-7.54489</t>
  </si>
  <si>
    <t>110.822</t>
  </si>
  <si>
    <t>IOH &amp; XL</t>
  </si>
  <si>
    <t>Joko Dedoyo</t>
  </si>
  <si>
    <t>+62 878-6109-5209</t>
  </si>
  <si>
    <t>23.05.26 BOQ mentahan</t>
  </si>
  <si>
    <t>JSA No.49/TSA/HSE/07/2026</t>
  </si>
  <si>
    <t>SWP-HSE-149</t>
  </si>
  <si>
    <t>ID-JB-02490</t>
  </si>
  <si>
    <t>JL.MEKAR ASIH AF9 NO. 9 KEC.CIJERAH , KOTA BANDUNG,JABAR</t>
  </si>
  <si>
    <t>-6.92317</t>
  </si>
  <si>
    <t>107.565</t>
  </si>
  <si>
    <t>JSA No.09/TSA/HSE/10/2025</t>
  </si>
  <si>
    <t>SWP-HSE-82</t>
  </si>
  <si>
    <t>CMIPO25-005421</t>
  </si>
  <si>
    <t>ID-SN-03168</t>
  </si>
  <si>
    <t>Kota Makassar</t>
  </si>
  <si>
    <t>JL PROF SUTAMI NO42 , KOTA MAKASSAR</t>
  </si>
  <si>
    <t>-5.08581</t>
  </si>
  <si>
    <t>119.49287</t>
  </si>
  <si>
    <t>IOH,XL&amp;SF</t>
  </si>
  <si>
    <t>13.02.26 start dismantle</t>
  </si>
  <si>
    <t>JSA No.07/TSA/HSE/11/2025</t>
  </si>
  <si>
    <t>SWP-HSE-90</t>
  </si>
  <si>
    <t>CMIPO25-005743</t>
  </si>
  <si>
    <t>Waiting Sign BAST PMD</t>
  </si>
  <si>
    <t>06.02.26 Start Dismantle IOH
08.02.26 Start Dismantle XL</t>
  </si>
  <si>
    <t>07.02.26 OA IOH
11.02.26 OA XL</t>
  </si>
  <si>
    <t>CMIPO25-005745</t>
  </si>
  <si>
    <t>ID-SN-15289</t>
  </si>
  <si>
    <t>BIRA TAMALANREA</t>
  </si>
  <si>
    <t>CR-20260204-00000222
CR-20260204-00000224
CR-20260205-00000252
CR-20260205-00000256</t>
  </si>
  <si>
    <t>XLWO-20260205-00000686</t>
  </si>
  <si>
    <t>ID-ST-01430</t>
  </si>
  <si>
    <t>Kab. Toli-Toli</t>
  </si>
  <si>
    <t>JL.POROS TIMBALANI TOLI TOLI KEL NALU KECAMATAN BAOLAN</t>
  </si>
  <si>
    <t>1.02319</t>
  </si>
  <si>
    <t>120.79765</t>
  </si>
  <si>
    <t>dismantle</t>
  </si>
  <si>
    <t>Waiting instruksi</t>
  </si>
  <si>
    <t>Need DRM Ticket (BOQ &amp; SPH NY email)</t>
  </si>
  <si>
    <t>JSA No.06/TSA/HSE/11/2025</t>
  </si>
  <si>
    <t>SWP-HSE-84</t>
  </si>
  <si>
    <t>16.04.26 Dismantle IOH
18.04.26 Dismantle Tsel</t>
  </si>
  <si>
    <t>Need DRM</t>
  </si>
  <si>
    <t>Relocation Equipment
IOH H:50 Az:35,180,250 LB:-30,3
XL H:50 Az:70,170,235 LB:-29,9</t>
  </si>
  <si>
    <t>21.04.26 OA Tsel
22.04.26 OA IOH
11.06.26 ATP XLS full sign</t>
  </si>
  <si>
    <t>CMIPO25-005753</t>
  </si>
  <si>
    <t>ID-ST-16473</t>
  </si>
  <si>
    <t>BAOLAN</t>
  </si>
  <si>
    <t>1.02000</t>
  </si>
  <si>
    <t>120.7966</t>
  </si>
  <si>
    <t>CR-20260413-00000271
CR-20260413-00000273</t>
  </si>
  <si>
    <t>XLWO-20260413-00000188</t>
  </si>
  <si>
    <t>ID-JB-04989</t>
  </si>
  <si>
    <t>KAMPUNG CIPANGAUR RT005 RW011 DESA CINTA MANIK KEC CIGUDEK KAB BOGOR JAWA BARAT</t>
  </si>
  <si>
    <t>-6.51494</t>
  </si>
  <si>
    <t>106.533</t>
  </si>
  <si>
    <t>Guyed Mast</t>
  </si>
  <si>
    <t>SWP-HSE-89</t>
  </si>
  <si>
    <t>NY Submit BOQ</t>
  </si>
  <si>
    <t>ID-JK-04825</t>
  </si>
  <si>
    <t>KOMPLEK TNI AL KODAMAR JL. SENTOSA RAYA, KEL. KELAPA GADING BARAT, KEC. KELAPA GADING, JAKARTA UTARA. ALAMAT BM/LL : PRIMKOPAL LANTAMAL III, JL. GUNUNG SAHARI ANCOL, KEC. SUNTER, JAKARTA UTARA</t>
  </si>
  <si>
    <t>-6.16315</t>
  </si>
  <si>
    <t>106.888</t>
  </si>
  <si>
    <t>JSA No.03/TSA/HSE/11/2025</t>
  </si>
  <si>
    <t>SWP-HSE-83</t>
  </si>
  <si>
    <t>ID-JK-01538</t>
  </si>
  <si>
    <t>Kota Administrasi Jakarta Pusat</t>
  </si>
  <si>
    <t>Jl. Kebon Sirih No.1, RT.1/RW.7, Kb. Sirih, Kec. Menteng, Kota Jakarta Pusat, Daerah Khusus Ibukota Jakarta</t>
  </si>
  <si>
    <t>-6.18313</t>
  </si>
  <si>
    <t>106.833</t>
  </si>
  <si>
    <t>JSA No.05/TSA/HSE/11/2025</t>
  </si>
  <si>
    <t>SWP-HSE-86</t>
  </si>
  <si>
    <t>CMIPO26-000487</t>
  </si>
  <si>
    <t>ID-JK-04921</t>
  </si>
  <si>
    <t>BIMANTARA</t>
  </si>
  <si>
    <t>-6.183870</t>
  </si>
  <si>
    <t>106.833383</t>
  </si>
  <si>
    <t>ID-JK-02464</t>
  </si>
  <si>
    <t>JL.RAYA BOULEVARD BLOK LB 3 NO.6 , KEL.KELAPA GADING,KEC.KELAPA GADING</t>
  </si>
  <si>
    <t>-6.15563</t>
  </si>
  <si>
    <t>106.908</t>
  </si>
  <si>
    <t>JSA No.04/TSA/HSE/11/2025</t>
  </si>
  <si>
    <t>SWP-HSE-85</t>
  </si>
  <si>
    <t>CMIPO25-005576</t>
  </si>
  <si>
    <t>ID-KR-04146</t>
  </si>
  <si>
    <t>Kota Tanjung Pinang</t>
  </si>
  <si>
    <t>JL. PEMUDA - GG. AKASIA NO.19 B TANJUNG PINANG / JL. PEMUDA TG AYUN SAKTI BUKIT BESTARI TANJUNG PINANG</t>
  </si>
  <si>
    <t>0.90467</t>
  </si>
  <si>
    <t>104.464</t>
  </si>
  <si>
    <t>JSA No.13/TSA/HSE/04/2026</t>
  </si>
  <si>
    <t>SWP-HSE-113</t>
  </si>
  <si>
    <t>EMAPO26-000499</t>
  </si>
  <si>
    <t>ID-JI-10335</t>
  </si>
  <si>
    <t>Jl. Banyu Urip 344 Rt.02/01 Kel.Kupang Krajan Kec. Sawahan surabaya, Ja-Tim 60253</t>
  </si>
  <si>
    <t>-7.26834</t>
  </si>
  <si>
    <t>112.715</t>
  </si>
  <si>
    <t>05.03.26 Start dismantle</t>
  </si>
  <si>
    <t>JSA No.01/TSA/HSE/12/2025</t>
  </si>
  <si>
    <t>SWP-HSE-92</t>
  </si>
  <si>
    <t>CMIPO26-000869</t>
  </si>
  <si>
    <t>ID-KI-07436</t>
  </si>
  <si>
    <t>Karang Joang, Kota Balikpapan, Kalimantan Timur</t>
  </si>
  <si>
    <t>-1.176000</t>
  </si>
  <si>
    <t>116.879800</t>
  </si>
  <si>
    <t>TSEL &amp; SF</t>
  </si>
  <si>
    <t>004/TSA-SPH-CMI/XI/2025</t>
  </si>
  <si>
    <t>JSA No.02/TSA/HSE/11/2025</t>
  </si>
  <si>
    <t>SWP-HSE-87</t>
  </si>
  <si>
    <t>EMAPO25-002304</t>
  </si>
  <si>
    <t>EMAPO26-000071</t>
  </si>
  <si>
    <t>27.11.25 Done HO material Tsel
03.12.25 Done HO material SF</t>
  </si>
  <si>
    <t>ID-JK-04693</t>
  </si>
  <si>
    <t>Kota Administrasi Jakarta Selatan</t>
  </si>
  <si>
    <t>Jl. Raya Depok Ps.Minggu, Srengseng Sawah, Kec. Jagakarsa, Jakarta, Daerah Khusus Ibukota Jakarta</t>
  </si>
  <si>
    <t>-6.34532</t>
  </si>
  <si>
    <t>106.8338</t>
  </si>
  <si>
    <t>25.03.26 Start dismantle</t>
  </si>
  <si>
    <t>JSA No.01/TSA/HSE/01/2026</t>
  </si>
  <si>
    <t>SWP-HSE-99</t>
  </si>
  <si>
    <t>EMAPO26-000334</t>
  </si>
  <si>
    <t>11.03.26 Start dismantle XLS
14.03.26 Start dismantle IOH</t>
  </si>
  <si>
    <t>11.03.26 done reinstall XLS
18.03.26 done reinstall &amp; OA IOH</t>
  </si>
  <si>
    <t>CMIPO26-000870</t>
  </si>
  <si>
    <t>PO Variation NY Release</t>
  </si>
  <si>
    <t>ID-JK-00059</t>
  </si>
  <si>
    <t>R3100395 SRENGSENG SAWAH</t>
  </si>
  <si>
    <t>10.03.26 done inbound WH XLS</t>
  </si>
  <si>
    <t>R7100006</t>
  </si>
  <si>
    <t>ID-SU-09718</t>
  </si>
  <si>
    <t>KAMPUNG ISLAM</t>
  </si>
  <si>
    <t>SULAWESI UTARA</t>
  </si>
  <si>
    <t>Kota Manado</t>
  </si>
  <si>
    <t>JL. HASANUDIN 7, LING.III, KEL. SINGKIL I, KEC. SINGKIL, KOTA MANADO</t>
  </si>
  <si>
    <t>1.5014</t>
  </si>
  <si>
    <t>124.847</t>
  </si>
  <si>
    <t>2 x 9</t>
  </si>
  <si>
    <t>SPH Reject</t>
  </si>
  <si>
    <t>JSA No.02/TSA/HSE/12/2025</t>
  </si>
  <si>
    <t>SWP-HSE-93</t>
  </si>
  <si>
    <t>CMIPO26-000147</t>
  </si>
  <si>
    <t>26.12.25 IDU 2pcs dipinjam MS
04.03.26 done inbound</t>
  </si>
  <si>
    <t>R3270472</t>
  </si>
  <si>
    <t>ID-JB-09610</t>
  </si>
  <si>
    <t>THE EDGE SUPERBLOCK</t>
  </si>
  <si>
    <t>Kota Cimahi</t>
  </si>
  <si>
    <t>JL. RAYA BAROS NO. 57, KOTA CIMAHI, JAWA BARAT 40521</t>
  </si>
  <si>
    <t>-6.89755</t>
  </si>
  <si>
    <t>107.537</t>
  </si>
  <si>
    <t>10.02.26 dism tsel
11.02.26 done HO equip tsel - dism IOH
12.02.26 done HO equip IOH
12.04.26 Inbound IOH</t>
  </si>
  <si>
    <t>CRQ000001052138</t>
  </si>
  <si>
    <t>16.12.25 start dism equip</t>
  </si>
  <si>
    <t>JL. JENDRAL SUDIRMAN NO. 22 SEMPUR, BOGOR TENGAH</t>
  </si>
  <si>
    <t>17.12.25 start reinstall temporary
09.02.26 Perangkat done MOCN XLS</t>
  </si>
  <si>
    <t>EMAPO26-000056</t>
  </si>
  <si>
    <t>EMAPO26-000138</t>
  </si>
  <si>
    <t>E3100526 BIMANTARA</t>
  </si>
  <si>
    <t>ID-SU-02192</t>
  </si>
  <si>
    <t>Kab. Deli Serdang</t>
  </si>
  <si>
    <t>DSN/LINK.III,KEL.BANGUN PURBA , KEC.BANGUN PURBA,KAB.DELI SERDANG</t>
  </si>
  <si>
    <t>3.37203</t>
  </si>
  <si>
    <t>98.8141</t>
  </si>
  <si>
    <t>08.06.26 Start dismantle</t>
  </si>
  <si>
    <t>30.04.26 DRM 1</t>
  </si>
  <si>
    <t>JSA No.03/TSA/HSE/12/2025</t>
  </si>
  <si>
    <t>SWP-HSE-95</t>
  </si>
  <si>
    <t>CMIPO26-002315</t>
  </si>
  <si>
    <t>30.04.26 DRM 1
03.06.26 DRM 2</t>
  </si>
  <si>
    <t>EMAPO26-000871</t>
  </si>
  <si>
    <t>PO Variation NY release
ATP sirkulir operator</t>
  </si>
  <si>
    <t>ID-JT-02700</t>
  </si>
  <si>
    <t>Kab. Cilacap</t>
  </si>
  <si>
    <t>BANTAR PANJANG RT003/005 , DS.BANTAR PANJANG KEC.CIMANGGU</t>
  </si>
  <si>
    <t>-7.36012</t>
  </si>
  <si>
    <t>108.854</t>
  </si>
  <si>
    <t>JSA No.05/TSA/HSE/12/2025</t>
  </si>
  <si>
    <t>SWP-HSE-96</t>
  </si>
  <si>
    <t>CMIPO26-000315</t>
  </si>
  <si>
    <t>ID-KR-04110</t>
  </si>
  <si>
    <t>JL. BENGKONG HARAPAN I PERUM ESQARADA BATAM / KOMP. ESQARADA BENGKONG HARAPAN I BLOK C NO.1&amp;2 BATU AMPAR</t>
  </si>
  <si>
    <t>1.15136</t>
  </si>
  <si>
    <t>104.027</t>
  </si>
  <si>
    <t>Darsim</t>
  </si>
  <si>
    <t>+62 858-4610-2645</t>
  </si>
  <si>
    <t>14.02.26 Start dismantle</t>
  </si>
  <si>
    <t>JSA No.07/TSA/HSE/12/2025</t>
  </si>
  <si>
    <t>SWP-HSE-98</t>
  </si>
  <si>
    <t>EMAPO26-000078</t>
  </si>
  <si>
    <t>E1200391</t>
  </si>
  <si>
    <t>ID-KR-04142</t>
  </si>
  <si>
    <t>PINANG_IM3</t>
  </si>
  <si>
    <t>BUKIT CERMIN TAMAN BAHAGIA TANJUNG PINANG, KEC. TANJUNG PINANG BARAT, KOTA TANJUNG PINANG, PROV. KEPULAUAN RIAU</t>
  </si>
  <si>
    <t>0.92437</t>
  </si>
  <si>
    <t>104.448</t>
  </si>
  <si>
    <t>JSA No.04/TSA/HSE/12/2025</t>
  </si>
  <si>
    <t>SWP-HSE-94</t>
  </si>
  <si>
    <t>EMAPO26-000044</t>
  </si>
  <si>
    <t>ID-PA-07931</t>
  </si>
  <si>
    <t>PAPUA</t>
  </si>
  <si>
    <t>Kab. Biak Numfor</t>
  </si>
  <si>
    <t>DESA YAFDAS KEC. SAMOFA KAB. BIAK NUMFOR PAPUA</t>
  </si>
  <si>
    <t>-1.16222</t>
  </si>
  <si>
    <t>136.072</t>
  </si>
  <si>
    <t>10.03.26 Plan Exe</t>
  </si>
  <si>
    <t>JSA No.03/TSA/HSE/01/2026</t>
  </si>
  <si>
    <t>SWP-HSE-101</t>
  </si>
  <si>
    <t>waiting boq app on ISAAC</t>
  </si>
  <si>
    <t>R7300040</t>
  </si>
  <si>
    <t>ID-SN-00590</t>
  </si>
  <si>
    <t>AL MARKAS ISLAMI</t>
  </si>
  <si>
    <t>JL. ALMARKAS AL ISLAMI NO.8 , RT 003/RW 004, KELURAHAN LEMBO, KECAMATAN TALLO, KOTA MAKASSAR, SULAWESI SELATAN</t>
  </si>
  <si>
    <t>-5.12453</t>
  </si>
  <si>
    <t>119.426</t>
  </si>
  <si>
    <t>31.01.26 Start Dismantle</t>
  </si>
  <si>
    <t>JSA No.02/TSA/HSE/01/2026</t>
  </si>
  <si>
    <t>CMIPO26-000314</t>
  </si>
  <si>
    <t>ID-JT-05864</t>
  </si>
  <si>
    <t>JL. SRI REJEKI I/2 KEC. GISIKDRONO SEMARANG</t>
  </si>
  <si>
    <t>-6.99276</t>
  </si>
  <si>
    <t>110.384</t>
  </si>
  <si>
    <t>Survey only</t>
  </si>
  <si>
    <t>BOQ Survey only</t>
  </si>
  <si>
    <t>JSA No.05/TSA/HSE/01/2026</t>
  </si>
  <si>
    <t>SWP-HSE-102</t>
  </si>
  <si>
    <t>EMAPO26-000072
PO cancel</t>
  </si>
  <si>
    <t>Suervey only, PO cancel
waiting PO Survey release</t>
  </si>
  <si>
    <t>ID-JT-02685</t>
  </si>
  <si>
    <t>Kab. Brebes</t>
  </si>
  <si>
    <t>KARANG JUNTI RT05/02 , KB BREBES - JAWA TENGAH</t>
  </si>
  <si>
    <t>108.793</t>
  </si>
  <si>
    <t>JSA No.04/TSA/HSE/01/2026</t>
  </si>
  <si>
    <t>SWP-HSE-103</t>
  </si>
  <si>
    <t>CMIPO26-001081</t>
  </si>
  <si>
    <t>Dismantle Equipment by MS XLS</t>
  </si>
  <si>
    <t>31.05.26 dismantle IOH
22.06.26 dismantle XLS</t>
  </si>
  <si>
    <t>03.07.26 ATP IOH done upload ISAAC
XLS NY take data ATP</t>
  </si>
  <si>
    <t>Dismantle Equipment by Operator</t>
  </si>
  <si>
    <t>14.07.26 Inbound Material</t>
  </si>
  <si>
    <t>CMIPO26-001561</t>
  </si>
  <si>
    <t>SWP-HSE-100</t>
  </si>
  <si>
    <t>E3500264</t>
  </si>
  <si>
    <t>ID-JI-06431</t>
  </si>
  <si>
    <t>WATUKOSEK2</t>
  </si>
  <si>
    <t>Kab. Mojokerto</t>
  </si>
  <si>
    <t>PUSAT PENDIDIKAN DAN PELATIHAN BRIMOB, JL. RAYA WATUKOSEK GEMPOL PASURUAN</t>
  </si>
  <si>
    <t>-7.58376</t>
  </si>
  <si>
    <t>112.654</t>
  </si>
  <si>
    <t>Combat</t>
  </si>
  <si>
    <t>Relocation Equipment to Permanent Site</t>
  </si>
  <si>
    <t>13.01.26 Dismantle equip XLS
14.01.26 Reinstall equip XLS
16.01.26 OA XLS
17.01.26 Dismantle equip IOH
18.01.26 OA IOH</t>
  </si>
  <si>
    <t>01.04.26 done DRM</t>
  </si>
  <si>
    <t>-6.367087</t>
  </si>
  <si>
    <t>106.283023</t>
  </si>
  <si>
    <t>CR-20260107-00000380
CR-20260109-00000299
CR-20260109-00000359
CR-20260109-00000372</t>
  </si>
  <si>
    <t>XLWO-20260107-00000501</t>
  </si>
  <si>
    <t>CRQ000001045499</t>
  </si>
  <si>
    <t>R3580021</t>
  </si>
  <si>
    <t>ID-JI-00517</t>
  </si>
  <si>
    <t>SUNGKONO</t>
  </si>
  <si>
    <t>JL. TUTUT IV, RT 07 RW 01, KEL. ARJOWINANGUN, KEC.KEDUNG KANDANG, KOTA MALANG, JAWA TIMUR</t>
  </si>
  <si>
    <t>-8.04061</t>
  </si>
  <si>
    <t>112.6416</t>
  </si>
  <si>
    <t>08.05.26 Start Dismantle</t>
  </si>
  <si>
    <t>JSA No.11/TSA/HSE/04/2026</t>
  </si>
  <si>
    <t>SWP-HSE-111</t>
  </si>
  <si>
    <t>CMIPO26-001560</t>
  </si>
  <si>
    <t>E3100328</t>
  </si>
  <si>
    <t>ID-JK-04732</t>
  </si>
  <si>
    <t>MIC_ST_KRL_ANCOL</t>
  </si>
  <si>
    <t>Ancol, Pademangan Bar., Kec. Pademangan, Jkt Utara, Daerah Khusus Ibukota Jakarta</t>
  </si>
  <si>
    <t>-6.12795</t>
  </si>
  <si>
    <t>106.8454</t>
  </si>
  <si>
    <t>JSA No.10/TSA/HSE/04/2026</t>
  </si>
  <si>
    <t>SWP-HSE-110</t>
  </si>
  <si>
    <t>EMAPO26-000503</t>
  </si>
  <si>
    <t>R3350028</t>
  </si>
  <si>
    <t>ID-JT-00913</t>
  </si>
  <si>
    <t>AGUNG SELATAN</t>
  </si>
  <si>
    <t>-7.5556</t>
  </si>
  <si>
    <t>110.8382</t>
  </si>
  <si>
    <t>JSA No.15/TSA/HSE/04/2026</t>
  </si>
  <si>
    <t>SWP-HSE-115</t>
  </si>
  <si>
    <t>Pole masih ada tenant - pengajuan BOQ survey only</t>
  </si>
  <si>
    <t>E3300036</t>
  </si>
  <si>
    <t>ID-JT-05749</t>
  </si>
  <si>
    <t>HOTEL_ALEXANDER</t>
  </si>
  <si>
    <t>Kota Tegal</t>
  </si>
  <si>
    <t>-6.86966</t>
  </si>
  <si>
    <t>109.1342</t>
  </si>
  <si>
    <t>JSA No.17/TSA/HSE/04/2026</t>
  </si>
  <si>
    <t>SWP-HSE-117</t>
  </si>
  <si>
    <t>EMAPO26-000790</t>
  </si>
  <si>
    <t>E3300056</t>
  </si>
  <si>
    <t>ID-JT-05769</t>
  </si>
  <si>
    <t>PURWOKERTO_NEW</t>
  </si>
  <si>
    <t>-7.42596</t>
  </si>
  <si>
    <t>109.2347</t>
  </si>
  <si>
    <t>JSA No.16/TSA/HSE/04/2026</t>
  </si>
  <si>
    <t>SWP-HSE-116</t>
  </si>
  <si>
    <t>EMAPO26-000557</t>
  </si>
  <si>
    <t>E7100022</t>
  </si>
  <si>
    <t>ID-SU-07561</t>
  </si>
  <si>
    <t>HOTEL_QUALITY</t>
  </si>
  <si>
    <t>Sario Tumpaan, Kota Manado, Sulawesi Utara</t>
  </si>
  <si>
    <t>1.46481</t>
  </si>
  <si>
    <t>124.8288</t>
  </si>
  <si>
    <t>13.06.26 Start dismantle
17.06.26 BAST sign, lanjut perapihan</t>
  </si>
  <si>
    <t>JSA No.18/TSA/HSE/04/2026</t>
  </si>
  <si>
    <t>SWP-HSE-118</t>
  </si>
  <si>
    <t>EMAPO26-000789</t>
  </si>
  <si>
    <t>ID-SU-07576</t>
  </si>
  <si>
    <t>Kab. Kepulauan Sangihe</t>
  </si>
  <si>
    <t>Belengang, Kabupaten Kepulauan Sangihe, Sulawesi Utara</t>
  </si>
  <si>
    <t>3.4854</t>
  </si>
  <si>
    <t>125.4893</t>
  </si>
  <si>
    <t>SST</t>
  </si>
  <si>
    <t>09.05.26 Start Dismantle</t>
  </si>
  <si>
    <t>JSA No.14/TSA/HSE/04/2026</t>
  </si>
  <si>
    <t>SWP-HSE-114</t>
  </si>
  <si>
    <t>EMAPO26-000556</t>
  </si>
  <si>
    <t>PO EMAPO26-000556 cancel
waiting release new PO</t>
  </si>
  <si>
    <t>R3580019</t>
  </si>
  <si>
    <t>ID-JI-00505</t>
  </si>
  <si>
    <t>GLADAKBIDUNG</t>
  </si>
  <si>
    <t>Kab. Jember</t>
  </si>
  <si>
    <t>Jl. Dusun Sumuran, Durenan, Klompangan, Kec. Ajung, Kabupaten Jember</t>
  </si>
  <si>
    <t>-8.23315</t>
  </si>
  <si>
    <t>113.6826</t>
  </si>
  <si>
    <t>29.06.26 start dismantle</t>
  </si>
  <si>
    <t>JSA No.22/TSA/HSE/05/2026</t>
  </si>
  <si>
    <t>SWP-HSE-122</t>
  </si>
  <si>
    <t>CMIPO26-002158</t>
  </si>
  <si>
    <t>R3580020</t>
  </si>
  <si>
    <t>ID-JI-00506</t>
  </si>
  <si>
    <t>KLOMPANGAN</t>
  </si>
  <si>
    <t>Sumuran, Klompangan, Kec. Ajung, Kabupaten Jember</t>
  </si>
  <si>
    <t>-8.2368</t>
  </si>
  <si>
    <t>113.6553</t>
  </si>
  <si>
    <t>03.07.26 start dismantle</t>
  </si>
  <si>
    <t>JSA No.20/TSA/HSE/05/2026</t>
  </si>
  <si>
    <t>SWP-HSE-120</t>
  </si>
  <si>
    <t>E3500374</t>
  </si>
  <si>
    <t>ID-JI-06539</t>
  </si>
  <si>
    <t>PT_NEWCON</t>
  </si>
  <si>
    <t>Twenty - One Building, Mojo, Kec. Gubeng, Surabaya, Jawa Timur 60285</t>
  </si>
  <si>
    <t>-7.2656</t>
  </si>
  <si>
    <t>112.7649</t>
  </si>
  <si>
    <t>03.07.26 Plan dismantle</t>
  </si>
  <si>
    <t>JSA No.37/TSA/HSE/06/2026</t>
  </si>
  <si>
    <t>SWP-HSE-137</t>
  </si>
  <si>
    <t>EMAPO26-000989</t>
  </si>
  <si>
    <t>R3300363</t>
  </si>
  <si>
    <t>ID-JT-00007</t>
  </si>
  <si>
    <t>HOTEL HORIZON</t>
  </si>
  <si>
    <t>Jl. Kyai H. Ahmad Dahlan No.2, Karangkidul, Kec. Semarang Tengah, Kota Semarang, Jawa Tengah 50136</t>
  </si>
  <si>
    <t>-6.98995</t>
  </si>
  <si>
    <t>110.4246</t>
  </si>
  <si>
    <t>waiting BAST dari joko dedoyo</t>
  </si>
  <si>
    <t>28.05.26 BOQ mentahan</t>
  </si>
  <si>
    <t>JSA No.30/TSA/HSE/06/2026</t>
  </si>
  <si>
    <t>SWP-HSE-130</t>
  </si>
  <si>
    <t>E3300295</t>
  </si>
  <si>
    <t>ID-JT-06005</t>
  </si>
  <si>
    <t>SUDIROPRAJAN</t>
  </si>
  <si>
    <t>-7.57059</t>
  </si>
  <si>
    <t>110.8334</t>
  </si>
  <si>
    <t>18.05.16 BOQ mentahan</t>
  </si>
  <si>
    <t>JSA No.27/TSA/HSE/06/2026</t>
  </si>
  <si>
    <t>SWP-HSE-127</t>
  </si>
  <si>
    <t>waiting BAST from team</t>
  </si>
  <si>
    <t>ID-SG-07844</t>
  </si>
  <si>
    <t>Mandati II, Kabupaten Wakatobi, Sulawesi Tenggara</t>
  </si>
  <si>
    <t>-5.32734</t>
  </si>
  <si>
    <t>123.541</t>
  </si>
  <si>
    <t>SWP-HSE-105</t>
  </si>
  <si>
    <t>R3580028</t>
  </si>
  <si>
    <t>ID-JI-00589</t>
  </si>
  <si>
    <t>LESTARI UTARA</t>
  </si>
  <si>
    <t>Kota Batu</t>
  </si>
  <si>
    <t>Ngaglik, Kota Batu, Jawa Timur</t>
  </si>
  <si>
    <t>-7.86299</t>
  </si>
  <si>
    <t>112.5196</t>
  </si>
  <si>
    <t>22.05.26 boq mentahan</t>
  </si>
  <si>
    <t>JSA No.12/TSA/HSE/04/2026</t>
  </si>
  <si>
    <t>SWP-HSE-112</t>
  </si>
  <si>
    <t>E3500077</t>
  </si>
  <si>
    <t>ID-JI-06245</t>
  </si>
  <si>
    <t>TULUNGAGUNG_KOTA</t>
  </si>
  <si>
    <t>Kab. Tulungagung</t>
  </si>
  <si>
    <t>Mangunsari, Kabupaten Tulungagung, Jawa Timur</t>
  </si>
  <si>
    <t>-8.05376</t>
  </si>
  <si>
    <t>111.8935</t>
  </si>
  <si>
    <t>JSA No.34/TSA/HSE/06/2026</t>
  </si>
  <si>
    <t>SWP-HSE-134</t>
  </si>
  <si>
    <t>R3500027</t>
  </si>
  <si>
    <t>ID-JI-11514</t>
  </si>
  <si>
    <t>SUKOSARI</t>
  </si>
  <si>
    <t>Kab. Ponorogo</t>
  </si>
  <si>
    <t>-7.79537</t>
  </si>
  <si>
    <t>111.4473</t>
  </si>
  <si>
    <t>14.04.26 boq mentahan</t>
  </si>
  <si>
    <t>JSA No.31/TSA/HSE/06/2026</t>
  </si>
  <si>
    <t>SWP-HSE-131</t>
  </si>
  <si>
    <t>E3300157</t>
  </si>
  <si>
    <t>ID-JT-05868</t>
  </si>
  <si>
    <t>MENOREH_NEW</t>
  </si>
  <si>
    <t>-7.01101</t>
  </si>
  <si>
    <t>110.3918</t>
  </si>
  <si>
    <t>JSA No.33/TSA/HSE/06/2026</t>
  </si>
  <si>
    <t>SWP-HSE-133</t>
  </si>
  <si>
    <t>E6400083</t>
  </si>
  <si>
    <t>ID-KI-07469</t>
  </si>
  <si>
    <t>RUKO_BELIBIS</t>
  </si>
  <si>
    <t>Kota Samarinda</t>
  </si>
  <si>
    <t>-0.48381</t>
  </si>
  <si>
    <t>117.1524</t>
  </si>
  <si>
    <t>ID-SU-07577</t>
  </si>
  <si>
    <t>Soataloara II, Kabupaten Kepulauan Sangihe, Sulawesi Utara</t>
  </si>
  <si>
    <t>3.61121</t>
  </si>
  <si>
    <t>125.4899</t>
  </si>
  <si>
    <t>Waiting BAN App</t>
  </si>
  <si>
    <t>JSA No.23/TSA/HSE/05/2026</t>
  </si>
  <si>
    <t>SWP-HSE-123</t>
  </si>
  <si>
    <t>Waiting PO release &amp; BAN App</t>
  </si>
  <si>
    <t>ID-JI-06538</t>
  </si>
  <si>
    <t>JL MANYAR KERTOARJO 5 NO 62 SURABAYA</t>
  </si>
  <si>
    <t>-7.27909</t>
  </si>
  <si>
    <t>112.765</t>
  </si>
  <si>
    <t>02.08.26 Start dismantle</t>
  </si>
  <si>
    <t>SWP-HSE-104</t>
  </si>
  <si>
    <t>EMAPO26-000336</t>
  </si>
  <si>
    <t>HO ke Protelindo</t>
  </si>
  <si>
    <t>done dismantle perangkat</t>
  </si>
  <si>
    <t>ID-JI-06472</t>
  </si>
  <si>
    <t>KOMPLEKS KODIKLATAL JL BUMIMORO MOROKREMBANGAN SURABAYA</t>
  </si>
  <si>
    <t>-7.21741</t>
  </si>
  <si>
    <t>112.71696</t>
  </si>
  <si>
    <t>TSEL, IOH, XL</t>
  </si>
  <si>
    <t>JSA No.19/TSA/HSE/05/2026</t>
  </si>
  <si>
    <t>SWP-HSE-119</t>
  </si>
  <si>
    <t>EMAPO26-000792</t>
  </si>
  <si>
    <t>23.06.26 inbound material IOH
14.07.26 inbound material XLS</t>
  </si>
  <si>
    <t>ID-JB-09545</t>
  </si>
  <si>
    <t>JL. SUKAMULYA INDAH NO. 3, KP. KENDAL GEDE RT 06 RW 02, KEL. SUKAGALIH, KEC. SUKAJADI, KOTA BANDUNG [40163]</t>
  </si>
  <si>
    <t>-6.88585</t>
  </si>
  <si>
    <t>107.58686</t>
  </si>
  <si>
    <t>JSA No.38/TSA/HSE/06/2026</t>
  </si>
  <si>
    <t>SWP-HSE-138</t>
  </si>
  <si>
    <t>ID-JI-06326</t>
  </si>
  <si>
    <t>Kab. Jombang</t>
  </si>
  <si>
    <t>DSN NGUDIREJO RT.05 RW 02. KEL.NGUDIREJO. KEC DIWEK. KAB. JOMBANG</t>
  </si>
  <si>
    <t>-7.57142</t>
  </si>
  <si>
    <t>112.254</t>
  </si>
  <si>
    <t>JSA No.35/TSA/HSE/06/2026</t>
  </si>
  <si>
    <t>SWP-HSE-135</t>
  </si>
  <si>
    <t>ID-JI-19152</t>
  </si>
  <si>
    <t>NGUDIREJO</t>
  </si>
  <si>
    <t>ID-JI-06660</t>
  </si>
  <si>
    <t>JL. ANDANSARI, KAB. LAMONGAN</t>
  </si>
  <si>
    <t>-7.12236</t>
  </si>
  <si>
    <t>112.413</t>
  </si>
  <si>
    <t>waiting survey report</t>
  </si>
  <si>
    <t>ID-JT-02715</t>
  </si>
  <si>
    <t>Kab. Purworejo</t>
  </si>
  <si>
    <t>JL.BANYUURIP RT.01/01 KEC.BANYUURIP , PURWOREJO,JAWA TENGAH</t>
  </si>
  <si>
    <t>-7.75616</t>
  </si>
  <si>
    <t>109.972</t>
  </si>
  <si>
    <t>03.06.26 boq mentahan</t>
  </si>
  <si>
    <t>JSA No.39/TSA/HSE/06/2026</t>
  </si>
  <si>
    <t>SWP-HSE-139</t>
  </si>
  <si>
    <t>E3400030</t>
  </si>
  <si>
    <t>ID-YO-06112</t>
  </si>
  <si>
    <t>KRAPYAK_YGY</t>
  </si>
  <si>
    <t>Kab. Bantul</t>
  </si>
  <si>
    <t>JL. CUWIRI KEL. MANTRIJERON KEC. MANTRIJERON KODYA YOGYAKARTA (SMP ALI MAKSUM)</t>
  </si>
  <si>
    <t>-7.82504</t>
  </si>
  <si>
    <t>110.362</t>
  </si>
  <si>
    <t>JSA No.32/TSA/HSE/06/2026</t>
  </si>
  <si>
    <t>SWP-HSE-132</t>
  </si>
  <si>
    <t>R5100125</t>
  </si>
  <si>
    <t>ID-BA-01273</t>
  </si>
  <si>
    <t>PELIATAN</t>
  </si>
  <si>
    <t>Kab. Gianyar</t>
  </si>
  <si>
    <t>JL. MADE LEBAH NO 2 BANJAR KALAH DESA PELIATAN KEC. UBUD KAB. GIANYAR PROV. BALI</t>
  </si>
  <si>
    <t>-8.52365</t>
  </si>
  <si>
    <t>115.268</t>
  </si>
  <si>
    <t>JSA No.08/TSA/HSE/04/2026</t>
  </si>
  <si>
    <t>SWP-HSE-108</t>
  </si>
  <si>
    <t>CMIPO26-001559</t>
  </si>
  <si>
    <t>E8100001</t>
  </si>
  <si>
    <t>ID-MA-07883</t>
  </si>
  <si>
    <t>AIRPORT_AMBON</t>
  </si>
  <si>
    <t>MALUKU</t>
  </si>
  <si>
    <t>Kota Ambon</t>
  </si>
  <si>
    <t>BANDARA PATTIMURA AMBON - MALUKU</t>
  </si>
  <si>
    <t>-3.70596</t>
  </si>
  <si>
    <t>128.087</t>
  </si>
  <si>
    <t>12.03.26 Start dismantle</t>
  </si>
  <si>
    <t>JSA No.07/TSA/HSE/03/2026</t>
  </si>
  <si>
    <t>SWP-HSE-107</t>
  </si>
  <si>
    <t>EMAPO26-000405</t>
  </si>
  <si>
    <t>Perangkat dismantle by MNO</t>
  </si>
  <si>
    <t>R3580603</t>
  </si>
  <si>
    <t>ID-JI-08021</t>
  </si>
  <si>
    <t>TLANAKAN_LARANGANSLAMPAR</t>
  </si>
  <si>
    <t>DSN. SEKAR PUTIH , RT. 002, RW. 001, DS. LARANGAN SLAMPAR , KEC. TLANAKAN KAB. PAMEKASAN PROV. JAWA TIMUR</t>
  </si>
  <si>
    <t>-7.18638</t>
  </si>
  <si>
    <t>113.42</t>
  </si>
  <si>
    <t>No Need Permit</t>
  </si>
  <si>
    <t>08.03.26 Start Cutting Tower</t>
  </si>
  <si>
    <t>JSA No.09/TSA/HSE/03/2026</t>
  </si>
  <si>
    <t>SWP-HSE-109</t>
  </si>
  <si>
    <t>CMIPO26-001482</t>
  </si>
  <si>
    <t>E3500584</t>
  </si>
  <si>
    <t>ID-JI-08313</t>
  </si>
  <si>
    <t>DESAGADING_BJO</t>
  </si>
  <si>
    <t>Kab. Bojonegoro</t>
  </si>
  <si>
    <t>DUSUN GADING RT 010 RW 002 DESA GADING KEC. TAMBAKREJO KAB. BOJONEGORO PROP. JAWA TIMUR</t>
  </si>
  <si>
    <t>-7.24061</t>
  </si>
  <si>
    <t>111.596</t>
  </si>
  <si>
    <t>Cutting Tower from 62 to 55</t>
  </si>
  <si>
    <t>survey</t>
  </si>
  <si>
    <t>17.03.26 BOQ mentahan</t>
  </si>
  <si>
    <t>Reheight Antenna</t>
  </si>
  <si>
    <t>ID-JI-00264</t>
  </si>
  <si>
    <t>-7.22355</t>
  </si>
  <si>
    <t>112.7516</t>
  </si>
  <si>
    <t>IOH, Tsel</t>
  </si>
  <si>
    <t>Dismantle Equipment in MBTS</t>
  </si>
  <si>
    <t>16.03.26 Start dismantle IOH
07.04.26 Start dismantle Tsel</t>
  </si>
  <si>
    <t>DRM 2nd BOQ 03.06.26</t>
  </si>
  <si>
    <t>R3580018 old site</t>
  </si>
  <si>
    <t>PEGIRIKAN RELOCATION</t>
  </si>
  <si>
    <t>CRQ000001104554</t>
  </si>
  <si>
    <t>18.03.26 IOH OA
09.04.26 Tsel OA</t>
  </si>
  <si>
    <t>CMIPO26-001229</t>
  </si>
  <si>
    <t>R3580018</t>
  </si>
  <si>
    <t>07.03.26 Start Dism Perangkat</t>
  </si>
  <si>
    <t>PO Variation (reheight antenna) NY release</t>
  </si>
  <si>
    <t>Jl. Kenanga No 5 Rt 11/04 Ds.Bumi Sejatera Kel Kaliorang Kec Kaliorang Kab Kutim</t>
  </si>
  <si>
    <t>0.90123</t>
  </si>
  <si>
    <t>117.9</t>
  </si>
  <si>
    <t>Outdorization</t>
  </si>
  <si>
    <t>NO Need</t>
  </si>
  <si>
    <t>BOQ NY App on ISAAC</t>
  </si>
  <si>
    <t>ID-SN-07744</t>
  </si>
  <si>
    <t>Kab. Bantaeng</t>
  </si>
  <si>
    <t>JL. RAYA LANTO KEL. MALILINGI KEC. BANTAENG KAB. BANTAENG</t>
  </si>
  <si>
    <t>-5.54805</t>
  </si>
  <si>
    <t>119.9504</t>
  </si>
  <si>
    <t>19.05.26 boq mentahan</t>
  </si>
  <si>
    <t>JSA No.21/TSA/HSE/05/2026</t>
  </si>
  <si>
    <t>SWP-HSE-121</t>
  </si>
  <si>
    <t>ID-KR-04090</t>
  </si>
  <si>
    <t>JL. KOLONEL SUGIONO TG. PINGGIR, SEKUPANG</t>
  </si>
  <si>
    <t>1.13133</t>
  </si>
  <si>
    <t>103.92832</t>
  </si>
  <si>
    <t>SPH scrap onsite area batam need DRM</t>
  </si>
  <si>
    <t>JSA No.26/TSA/HSE/05/2026</t>
  </si>
  <si>
    <t>SWP-HSE-126</t>
  </si>
  <si>
    <t>ID-SU-03874</t>
  </si>
  <si>
    <t>JL. SISINGAMANGARAJA NO. 176 MEDAN</t>
  </si>
  <si>
    <t>3.56185</t>
  </si>
  <si>
    <t>98.69296</t>
  </si>
  <si>
    <t>JSA No.28/TSA/HSE/06/2026</t>
  </si>
  <si>
    <t>SWP-HSE-128</t>
  </si>
  <si>
    <t>R1100013</t>
  </si>
  <si>
    <t>ID-AC-00498</t>
  </si>
  <si>
    <t>PASAR KUTA BLANG</t>
  </si>
  <si>
    <t>NANGGROE ACEH DARUSSALAM</t>
  </si>
  <si>
    <t>Kab. Bireun</t>
  </si>
  <si>
    <t>JL. PDG, DSN TGK CHIK GAMPONG TINGKEM MANYANG, KEC. KUTA BLANG, KAB. BIREUN, PROV. ACEH</t>
  </si>
  <si>
    <t>5.21272</t>
  </si>
  <si>
    <t>96.82892</t>
  </si>
  <si>
    <t>on plan</t>
  </si>
  <si>
    <t>E3400048</t>
  </si>
  <si>
    <t>ID-YO-06130</t>
  </si>
  <si>
    <t>BABARAN</t>
  </si>
  <si>
    <t>JL. GLAGAH SARI III UMBULHARJO, YOGYAKARTA</t>
  </si>
  <si>
    <t>-7.8107</t>
  </si>
  <si>
    <t>110.38758</t>
  </si>
  <si>
    <t>JSA No.46/TSA/HSE/07/2026</t>
  </si>
  <si>
    <t>SWP-HSE-146</t>
  </si>
  <si>
    <t>ID-JB-05339</t>
  </si>
  <si>
    <t>Kab. Karawang</t>
  </si>
  <si>
    <t>JL. WADAS PINTU AIR RT. 02 RW 04 KARABA INDAH KARAWANG</t>
  </si>
  <si>
    <t>-6.32445</t>
  </si>
  <si>
    <t>107.275</t>
  </si>
  <si>
    <t>JSA No.42/TSA/HSE/07/2026</t>
  </si>
  <si>
    <t>SWP-HSE-142</t>
  </si>
  <si>
    <t>ID-KR-04174</t>
  </si>
  <si>
    <t>KAVLING BUKIT KAMBOJA RT 02/42 KEL. SAGULUNG KEC. SUNGAI BEDUK BATAM</t>
  </si>
  <si>
    <t>1.02341</t>
  </si>
  <si>
    <t>103.959</t>
  </si>
  <si>
    <t>Dismantle RRU blm masuk ke BOQ
SPH scrap onsite area batam need DRM
Add cost tiket pesawat need DRM (pengganti delay dismantle tower)</t>
  </si>
  <si>
    <t>JSA No.25/TSA/HSE/05/2026</t>
  </si>
  <si>
    <t>SWP-HSE-125</t>
  </si>
  <si>
    <t>Waiting dism equip telkomsel W28</t>
  </si>
  <si>
    <t>ID-KR-04115</t>
  </si>
  <si>
    <t>1.05913</t>
  </si>
  <si>
    <t>104.039</t>
  </si>
  <si>
    <t>14.07.26 DRM // 20.07.26 done revisi SPH
SPH scrap onsite area batam
Add cost tiket pesawat (pengganti delay dismantle tower) done DRM</t>
  </si>
  <si>
    <t>JSA No.24/TSA/HSE/05/2026</t>
  </si>
  <si>
    <t>SWP-HSE-124</t>
  </si>
  <si>
    <t>EMAPO26-000791</t>
  </si>
  <si>
    <t>E3100353</t>
  </si>
  <si>
    <t>ID-JK-04756</t>
  </si>
  <si>
    <t>KAWIKAWI</t>
  </si>
  <si>
    <t>KRAMAT SENTIONG L55 KAWI-KAWI BAWAH,JOHAR BARU. JAKARTA PUSAT</t>
  </si>
  <si>
    <t>-6.18645</t>
  </si>
  <si>
    <t>106.853</t>
  </si>
  <si>
    <t>Cutting Tower from 70 to 40</t>
  </si>
  <si>
    <t>04.06.26 boq mentahan</t>
  </si>
  <si>
    <t>08.06.26 OA IOH
27.06.26 OA XLS</t>
  </si>
  <si>
    <t>CMIPO26-002311</t>
  </si>
  <si>
    <t>ID-JT-05929</t>
  </si>
  <si>
    <t>DSN NGEPOS RT01/08 KL TINGKIR , KC TINGKIR KODYA SALATIGA JATENG</t>
  </si>
  <si>
    <t>-7.36271</t>
  </si>
  <si>
    <t>110.515</t>
  </si>
  <si>
    <t>JSA No.40/TSA/HSE/07/2026</t>
  </si>
  <si>
    <t>SWP-HSE-140</t>
  </si>
  <si>
    <t>Rebuild_LOS Survey 14BRS0006  to 14BRS0004 / 14BRS0011 / 14BRS0013</t>
  </si>
  <si>
    <t>CMIPO26-002316</t>
  </si>
  <si>
    <t>ID-BA-00320</t>
  </si>
  <si>
    <t>CELLULAR WORLD , JL. TEUKU UMAR NO. 60, KOTA DENPASAR - BALI</t>
  </si>
  <si>
    <t>-8.67097</t>
  </si>
  <si>
    <t>115.209</t>
  </si>
  <si>
    <t>06.07.26 Start Dismantle</t>
  </si>
  <si>
    <t>JSA No.36/TSA/HSE/06/2026</t>
  </si>
  <si>
    <t>SWP-HSE-136</t>
  </si>
  <si>
    <t>PO NY release</t>
  </si>
  <si>
    <t>E3500354</t>
  </si>
  <si>
    <t>ID-JI-06519</t>
  </si>
  <si>
    <t>DCS_JAGALAN</t>
  </si>
  <si>
    <t>JL. JAGALAN 79/J-K RT/RW 001/012, KEL. PENELEH, KEC. GENTENG, SURABAYA, JAWA TIMUR</t>
  </si>
  <si>
    <t>-7.24864</t>
  </si>
  <si>
    <t>112.743</t>
  </si>
  <si>
    <t>09.07.26 team onsite survey no akses, LL tidak ada ditempat</t>
  </si>
  <si>
    <t>JSA No.45/TSA/HSE/07/2026</t>
  </si>
  <si>
    <t>SWP-HSE-145</t>
  </si>
  <si>
    <t>Waiting RFD</t>
  </si>
  <si>
    <t>R3100430</t>
  </si>
  <si>
    <t>ID-JB-00992</t>
  </si>
  <si>
    <t>GP MALL (BEKASI TRADE CENTER II)</t>
  </si>
  <si>
    <t>Kab. Bekasi</t>
  </si>
  <si>
    <t>JL. HAJI MULYADI JOYOMARTONO, MARGAHAYU, BEKASI TIMUR, JAWA BARAT</t>
  </si>
  <si>
    <t>-6.25969</t>
  </si>
  <si>
    <t>107.021</t>
  </si>
  <si>
    <t>ID-SN-01892</t>
  </si>
  <si>
    <t>JL. AROEPPALA, HERTASNING BARU, KEL. KASSI-KASSI, KEC. RAPPOCINI,MAKASSAR</t>
  </si>
  <si>
    <t>-5.17642</t>
  </si>
  <si>
    <t>119.457</t>
  </si>
  <si>
    <t>05.06.26 Start dismantle tower
need inbound Telkomsel</t>
  </si>
  <si>
    <t>JSA No.29/TSA/HSE/06/2026</t>
  </si>
  <si>
    <t>SWP-HSE-129</t>
  </si>
  <si>
    <t>Rebuild_LOS Survey 16JMB0118 SUMBER_MULYO_MT to 16JMB0108 PLANDI_JMB1_EP</t>
  </si>
  <si>
    <t>EMAPO26-000862</t>
  </si>
  <si>
    <t>16JMB0118</t>
  </si>
  <si>
    <t>SUMBER_MULYO_MT</t>
  </si>
  <si>
    <t>E9100006</t>
  </si>
  <si>
    <t>ID-PB-07922</t>
  </si>
  <si>
    <t>V_BABO</t>
  </si>
  <si>
    <t>PAPUA BARAT</t>
  </si>
  <si>
    <t>Kab. Teluk Bintuni</t>
  </si>
  <si>
    <t>DEPAN SP. N I BABO, KAMPUNG IRARUTU III JL. ANGKASA RT. 08/RK.01 BABO, KAB. TELUK BINTUNI</t>
  </si>
  <si>
    <t>-2.54047</t>
  </si>
  <si>
    <t>133.443</t>
  </si>
  <si>
    <t>E7300019</t>
  </si>
  <si>
    <t>ID-SN-07651</t>
  </si>
  <si>
    <t>MAKASSAR_TRADE</t>
  </si>
  <si>
    <t>JL HOS COKRO AMINOTO MAKASAR</t>
  </si>
  <si>
    <t>-5.13247</t>
  </si>
  <si>
    <t>119.413</t>
  </si>
  <si>
    <t>14.06.26 onsite survey, butuh konfirmasi pole cmi
31.07.26 jovis &amp; resurvey with CMI TM</t>
  </si>
  <si>
    <t>Dismantle Shelter</t>
  </si>
  <si>
    <t>Rebuild_LOS Survey SUM-SU-LBP-0054 BANGUN PURBA Relocation to SUM-SU-SRH-1245 Sei Buaya // SUM-SU-LBP-0412 Batu Lokong // SUM-SU-SRH-8224 SF_Pematang Raya 2_COLLECTOR</t>
  </si>
  <si>
    <t>EMAPO26-000855</t>
  </si>
  <si>
    <t>E1600094</t>
  </si>
  <si>
    <t>ID-SS-04315</t>
  </si>
  <si>
    <t>TELKOM TL KELAPA / NASKAH</t>
  </si>
  <si>
    <t>Kota Palembang</t>
  </si>
  <si>
    <t>JL.KOL H BURLIAN RT.012/RW.04 KEL.KARYA BARU KEC.ALANG-ALANG BESAR</t>
  </si>
  <si>
    <t>-2.93799</t>
  </si>
  <si>
    <t>104.72</t>
  </si>
  <si>
    <t>JSA No.48/TSA/HSE/07/2026</t>
  </si>
  <si>
    <t>SWP-HSE-148</t>
  </si>
  <si>
    <t>E3500229</t>
  </si>
  <si>
    <t>ID-JI-06397</t>
  </si>
  <si>
    <t>DIENG_MALANG</t>
  </si>
  <si>
    <t>JL.SIMPANGRAYALANGSEPNO.20A,MALANG</t>
  </si>
  <si>
    <t>-7.97733</t>
  </si>
  <si>
    <t>112.612</t>
  </si>
  <si>
    <t>Comcase</t>
  </si>
  <si>
    <t>ID-JT-05910</t>
  </si>
  <si>
    <t>JL. KALIGAWE RAYA NO.4 KODYA SEMARANG</t>
  </si>
  <si>
    <t>-6.95592</t>
  </si>
  <si>
    <t>110.457</t>
  </si>
  <si>
    <t>JSA No.47/TSA/HSE/07/2026</t>
  </si>
  <si>
    <t>SWP-HSE-147</t>
  </si>
  <si>
    <t>R3270702</t>
  </si>
  <si>
    <t>ID-JB-02532</t>
  </si>
  <si>
    <t>PABUARAN (CIREBON)</t>
  </si>
  <si>
    <t>KH ZAENAL ARIFIN NO68 PABUARAN LOR , KC PABUARAN KB CIREBON - JAWA BARAT</t>
  </si>
  <si>
    <t>-6.90332</t>
  </si>
  <si>
    <t>108.718</t>
  </si>
  <si>
    <t>JSA No.50/TSA/HSE/07/2026</t>
  </si>
  <si>
    <t>SWP-HSE-150</t>
  </si>
  <si>
    <t>29.06.26 dismantle equipment IOH
30.06.26 HO matrial ke MS IOH
Plan dism tsel di W28</t>
  </si>
  <si>
    <t>Dismantle RRU blm masuk ke BOQ
SPH scrap onsite area batam need DRM</t>
  </si>
  <si>
    <t>09.07.26 sebagian perangkat diambil MS di site
12.07.26 Inbound to HB MS</t>
  </si>
  <si>
    <t>E3400063</t>
  </si>
  <si>
    <t>ID-YO-06145</t>
  </si>
  <si>
    <t>SINDUHARJO</t>
  </si>
  <si>
    <t>Kab. Sleman</t>
  </si>
  <si>
    <t>DSN.GADINGAN,DSA SINDUHARJO, KEC NGAGLIK</t>
  </si>
  <si>
    <t>-7.71724</t>
  </si>
  <si>
    <t>110.407</t>
  </si>
  <si>
    <t>ID-JB-02511</t>
  </si>
  <si>
    <t>Jl. Karang Muncang, Jepara, Kec. Japara, Kabupaten Kuningan</t>
  </si>
  <si>
    <t>-6.89619</t>
  </si>
  <si>
    <t>108.5167</t>
  </si>
  <si>
    <t>ID-KU-03075</t>
  </si>
  <si>
    <t>KALIMANTAN UTARA</t>
  </si>
  <si>
    <t>Kota Tarakan</t>
  </si>
  <si>
    <t>Juata Permai, Kota Tarakan, Kalimantan Utara</t>
  </si>
  <si>
    <t>3.36448</t>
  </si>
  <si>
    <t>117.55021</t>
  </si>
  <si>
    <t>waiting BOQ pass TI sign</t>
  </si>
  <si>
    <t>ID-JT-01739</t>
  </si>
  <si>
    <t>DUSUN KALIPANG.RT.001/RW. 001, KEL. KALIPANG, KEC.GABUS, KAB. GROBOGAN</t>
  </si>
  <si>
    <t>-7.14027</t>
  </si>
  <si>
    <t>111.214</t>
  </si>
  <si>
    <t>Dismantle Kamuflase</t>
  </si>
  <si>
    <t>JSA No.43/TSA/HSE/07/2026</t>
  </si>
  <si>
    <t>SWP-HSE-143</t>
  </si>
  <si>
    <t>ID-SU-03792</t>
  </si>
  <si>
    <t>Kab. Nias</t>
  </si>
  <si>
    <t>DESA HILIWETO GIDO KECAMATAN GIDO KABUPATEN NIAS</t>
  </si>
  <si>
    <t>1.11684</t>
  </si>
  <si>
    <t>97.7269</t>
  </si>
  <si>
    <t>20.07.26 Dism equip done DRM (waiting BAN Full Sign)</t>
  </si>
  <si>
    <t>R3580776</t>
  </si>
  <si>
    <t>ID-JI-10048</t>
  </si>
  <si>
    <t>Jalan ahmad Yani 2</t>
  </si>
  <si>
    <t>JL. Grand Ruko Ahmad Yani park No. 151P, Kel. Jemur Wonosari, Kec. Wonocolo, Kota Surabaya</t>
  </si>
  <si>
    <t>-7.32839</t>
  </si>
  <si>
    <t>17 + 7</t>
  </si>
  <si>
    <t>20.07.26 Dismantle XLS
22.07.26 Dismantle IOH temporary reinstall S3</t>
  </si>
  <si>
    <t>R3580798</t>
  </si>
  <si>
    <t>ID-JI-10049</t>
  </si>
  <si>
    <t>Puri Indah Lestari</t>
  </si>
  <si>
    <t>Bapak Sukemi, Perumahan Puri Indah Lestari Blok ED 01, Desa Sungon, Kec. Suko, Kab. Sidoarjo, Propinsi Jawa Timur</t>
  </si>
  <si>
    <t>-7.45296</t>
  </si>
  <si>
    <t>112.682</t>
  </si>
  <si>
    <t>13 + 12</t>
  </si>
  <si>
    <t>JSA No.53/TSA/HSE/07/2026</t>
  </si>
  <si>
    <t>SWP-HSE-153</t>
  </si>
  <si>
    <t>E3500230</t>
  </si>
  <si>
    <t>ID-JI-06398</t>
  </si>
  <si>
    <t>MIC_GALUNGGUNG</t>
  </si>
  <si>
    <t>JL. JOMBANG III, KELURAHAN GADING KASRI, KECAMATAN KLOJEN, KOTAMADYA MALANG, JAWA TIMUR</t>
  </si>
  <si>
    <t>-7.96716</t>
  </si>
  <si>
    <t>112.614</t>
  </si>
  <si>
    <t>6 + 6</t>
  </si>
  <si>
    <t>JSA No.51/TSA/HSE/07/2026</t>
  </si>
  <si>
    <t>SWP-HSE-151</t>
  </si>
  <si>
    <t>R1800057</t>
  </si>
  <si>
    <t>ID-LA-09506</t>
  </si>
  <si>
    <t>GEDUNG BANDAR RAHAYU</t>
  </si>
  <si>
    <t>Kab. Tulang Bawan</t>
  </si>
  <si>
    <t>BRATASENA ADIWARNA KEC. DENTE TELADAS KAB. TUBA</t>
  </si>
  <si>
    <t>-4.58919</t>
  </si>
  <si>
    <t>105.819</t>
  </si>
  <si>
    <t>E1600102</t>
  </si>
  <si>
    <t>ID-SS-04323</t>
  </si>
  <si>
    <t>IP_PLG</t>
  </si>
  <si>
    <t>JL JEND SUDIRMAN NO 147 KEL 17 ILIR KEC ILIR TIMUR I KODYA PALEMBANG PROP SUMATERA SELATAN</t>
  </si>
  <si>
    <t>-2.98418</t>
  </si>
  <si>
    <t>104.757</t>
  </si>
  <si>
    <t>27 + 4</t>
  </si>
  <si>
    <t>JSA No.52/TSA/HSE/07/2026</t>
  </si>
  <si>
    <t>SWP-HSE-152</t>
  </si>
  <si>
    <t>waiting DRM Reinstall equipment</t>
  </si>
  <si>
    <t>Rebuild_LOS Survey JAW-JB-CBI-0515  to JAW-JB-BGR-0421</t>
  </si>
  <si>
    <t>po ny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</si>
</sst>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&quot;Rp&quot;* #,##0_-;\-&quot;Rp&quot;* #,##0_-;_-&quot;Rp&quot;* &quot;-&quot;??_-;_-@_-"/>
    <numFmt numFmtId="165" formatCode="[$-409]d\-mmm\-yy;@"/>
    <numFmt numFmtId="166" formatCode="_-* #,##0.00_-;\-* #,##0.00_-;_-* &quot;-&quot;_-;_-@_-"/>
    <numFmt numFmtId="167" formatCode="_-* #,##0_-;\-* #,##0_-;_-* &quot;-&quot;??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  <charset val="134"/>
      <scheme val="minor"/>
    </font>
    <font>
      <sz val="9"/>
      <color theme="1"/>
      <name val="Calibri"/>
      <family val="2"/>
    </font>
    <font>
      <sz val="11"/>
      <color theme="1"/>
      <name val="Tenorite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FFFFFF"/>
      <name val="Arial Unicode MS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92D05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rgb="FFD9E1F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D9E1F2"/>
      </patternFill>
    </fill>
    <fill>
      <patternFill patternType="solid">
        <fgColor theme="5" tint="0.59999389629810485"/>
        <bgColor rgb="FFD9E1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1F2"/>
      </patternFill>
    </fill>
    <fill>
      <patternFill patternType="solid">
        <fgColor theme="7" tint="0.79998168889431442"/>
        <bgColor rgb="FFD9E1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D9E1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9E1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9E1F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1" fontId="1" fillId="0" borderId="0"/>
    <xf numFmtId="9" fontId="1" fillId="0" borderId="0"/>
    <xf numFmtId="0" fontId="6" fillId="0" borderId="0">
      <alignment vertical="center"/>
    </xf>
    <xf numFmtId="43" fontId="13" fillId="0" borderId="0"/>
    <xf numFmtId="9" fontId="13" fillId="0" borderId="0"/>
    <xf numFmtId="43" fontId="1" fillId="0" borderId="0"/>
    <xf numFmtId="0" fontId="1" fillId="0" borderId="0">
      <alignment vertical="center"/>
    </xf>
    <xf numFmtId="0" fontId="17" fillId="0" borderId="0"/>
  </cellStyleXfs>
  <cellXfs count="343">
    <xf numFmtId="0" fontId="0" fillId="0" borderId="0" xfId="0"/>
    <xf numFmtId="0" fontId="0" fillId="0" borderId="0" xfId="0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0" borderId="1" xfId="0" applyBorder="1"/>
    <xf numFmtId="0" fontId="10" fillId="0" borderId="1" xfId="0" applyFont="1" applyBorder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center"/>
    </xf>
    <xf numFmtId="15" fontId="10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8" borderId="11" xfId="0" applyFont="1" applyFill="1" applyBorder="1" applyAlignment="1">
      <alignment horizontal="center" vertical="center" wrapText="1"/>
    </xf>
    <xf numFmtId="0" fontId="10" fillId="0" borderId="1" xfId="0" quotePrefix="1" applyFont="1" applyBorder="1"/>
    <xf numFmtId="0" fontId="10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vertical="center"/>
    </xf>
    <xf numFmtId="49" fontId="10" fillId="13" borderId="1" xfId="0" applyNumberFormat="1" applyFont="1" applyFill="1" applyBorder="1" applyAlignment="1">
      <alignment vertical="center"/>
    </xf>
    <xf numFmtId="14" fontId="10" fillId="13" borderId="1" xfId="0" applyNumberFormat="1" applyFont="1" applyFill="1" applyBorder="1" applyAlignment="1">
      <alignment vertical="center"/>
    </xf>
    <xf numFmtId="0" fontId="0" fillId="14" borderId="1" xfId="0" applyFill="1" applyBorder="1"/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14" fontId="10" fillId="14" borderId="1" xfId="0" applyNumberFormat="1" applyFont="1" applyFill="1" applyBorder="1" applyAlignment="1">
      <alignment vertical="center"/>
    </xf>
    <xf numFmtId="0" fontId="10" fillId="14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left" vertical="center"/>
    </xf>
    <xf numFmtId="11" fontId="10" fillId="14" borderId="1" xfId="0" quotePrefix="1" applyNumberFormat="1" applyFont="1" applyFill="1" applyBorder="1" applyAlignment="1">
      <alignment vertical="center"/>
    </xf>
    <xf numFmtId="0" fontId="10" fillId="14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vertical="center"/>
    </xf>
    <xf numFmtId="49" fontId="10" fillId="15" borderId="1" xfId="0" applyNumberFormat="1" applyFont="1" applyFill="1" applyBorder="1" applyAlignment="1">
      <alignment vertical="center"/>
    </xf>
    <xf numFmtId="14" fontId="0" fillId="2" borderId="1" xfId="0" applyNumberFormat="1" applyFill="1" applyBorder="1"/>
    <xf numFmtId="0" fontId="0" fillId="2" borderId="1" xfId="0" applyFill="1" applyBorder="1"/>
    <xf numFmtId="0" fontId="0" fillId="2" borderId="1" xfId="0" quotePrefix="1" applyFill="1" applyBorder="1"/>
    <xf numFmtId="0" fontId="10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right"/>
    </xf>
    <xf numFmtId="0" fontId="10" fillId="2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vertical="center"/>
    </xf>
    <xf numFmtId="49" fontId="10" fillId="16" borderId="1" xfId="0" applyNumberFormat="1" applyFont="1" applyFill="1" applyBorder="1" applyAlignment="1">
      <alignment vertical="center"/>
    </xf>
    <xf numFmtId="14" fontId="0" fillId="6" borderId="1" xfId="0" applyNumberFormat="1" applyFill="1" applyBorder="1"/>
    <xf numFmtId="0" fontId="0" fillId="6" borderId="1" xfId="0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vertical="center"/>
    </xf>
    <xf numFmtId="0" fontId="10" fillId="16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vertical="center"/>
    </xf>
    <xf numFmtId="49" fontId="10" fillId="18" borderId="1" xfId="0" applyNumberFormat="1" applyFont="1" applyFill="1" applyBorder="1" applyAlignment="1">
      <alignment vertical="center"/>
    </xf>
    <xf numFmtId="14" fontId="0" fillId="17" borderId="1" xfId="0" applyNumberFormat="1" applyFill="1" applyBorder="1"/>
    <xf numFmtId="0" fontId="0" fillId="17" borderId="1" xfId="0" applyFill="1" applyBorder="1"/>
    <xf numFmtId="0" fontId="10" fillId="1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vertical="center"/>
    </xf>
    <xf numFmtId="0" fontId="10" fillId="18" borderId="1" xfId="0" applyFont="1" applyFill="1" applyBorder="1" applyAlignment="1">
      <alignment horizontal="left" vertical="center"/>
    </xf>
    <xf numFmtId="49" fontId="10" fillId="18" borderId="1" xfId="0" quotePrefix="1" applyNumberFormat="1" applyFont="1" applyFill="1" applyBorder="1" applyAlignment="1">
      <alignment vertical="center"/>
    </xf>
    <xf numFmtId="0" fontId="0" fillId="17" borderId="1" xfId="0" quotePrefix="1" applyFill="1" applyBorder="1" applyAlignment="1">
      <alignment horizontal="right"/>
    </xf>
    <xf numFmtId="0" fontId="0" fillId="17" borderId="1" xfId="0" quotePrefix="1" applyFill="1" applyBorder="1"/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vertical="center"/>
    </xf>
    <xf numFmtId="2" fontId="0" fillId="19" borderId="1" xfId="0" quotePrefix="1" applyNumberFormat="1" applyFill="1" applyBorder="1"/>
    <xf numFmtId="0" fontId="0" fillId="19" borderId="1" xfId="0" applyFill="1" applyBorder="1" applyAlignment="1">
      <alignment horizontal="right"/>
    </xf>
    <xf numFmtId="0" fontId="0" fillId="19" borderId="1" xfId="0" applyFill="1" applyBorder="1"/>
    <xf numFmtId="0" fontId="10" fillId="19" borderId="1" xfId="0" applyFont="1" applyFill="1" applyBorder="1" applyAlignment="1">
      <alignment horizontal="left" vertical="center"/>
    </xf>
    <xf numFmtId="49" fontId="10" fillId="20" borderId="1" xfId="0" applyNumberFormat="1" applyFont="1" applyFill="1" applyBorder="1" applyAlignment="1">
      <alignment vertical="center"/>
    </xf>
    <xf numFmtId="0" fontId="10" fillId="19" borderId="1" xfId="0" applyFont="1" applyFill="1" applyBorder="1" applyAlignment="1">
      <alignment vertical="center"/>
    </xf>
    <xf numFmtId="0" fontId="10" fillId="20" borderId="1" xfId="0" applyFont="1" applyFill="1" applyBorder="1" applyAlignment="1">
      <alignment horizontal="left" vertical="center"/>
    </xf>
    <xf numFmtId="14" fontId="0" fillId="19" borderId="1" xfId="0" applyNumberFormat="1" applyFill="1" applyBorder="1" applyAlignment="1">
      <alignment horizontal="right"/>
    </xf>
    <xf numFmtId="0" fontId="10" fillId="21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vertical="center"/>
    </xf>
    <xf numFmtId="49" fontId="10" fillId="22" borderId="1" xfId="0" applyNumberFormat="1" applyFont="1" applyFill="1" applyBorder="1" applyAlignment="1">
      <alignment vertical="center"/>
    </xf>
    <xf numFmtId="14" fontId="0" fillId="21" borderId="1" xfId="0" applyNumberFormat="1" applyFill="1" applyBorder="1"/>
    <xf numFmtId="0" fontId="0" fillId="21" borderId="1" xfId="0" applyFill="1" applyBorder="1"/>
    <xf numFmtId="0" fontId="0" fillId="21" borderId="1" xfId="0" quotePrefix="1" applyFill="1" applyBorder="1"/>
    <xf numFmtId="0" fontId="10" fillId="22" borderId="1" xfId="0" applyFont="1" applyFill="1" applyBorder="1" applyAlignment="1">
      <alignment horizontal="left" vertical="center"/>
    </xf>
    <xf numFmtId="14" fontId="10" fillId="16" borderId="1" xfId="0" applyNumberFormat="1" applyFont="1" applyFill="1" applyBorder="1" applyAlignment="1">
      <alignment vertical="center"/>
    </xf>
    <xf numFmtId="14" fontId="10" fillId="6" borderId="1" xfId="0" applyNumberFormat="1" applyFont="1" applyFill="1" applyBorder="1" applyAlignment="1">
      <alignment vertical="center"/>
    </xf>
    <xf numFmtId="0" fontId="0" fillId="6" borderId="1" xfId="0" quotePrefix="1" applyFill="1" applyBorder="1"/>
    <xf numFmtId="0" fontId="10" fillId="9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vertical="center"/>
    </xf>
    <xf numFmtId="49" fontId="10" fillId="23" borderId="1" xfId="0" applyNumberFormat="1" applyFont="1" applyFill="1" applyBorder="1" applyAlignment="1">
      <alignment vertical="center"/>
    </xf>
    <xf numFmtId="14" fontId="0" fillId="9" borderId="1" xfId="0" applyNumberFormat="1" applyFill="1" applyBorder="1"/>
    <xf numFmtId="0" fontId="0" fillId="9" borderId="1" xfId="0" applyFill="1" applyBorder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vertical="center"/>
    </xf>
    <xf numFmtId="0" fontId="0" fillId="9" borderId="1" xfId="0" quotePrefix="1" applyFill="1" applyBorder="1"/>
    <xf numFmtId="0" fontId="10" fillId="23" borderId="1" xfId="0" applyFont="1" applyFill="1" applyBorder="1" applyAlignment="1">
      <alignment horizontal="left" vertical="center"/>
    </xf>
    <xf numFmtId="0" fontId="10" fillId="24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vertical="center"/>
    </xf>
    <xf numFmtId="49" fontId="10" fillId="25" borderId="1" xfId="0" applyNumberFormat="1" applyFont="1" applyFill="1" applyBorder="1" applyAlignment="1">
      <alignment vertical="center"/>
    </xf>
    <xf numFmtId="14" fontId="0" fillId="24" borderId="1" xfId="0" applyNumberFormat="1" applyFill="1" applyBorder="1"/>
    <xf numFmtId="0" fontId="0" fillId="24" borderId="1" xfId="0" applyFill="1" applyBorder="1"/>
    <xf numFmtId="0" fontId="10" fillId="24" borderId="1" xfId="0" applyFont="1" applyFill="1" applyBorder="1" applyAlignment="1">
      <alignment horizontal="left" vertical="center"/>
    </xf>
    <xf numFmtId="0" fontId="10" fillId="24" borderId="1" xfId="0" applyFont="1" applyFill="1" applyBorder="1" applyAlignment="1">
      <alignment vertical="center"/>
    </xf>
    <xf numFmtId="0" fontId="10" fillId="25" borderId="1" xfId="0" applyFont="1" applyFill="1" applyBorder="1" applyAlignment="1">
      <alignment horizontal="left" vertical="center"/>
    </xf>
    <xf numFmtId="0" fontId="14" fillId="26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vertical="center"/>
    </xf>
    <xf numFmtId="49" fontId="14" fillId="27" borderId="1" xfId="0" applyNumberFormat="1" applyFont="1" applyFill="1" applyBorder="1" applyAlignment="1">
      <alignment vertical="center"/>
    </xf>
    <xf numFmtId="14" fontId="14" fillId="26" borderId="1" xfId="0" applyNumberFormat="1" applyFont="1" applyFill="1" applyBorder="1"/>
    <xf numFmtId="0" fontId="14" fillId="26" borderId="1" xfId="0" applyFont="1" applyFill="1" applyBorder="1"/>
    <xf numFmtId="0" fontId="14" fillId="26" borderId="1" xfId="0" quotePrefix="1" applyFont="1" applyFill="1" applyBorder="1"/>
    <xf numFmtId="0" fontId="14" fillId="26" borderId="1" xfId="0" applyFont="1" applyFill="1" applyBorder="1" applyAlignment="1">
      <alignment horizontal="left" vertical="center"/>
    </xf>
    <xf numFmtId="0" fontId="14" fillId="26" borderId="1" xfId="0" applyFont="1" applyFill="1" applyBorder="1" applyAlignment="1">
      <alignment vertical="center"/>
    </xf>
    <xf numFmtId="0" fontId="14" fillId="27" borderId="1" xfId="0" applyFont="1" applyFill="1" applyBorder="1" applyAlignment="1">
      <alignment horizontal="left" vertical="center"/>
    </xf>
    <xf numFmtId="0" fontId="10" fillId="26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vertical="center"/>
    </xf>
    <xf numFmtId="49" fontId="10" fillId="27" borderId="1" xfId="0" applyNumberFormat="1" applyFont="1" applyFill="1" applyBorder="1" applyAlignment="1">
      <alignment vertical="center"/>
    </xf>
    <xf numFmtId="0" fontId="0" fillId="26" borderId="1" xfId="0" applyFill="1" applyBorder="1" applyAlignment="1">
      <alignment horizontal="right"/>
    </xf>
    <xf numFmtId="0" fontId="0" fillId="26" borderId="1" xfId="0" applyFill="1" applyBorder="1"/>
    <xf numFmtId="0" fontId="10" fillId="26" borderId="1" xfId="0" applyFont="1" applyFill="1" applyBorder="1" applyAlignment="1">
      <alignment horizontal="left" vertical="center"/>
    </xf>
    <xf numFmtId="14" fontId="0" fillId="26" borderId="1" xfId="0" applyNumberFormat="1" applyFill="1" applyBorder="1" applyAlignment="1">
      <alignment horizontal="right"/>
    </xf>
    <xf numFmtId="0" fontId="10" fillId="26" borderId="1" xfId="0" applyFont="1" applyFill="1" applyBorder="1" applyAlignment="1">
      <alignment vertical="center"/>
    </xf>
    <xf numFmtId="0" fontId="10" fillId="27" borderId="1" xfId="0" applyFont="1" applyFill="1" applyBorder="1" applyAlignment="1">
      <alignment horizontal="left" vertical="center"/>
    </xf>
    <xf numFmtId="0" fontId="0" fillId="26" borderId="1" xfId="0" quotePrefix="1" applyFill="1" applyBorder="1"/>
    <xf numFmtId="0" fontId="10" fillId="28" borderId="1" xfId="0" applyFont="1" applyFill="1" applyBorder="1" applyAlignment="1">
      <alignment horizontal="center" vertical="center"/>
    </xf>
    <xf numFmtId="0" fontId="10" fillId="29" borderId="1" xfId="0" applyFont="1" applyFill="1" applyBorder="1" applyAlignment="1">
      <alignment vertical="center"/>
    </xf>
    <xf numFmtId="49" fontId="10" fillId="29" borderId="1" xfId="0" applyNumberFormat="1" applyFont="1" applyFill="1" applyBorder="1" applyAlignment="1">
      <alignment vertical="center"/>
    </xf>
    <xf numFmtId="14" fontId="0" fillId="28" borderId="1" xfId="0" applyNumberFormat="1" applyFill="1" applyBorder="1"/>
    <xf numFmtId="0" fontId="0" fillId="28" borderId="1" xfId="0" applyFill="1" applyBorder="1"/>
    <xf numFmtId="0" fontId="10" fillId="28" borderId="1" xfId="0" applyFont="1" applyFill="1" applyBorder="1" applyAlignment="1">
      <alignment horizontal="left" vertical="center"/>
    </xf>
    <xf numFmtId="0" fontId="10" fillId="28" borderId="1" xfId="0" applyFont="1" applyFill="1" applyBorder="1" applyAlignment="1">
      <alignment vertical="center"/>
    </xf>
    <xf numFmtId="0" fontId="10" fillId="29" borderId="1" xfId="0" applyFont="1" applyFill="1" applyBorder="1" applyAlignment="1">
      <alignment horizontal="left" vertical="center"/>
    </xf>
    <xf numFmtId="0" fontId="10" fillId="30" borderId="1" xfId="0" applyFont="1" applyFill="1" applyBorder="1" applyAlignment="1">
      <alignment horizontal="center" vertical="center"/>
    </xf>
    <xf numFmtId="0" fontId="10" fillId="31" borderId="1" xfId="0" applyFont="1" applyFill="1" applyBorder="1" applyAlignment="1">
      <alignment vertical="center"/>
    </xf>
    <xf numFmtId="49" fontId="10" fillId="31" borderId="1" xfId="0" applyNumberFormat="1" applyFont="1" applyFill="1" applyBorder="1" applyAlignment="1">
      <alignment vertical="center"/>
    </xf>
    <xf numFmtId="0" fontId="0" fillId="30" borderId="1" xfId="0" applyFill="1" applyBorder="1" applyAlignment="1">
      <alignment horizontal="right"/>
    </xf>
    <xf numFmtId="0" fontId="0" fillId="30" borderId="1" xfId="0" applyFill="1" applyBorder="1"/>
    <xf numFmtId="0" fontId="10" fillId="30" borderId="1" xfId="0" applyFont="1" applyFill="1" applyBorder="1" applyAlignment="1">
      <alignment horizontal="left" vertical="center"/>
    </xf>
    <xf numFmtId="0" fontId="10" fillId="30" borderId="1" xfId="0" applyFont="1" applyFill="1" applyBorder="1" applyAlignment="1">
      <alignment vertical="center"/>
    </xf>
    <xf numFmtId="0" fontId="10" fillId="31" borderId="1" xfId="0" applyFont="1" applyFill="1" applyBorder="1" applyAlignment="1">
      <alignment horizontal="left" vertical="center"/>
    </xf>
    <xf numFmtId="14" fontId="0" fillId="30" borderId="1" xfId="0" applyNumberFormat="1" applyFill="1" applyBorder="1"/>
    <xf numFmtId="0" fontId="10" fillId="32" borderId="1" xfId="0" applyFont="1" applyFill="1" applyBorder="1" applyAlignment="1">
      <alignment horizontal="center" vertical="center"/>
    </xf>
    <xf numFmtId="0" fontId="10" fillId="33" borderId="1" xfId="0" applyFont="1" applyFill="1" applyBorder="1" applyAlignment="1">
      <alignment vertical="center"/>
    </xf>
    <xf numFmtId="49" fontId="10" fillId="33" borderId="1" xfId="0" applyNumberFormat="1" applyFont="1" applyFill="1" applyBorder="1" applyAlignment="1">
      <alignment vertical="center"/>
    </xf>
    <xf numFmtId="14" fontId="0" fillId="32" borderId="1" xfId="0" applyNumberFormat="1" applyFill="1" applyBorder="1"/>
    <xf numFmtId="0" fontId="0" fillId="32" borderId="1" xfId="0" applyFill="1" applyBorder="1"/>
    <xf numFmtId="0" fontId="10" fillId="32" borderId="1" xfId="0" applyFont="1" applyFill="1" applyBorder="1" applyAlignment="1">
      <alignment horizontal="left" vertical="center"/>
    </xf>
    <xf numFmtId="0" fontId="10" fillId="32" borderId="1" xfId="0" applyFont="1" applyFill="1" applyBorder="1" applyAlignment="1">
      <alignment vertical="center"/>
    </xf>
    <xf numFmtId="0" fontId="10" fillId="33" borderId="1" xfId="0" applyFont="1" applyFill="1" applyBorder="1" applyAlignment="1">
      <alignment horizontal="left" vertical="center"/>
    </xf>
    <xf numFmtId="49" fontId="10" fillId="33" borderId="1" xfId="0" quotePrefix="1" applyNumberFormat="1" applyFont="1" applyFill="1" applyBorder="1" applyAlignment="1">
      <alignment vertical="center"/>
    </xf>
    <xf numFmtId="14" fontId="10" fillId="33" borderId="1" xfId="0" applyNumberFormat="1" applyFont="1" applyFill="1" applyBorder="1" applyAlignment="1">
      <alignment vertical="center"/>
    </xf>
    <xf numFmtId="14" fontId="10" fillId="32" borderId="1" xfId="0" applyNumberFormat="1" applyFont="1" applyFill="1" applyBorder="1" applyAlignment="1">
      <alignment vertical="center"/>
    </xf>
    <xf numFmtId="14" fontId="10" fillId="23" borderId="1" xfId="0" applyNumberFormat="1" applyFont="1" applyFill="1" applyBorder="1" applyAlignment="1">
      <alignment vertical="center"/>
    </xf>
    <xf numFmtId="14" fontId="10" fillId="9" borderId="1" xfId="0" applyNumberFormat="1" applyFont="1" applyFill="1" applyBorder="1" applyAlignment="1">
      <alignment vertical="center"/>
    </xf>
    <xf numFmtId="0" fontId="9" fillId="0" borderId="10" xfId="0" applyFont="1" applyBorder="1" applyAlignment="1">
      <alignment horizontal="center"/>
    </xf>
    <xf numFmtId="0" fontId="15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vertical="center"/>
    </xf>
    <xf numFmtId="2" fontId="15" fillId="11" borderId="1" xfId="0" applyNumberFormat="1" applyFont="1" applyFill="1" applyBorder="1" applyAlignment="1">
      <alignment vertical="center"/>
    </xf>
    <xf numFmtId="14" fontId="15" fillId="11" borderId="1" xfId="0" applyNumberFormat="1" applyFont="1" applyFill="1" applyBorder="1" applyAlignment="1">
      <alignment vertical="center"/>
    </xf>
    <xf numFmtId="0" fontId="16" fillId="34" borderId="14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1" xfId="0" quotePrefix="1" applyBorder="1"/>
    <xf numFmtId="0" fontId="17" fillId="0" borderId="1" xfId="8" applyBorder="1"/>
    <xf numFmtId="15" fontId="0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5" fontId="0" fillId="0" borderId="0" xfId="0" applyNumberFormat="1"/>
    <xf numFmtId="0" fontId="0" fillId="0" borderId="1" xfId="0" applyBorder="1" applyAlignment="1">
      <alignment wrapText="1"/>
    </xf>
    <xf numFmtId="0" fontId="3" fillId="2" borderId="8" xfId="0" applyFont="1" applyFill="1" applyBorder="1" applyAlignment="1">
      <alignment horizontal="centerContinuous"/>
    </xf>
    <xf numFmtId="0" fontId="3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Continuous" vertical="distributed"/>
    </xf>
    <xf numFmtId="0" fontId="3" fillId="2" borderId="16" xfId="0" applyFont="1" applyFill="1" applyBorder="1" applyAlignment="1">
      <alignment horizontal="centerContinuous" vertical="distributed"/>
    </xf>
    <xf numFmtId="0" fontId="5" fillId="3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Continuous" vertical="center"/>
    </xf>
    <xf numFmtId="167" fontId="0" fillId="0" borderId="0" xfId="6" applyNumberFormat="1" applyFont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0" fillId="0" borderId="1" xfId="0" applyFont="1" applyBorder="1" applyAlignment="1">
      <alignment horizontal="left"/>
    </xf>
    <xf numFmtId="15" fontId="10" fillId="0" borderId="4" xfId="0" applyNumberFormat="1" applyFont="1" applyBorder="1" applyAlignment="1">
      <alignment horizontal="center"/>
    </xf>
    <xf numFmtId="15" fontId="0" fillId="0" borderId="1" xfId="0" applyNumberForma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10" fillId="0" borderId="1" xfId="0" applyNumberFormat="1" applyFont="1" applyBorder="1" applyAlignment="1">
      <alignment horizontal="center" wrapText="1"/>
    </xf>
    <xf numFmtId="3" fontId="8" fillId="0" borderId="1" xfId="0" applyNumberFormat="1" applyFont="1" applyBorder="1" applyAlignment="1">
      <alignment horizontal="center"/>
    </xf>
    <xf numFmtId="3" fontId="8" fillId="0" borderId="1" xfId="0" quotePrefix="1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Continuous" vertical="distributed"/>
    </xf>
    <xf numFmtId="15" fontId="10" fillId="0" borderId="1" xfId="0" quotePrefix="1" applyNumberFormat="1" applyFont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/>
    <xf numFmtId="15" fontId="0" fillId="0" borderId="1" xfId="0" applyNumberFormat="1" applyBorder="1" applyAlignment="1">
      <alignment horizontal="left" wrapText="1"/>
    </xf>
    <xf numFmtId="0" fontId="0" fillId="37" borderId="1" xfId="0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3" fillId="2" borderId="18" xfId="0" applyFont="1" applyFill="1" applyBorder="1" applyAlignment="1">
      <alignment horizontal="centerContinuous" vertical="distributed"/>
    </xf>
    <xf numFmtId="15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5" fontId="0" fillId="0" borderId="1" xfId="0" applyNumberFormat="1" applyBorder="1"/>
    <xf numFmtId="0" fontId="0" fillId="0" borderId="5" xfId="0" applyBorder="1" applyAlignment="1">
      <alignment horizontal="center"/>
    </xf>
    <xf numFmtId="0" fontId="3" fillId="2" borderId="16" xfId="0" applyFont="1" applyFill="1" applyBorder="1" applyAlignment="1">
      <alignment horizontal="left" vertical="distributed"/>
    </xf>
    <xf numFmtId="0" fontId="5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4" fontId="18" fillId="0" borderId="0" xfId="0" applyNumberFormat="1" applyFont="1"/>
    <xf numFmtId="0" fontId="18" fillId="0" borderId="0" xfId="0" applyFont="1"/>
    <xf numFmtId="0" fontId="20" fillId="0" borderId="0" xfId="0" applyFont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23" fillId="0" borderId="0" xfId="0" applyFont="1" applyAlignment="1">
      <alignment vertical="center"/>
    </xf>
    <xf numFmtId="15" fontId="0" fillId="0" borderId="1" xfId="0" applyNumberFormat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3" fontId="9" fillId="35" borderId="1" xfId="0" applyNumberFormat="1" applyFont="1" applyFill="1" applyBorder="1" applyAlignment="1">
      <alignment horizontal="center" vertical="center"/>
    </xf>
    <xf numFmtId="167" fontId="19" fillId="2" borderId="1" xfId="6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5" fontId="10" fillId="0" borderId="1" xfId="0" applyNumberFormat="1" applyFont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Continuous"/>
    </xf>
    <xf numFmtId="0" fontId="3" fillId="2" borderId="9" xfId="0" applyFont="1" applyFill="1" applyBorder="1" applyAlignment="1">
      <alignment horizontal="centerContinuous"/>
    </xf>
    <xf numFmtId="0" fontId="3" fillId="2" borderId="1" xfId="0" applyFont="1" applyFill="1" applyBorder="1" applyAlignment="1">
      <alignment horizontal="center" vertical="center"/>
    </xf>
    <xf numFmtId="0" fontId="0" fillId="0" borderId="20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4" xfId="0" applyBorder="1" applyAlignment="1">
      <alignment horizontal="centerContinuous"/>
    </xf>
    <xf numFmtId="0" fontId="2" fillId="4" borderId="6" xfId="0" applyFont="1" applyFill="1" applyBorder="1" applyAlignment="1">
      <alignment horizontal="centerContinuous"/>
    </xf>
    <xf numFmtId="0" fontId="2" fillId="4" borderId="8" xfId="0" applyFont="1" applyFill="1" applyBorder="1" applyAlignment="1">
      <alignment horizontal="centerContinuous"/>
    </xf>
    <xf numFmtId="0" fontId="2" fillId="4" borderId="9" xfId="0" applyFont="1" applyFill="1" applyBorder="1" applyAlignment="1">
      <alignment horizontal="centerContinuous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39" borderId="6" xfId="0" applyFont="1" applyFill="1" applyBorder="1" applyAlignment="1">
      <alignment horizontal="centerContinuous"/>
    </xf>
    <xf numFmtId="0" fontId="2" fillId="39" borderId="8" xfId="0" applyFont="1" applyFill="1" applyBorder="1" applyAlignment="1">
      <alignment horizontal="centerContinuous"/>
    </xf>
    <xf numFmtId="0" fontId="2" fillId="39" borderId="9" xfId="0" applyFont="1" applyFill="1" applyBorder="1" applyAlignment="1">
      <alignment horizontal="centerContinuous"/>
    </xf>
    <xf numFmtId="0" fontId="0" fillId="14" borderId="1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0" fontId="0" fillId="36" borderId="1" xfId="0" applyFill="1" applyBorder="1" applyAlignment="1">
      <alignment vertical="center"/>
    </xf>
    <xf numFmtId="15" fontId="10" fillId="36" borderId="1" xfId="0" applyNumberFormat="1" applyFont="1" applyFill="1" applyBorder="1" applyAlignment="1">
      <alignment horizontal="center" vertical="center"/>
    </xf>
    <xf numFmtId="0" fontId="9" fillId="36" borderId="1" xfId="0" applyFont="1" applyFill="1" applyBorder="1" applyAlignment="1">
      <alignment horizontal="center" vertical="center" wrapText="1"/>
    </xf>
    <xf numFmtId="3" fontId="9" fillId="36" borderId="1" xfId="0" applyNumberFormat="1" applyFont="1" applyFill="1" applyBorder="1" applyAlignment="1">
      <alignment horizontal="center" vertical="center"/>
    </xf>
    <xf numFmtId="15" fontId="10" fillId="36" borderId="1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4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14" fontId="10" fillId="0" borderId="1" xfId="0" applyNumberFormat="1" applyFont="1" applyBorder="1" applyAlignment="1">
      <alignment vertical="center"/>
    </xf>
    <xf numFmtId="0" fontId="25" fillId="12" borderId="1" xfId="0" applyFont="1" applyFill="1" applyBorder="1"/>
    <xf numFmtId="0" fontId="25" fillId="12" borderId="12" xfId="0" applyFont="1" applyFill="1" applyBorder="1"/>
    <xf numFmtId="0" fontId="25" fillId="12" borderId="13" xfId="0" applyFont="1" applyFill="1" applyBorder="1"/>
    <xf numFmtId="0" fontId="25" fillId="12" borderId="0" xfId="0" applyFont="1" applyFill="1"/>
    <xf numFmtId="0" fontId="12" fillId="8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1" xfId="0" quotePrefix="1" applyFont="1" applyBorder="1" applyAlignment="1">
      <alignment horizontal="center" wrapText="1"/>
    </xf>
    <xf numFmtId="3" fontId="8" fillId="0" borderId="1" xfId="0" quotePrefix="1" applyNumberFormat="1" applyFont="1" applyBorder="1" applyAlignment="1">
      <alignment horizontal="center" wrapText="1"/>
    </xf>
    <xf numFmtId="0" fontId="0" fillId="2" borderId="25" xfId="0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3" fontId="26" fillId="3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14" fillId="36" borderId="1" xfId="0" applyFont="1" applyFill="1" applyBorder="1" applyAlignment="1">
      <alignment horizontal="center"/>
    </xf>
    <xf numFmtId="0" fontId="10" fillId="36" borderId="1" xfId="0" applyFont="1" applyFill="1" applyBorder="1" applyAlignment="1">
      <alignment horizontal="center"/>
    </xf>
    <xf numFmtId="0" fontId="10" fillId="36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quotePrefix="1" applyNumberFormat="1" applyBorder="1"/>
    <xf numFmtId="0" fontId="0" fillId="0" borderId="4" xfId="0" applyBorder="1" applyAlignment="1">
      <alignment horizontal="center"/>
    </xf>
    <xf numFmtId="0" fontId="3" fillId="2" borderId="26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center"/>
    </xf>
    <xf numFmtId="15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0" borderId="4" xfId="0" applyBorder="1"/>
    <xf numFmtId="0" fontId="0" fillId="2" borderId="26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0" borderId="33" xfId="0" applyBorder="1" applyAlignment="1">
      <alignment horizontal="left" vertical="center" wrapText="1"/>
    </xf>
    <xf numFmtId="0" fontId="0" fillId="0" borderId="33" xfId="0" quotePrefix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3" xfId="0" applyBorder="1"/>
    <xf numFmtId="0" fontId="22" fillId="10" borderId="35" xfId="0" applyFont="1" applyFill="1" applyBorder="1" applyAlignment="1">
      <alignment horizontal="center" vertical="center"/>
    </xf>
    <xf numFmtId="0" fontId="22" fillId="10" borderId="36" xfId="0" applyFont="1" applyFill="1" applyBorder="1" applyAlignment="1">
      <alignment horizontal="center" vertical="center"/>
    </xf>
    <xf numFmtId="0" fontId="22" fillId="10" borderId="36" xfId="0" applyFont="1" applyFill="1" applyBorder="1" applyAlignment="1">
      <alignment horizontal="left" vertical="center"/>
    </xf>
    <xf numFmtId="0" fontId="22" fillId="10" borderId="37" xfId="0" applyFont="1" applyFill="1" applyBorder="1" applyAlignment="1">
      <alignment horizontal="center" vertical="center"/>
    </xf>
    <xf numFmtId="0" fontId="22" fillId="10" borderId="32" xfId="0" applyFont="1" applyFill="1" applyBorder="1" applyAlignment="1">
      <alignment horizontal="left" vertic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8" fillId="0" borderId="33" xfId="0" quotePrefix="1" applyFont="1" applyBorder="1" applyAlignment="1">
      <alignment horizontal="center"/>
    </xf>
    <xf numFmtId="15" fontId="0" fillId="0" borderId="33" xfId="0" applyNumberFormat="1" applyBorder="1" applyAlignment="1">
      <alignment horizontal="center"/>
    </xf>
    <xf numFmtId="165" fontId="24" fillId="2" borderId="5" xfId="3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43" fontId="0" fillId="0" borderId="0" xfId="0" applyNumberFormat="1"/>
    <xf numFmtId="164" fontId="3" fillId="5" borderId="6" xfId="0" applyNumberFormat="1" applyFont="1" applyFill="1" applyBorder="1"/>
    <xf numFmtId="164" fontId="3" fillId="5" borderId="9" xfId="0" applyNumberFormat="1" applyFont="1" applyFill="1" applyBorder="1"/>
    <xf numFmtId="164" fontId="4" fillId="4" borderId="5" xfId="0" applyNumberFormat="1" applyFont="1" applyFill="1" applyBorder="1" applyAlignment="1">
      <alignment horizontal="center" vertical="center" wrapText="1"/>
    </xf>
    <xf numFmtId="164" fontId="11" fillId="4" borderId="5" xfId="0" applyNumberFormat="1" applyFont="1" applyFill="1" applyBorder="1" applyAlignment="1">
      <alignment horizontal="center" vertical="center" wrapText="1"/>
    </xf>
    <xf numFmtId="164" fontId="0" fillId="5" borderId="5" xfId="0" applyNumberFormat="1" applyFill="1" applyBorder="1" applyAlignment="1">
      <alignment horizontal="center" vertical="center" wrapText="1"/>
    </xf>
    <xf numFmtId="165" fontId="7" fillId="5" borderId="1" xfId="3" applyNumberFormat="1" applyFont="1" applyFill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/>
    </xf>
    <xf numFmtId="41" fontId="0" fillId="0" borderId="1" xfId="1" applyFont="1" applyBorder="1" applyAlignment="1">
      <alignment horizontal="center"/>
    </xf>
    <xf numFmtId="0" fontId="21" fillId="10" borderId="38" xfId="0" applyFont="1" applyFill="1" applyBorder="1" applyAlignment="1">
      <alignment horizontal="center" vertical="center"/>
    </xf>
    <xf numFmtId="0" fontId="0" fillId="0" borderId="34" xfId="0" applyBorder="1"/>
    <xf numFmtId="0" fontId="4" fillId="4" borderId="0" xfId="0" applyFont="1" applyFill="1" applyAlignment="1">
      <alignment horizontal="center"/>
    </xf>
    <xf numFmtId="0" fontId="0" fillId="0" borderId="0" xfId="0"/>
    <xf numFmtId="0" fontId="21" fillId="10" borderId="39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21" fillId="10" borderId="39" xfId="0" applyFont="1" applyFill="1" applyBorder="1" applyAlignment="1">
      <alignment horizontal="center" vertical="center" wrapText="1"/>
    </xf>
    <xf numFmtId="164" fontId="3" fillId="5" borderId="14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2" fillId="4" borderId="14" xfId="0" applyNumberFormat="1" applyFont="1" applyFill="1" applyBorder="1" applyAlignment="1">
      <alignment horizontal="center"/>
    </xf>
    <xf numFmtId="164" fontId="3" fillId="5" borderId="14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</cellXfs>
  <cellStyles count="9">
    <cellStyle name="Comma" xfId="6" builtinId="3"/>
    <cellStyle name="Comma [0]" xfId="1" builtinId="6"/>
    <cellStyle name="Comma 2" xfId="4" xr:uid="{00000000-0005-0000-0000-000004000000}"/>
    <cellStyle name="Hyperlink" xfId="8" builtinId="8"/>
    <cellStyle name="Normal" xfId="0" builtinId="0"/>
    <cellStyle name="Normal 2" xfId="3" xr:uid="{00000000-0005-0000-0000-000003000000}"/>
    <cellStyle name="Normal 2 2" xfId="7" xr:uid="{00000000-0005-0000-0000-000007000000}"/>
    <cellStyle name="Percent" xfId="2" builtinId="5"/>
    <cellStyle name="Percent 2 30 2" xfId="5" xr:uid="{00000000-0005-0000-0000-000005000000}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bottom"/>
    </dxf>
    <dxf>
      <border outline="0"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fill>
        <patternFill patternType="solid">
          <fgColor indexed="64"/>
          <bgColor rgb="FFBFBFBF"/>
        </patternFill>
      </fill>
      <alignment horizontal="center" vertical="center"/>
    </dxf>
    <dxf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bottom"/>
    </dxf>
    <dxf>
      <border outline="0"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Times New Roman"/>
        <family val="1"/>
      </font>
      <fill>
        <patternFill patternType="solid">
          <fgColor indexed="64"/>
          <bgColor rgb="FFBFBFBF"/>
        </patternFill>
      </fill>
      <alignment horizontal="center" vertical="center"/>
    </dxf>
    <dxf>
      <fill>
        <patternFill patternType="solid">
          <fgColor indexed="64"/>
          <bgColor rgb="FFFFFF00"/>
        </patternFill>
      </fill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center" vertical="center"/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d\-mmm\-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d\-mmm\-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d\-mmm\-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Tenorit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Tenorit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N13" totalsRowShown="0" headerRowDxfId="158" dataDxfId="156" headerRowBorderDxfId="157" tableBorderDxfId="155">
  <autoFilter ref="A3:AN13" xr:uid="{00000000-0009-0000-0100-000001000000}"/>
  <tableColumns count="40">
    <tableColumn id="1" xr3:uid="{00000000-0010-0000-0000-000001000000}" name="NO" dataDxfId="154"/>
    <tableColumn id="2" xr3:uid="{00000000-0010-0000-0000-000002000000}" name="Site ID Old" dataDxfId="153"/>
    <tableColumn id="3" xr3:uid="{00000000-0010-0000-0000-000003000000}" name="Site Name Old" dataDxfId="152"/>
    <tableColumn id="4" xr3:uid="{00000000-0010-0000-0000-000004000000}" name="Tenant" dataDxfId="151"/>
    <tableColumn id="5" xr3:uid="{00000000-0010-0000-0000-000005000000}" name="Site ID Tenant" dataDxfId="150"/>
    <tableColumn id="6" xr3:uid="{00000000-0010-0000-0000-000006000000}" name="Site Name Tenant" dataDxfId="149"/>
    <tableColumn id="7" xr3:uid="{00000000-0010-0000-0000-000007000000}" name="Height" dataDxfId="148"/>
    <tableColumn id="8" xr3:uid="{00000000-0010-0000-0000-000008000000}" name="Azimuth" dataDxfId="147"/>
    <tableColumn id="9" xr3:uid="{00000000-0010-0000-0000-000009000000}" name="Height2" dataDxfId="146"/>
    <tableColumn id="10" xr3:uid="{00000000-0010-0000-0000-00000A000000}" name="Azimuth3" dataDxfId="145"/>
    <tableColumn id="11" xr3:uid="{00000000-0010-0000-0000-00000B000000}" name="Height4" dataDxfId="144"/>
    <tableColumn id="12" xr3:uid="{00000000-0010-0000-0000-00000C000000}" name="Azimuth5" dataDxfId="143"/>
    <tableColumn id="13" xr3:uid="{00000000-0010-0000-0000-00000D000000}" name="Height6" dataDxfId="142"/>
    <tableColumn id="14" xr3:uid="{00000000-0010-0000-0000-00000E000000}" name="Azimuth7" dataDxfId="141"/>
    <tableColumn id="15" xr3:uid="{00000000-0010-0000-0000-00000F000000}" name="Height8" dataDxfId="140"/>
    <tableColumn id="16" xr3:uid="{00000000-0010-0000-0000-000010000000}" name="Azimuth9" dataDxfId="139"/>
    <tableColumn id="17" xr3:uid="{00000000-0010-0000-0000-000011000000}" name="Height10" dataDxfId="138"/>
    <tableColumn id="18" xr3:uid="{00000000-0010-0000-0000-000012000000}" name="Azimuth11" dataDxfId="137"/>
    <tableColumn id="19" xr3:uid="{00000000-0010-0000-0000-000013000000}" name="Height12" dataDxfId="136"/>
    <tableColumn id="20" xr3:uid="{00000000-0010-0000-0000-000014000000}" name="Azimuth13" dataDxfId="135"/>
    <tableColumn id="21" xr3:uid="{00000000-0010-0000-0000-000015000000}" name="Link" dataDxfId="134"/>
    <tableColumn id="22" xr3:uid="{00000000-0010-0000-0000-000016000000}" name="Height14" dataDxfId="133"/>
    <tableColumn id="23" xr3:uid="{00000000-0010-0000-0000-000017000000}" name="Azimuth15" dataDxfId="132"/>
    <tableColumn id="24" xr3:uid="{00000000-0010-0000-0000-000018000000}" name="Link16" dataDxfId="131"/>
    <tableColumn id="25" xr3:uid="{00000000-0010-0000-0000-000019000000}" name="Height17" dataDxfId="130"/>
    <tableColumn id="26" xr3:uid="{00000000-0010-0000-0000-00001A000000}" name="Azimuth18" dataDxfId="129"/>
    <tableColumn id="27" xr3:uid="{00000000-0010-0000-0000-00001B000000}" name="Link19" dataDxfId="128"/>
    <tableColumn id="28" xr3:uid="{00000000-0010-0000-0000-00001C000000}" name="Height20" dataDxfId="127"/>
    <tableColumn id="29" xr3:uid="{00000000-0010-0000-0000-00001D000000}" name="Azimuth21" dataDxfId="126"/>
    <tableColumn id="30" xr3:uid="{00000000-0010-0000-0000-00001E000000}" name="Link22" dataDxfId="125"/>
    <tableColumn id="31" xr3:uid="{00000000-0010-0000-0000-00001F000000}" name="Height23" dataDxfId="124"/>
    <tableColumn id="32" xr3:uid="{00000000-0010-0000-0000-000020000000}" name="Azimuth24" dataDxfId="123"/>
    <tableColumn id="33" xr3:uid="{00000000-0010-0000-0000-000021000000}" name="Site ID New" dataDxfId="122"/>
    <tableColumn id="34" xr3:uid="{00000000-0010-0000-0000-000022000000}" name="Site Name New" dataDxfId="121"/>
    <tableColumn id="35" xr3:uid="{00000000-0010-0000-0000-000023000000}" name="LATITUDE" dataDxfId="120"/>
    <tableColumn id="36" xr3:uid="{00000000-0010-0000-0000-000024000000}" name="LONGITUDE" dataDxfId="119"/>
    <tableColumn id="37" xr3:uid="{00000000-0010-0000-0000-000025000000}" name="CR // CRQ // XLWO" dataDxfId="118"/>
    <tableColumn id="38" xr3:uid="{00000000-0010-0000-0000-000026000000}" name="Start Dismantle" dataDxfId="117"/>
    <tableColumn id="39" xr3:uid="{00000000-0010-0000-0000-000027000000}" name="Start Reinstall" dataDxfId="116"/>
    <tableColumn id="40" xr3:uid="{00000000-0010-0000-0000-000028000000}" name="OA" dataDxfId="1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0" displayName="Table10" ref="A1:E19" totalsRowShown="0" headerRowDxfId="105" headerRowBorderDxfId="104" tableBorderDxfId="103" totalsRowBorderDxfId="102">
  <autoFilter ref="A1:E19" xr:uid="{00000000-0009-0000-0100-000002000000}"/>
  <tableColumns count="5">
    <tableColumn id="1" xr3:uid="{00000000-0010-0000-0100-000001000000}" name="No" dataDxfId="101"/>
    <tableColumn id="2" xr3:uid="{00000000-0010-0000-0100-000002000000}" name="Account Project" dataDxfId="100"/>
    <tableColumn id="3" xr3:uid="{00000000-0010-0000-0100-000003000000}" name="Vendor" dataDxfId="99"/>
    <tableColumn id="4" xr3:uid="{00000000-0010-0000-0100-000004000000}" name="Project" dataDxfId="98"/>
    <tableColumn id="5" xr3:uid="{00000000-0010-0000-0100-000005000000}" name="Coverage Area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B4:J505" totalsRowShown="0" headerRowDxfId="96" dataDxfId="94" headerRowBorderDxfId="95" tableBorderDxfId="93">
  <autoFilter ref="B4:J505" xr:uid="{00000000-0009-0000-0100-000003000000}"/>
  <tableColumns count="9">
    <tableColumn id="1" xr3:uid="{00000000-0010-0000-0200-000001000000}" name="Site ID" dataDxfId="92"/>
    <tableColumn id="2" xr3:uid="{00000000-0010-0000-0200-000002000000}" name="Site Name" dataDxfId="91"/>
    <tableColumn id="3" xr3:uid="{00000000-0010-0000-0200-000003000000}" name="Tenant" dataDxfId="90"/>
    <tableColumn id="4" xr3:uid="{00000000-0010-0000-0200-000004000000}" name="Material" dataDxfId="89"/>
    <tableColumn id="5" xr3:uid="{00000000-0010-0000-0200-000005000000}" name="UoM" dataDxfId="88"/>
    <tableColumn id="6" xr3:uid="{00000000-0010-0000-0200-000006000000}" name="Qty" dataDxfId="87"/>
    <tableColumn id="7" xr3:uid="{00000000-0010-0000-0200-000007000000}" name="SN" dataDxfId="86"/>
    <tableColumn id="8" xr3:uid="{00000000-0010-0000-0200-000008000000}" name="Remark" dataDxfId="85"/>
    <tableColumn id="9" xr3:uid="{00000000-0010-0000-0200-000009000000}" name="Inbou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" displayName="Table6" ref="A4:B12" totalsRowShown="0" headerRowDxfId="84">
  <autoFilter ref="A4:B12" xr:uid="{00000000-0009-0000-0100-000004000000}"/>
  <tableColumns count="2">
    <tableColumn id="1" xr3:uid="{00000000-0010-0000-0300-000001000000}" name="Site ID"/>
    <tableColumn id="2" xr3:uid="{00000000-0010-0000-0300-000002000000}" name="Site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8" displayName="Table8" ref="C4:H12" totalsRowShown="0" headerRowDxfId="83" dataDxfId="81" headerRowBorderDxfId="82" tableBorderDxfId="80">
  <autoFilter ref="C4:H12" xr:uid="{00000000-0009-0000-0100-000005000000}"/>
  <tableColumns count="6">
    <tableColumn id="1" xr3:uid="{00000000-0010-0000-0400-000001000000}" name="Site ID &amp; Site Name (A)"/>
    <tableColumn id="2" xr3:uid="{00000000-0010-0000-0400-000002000000}" name="Longitude (e)" dataDxfId="79"/>
    <tableColumn id="3" xr3:uid="{00000000-0010-0000-0400-000003000000}" name="Latitude (s)" dataDxfId="78"/>
    <tableColumn id="4" xr3:uid="{00000000-0010-0000-0400-000004000000}" name="Antenna Height (m)"/>
    <tableColumn id="5" xr3:uid="{00000000-0010-0000-0400-000005000000}" name="Azimuth (º)" dataDxfId="77"/>
    <tableColumn id="6" xr3:uid="{00000000-0010-0000-0400-000006000000}" name="Distance (Km)" dataDxfId="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9" displayName="Table9" ref="I4:N12" totalsRowShown="0" headerRowDxfId="75" dataDxfId="73" headerRowBorderDxfId="74" tableBorderDxfId="72">
  <autoFilter ref="I4:N12" xr:uid="{00000000-0009-0000-0100-000006000000}"/>
  <tableColumns count="6">
    <tableColumn id="1" xr3:uid="{00000000-0010-0000-0500-000001000000}" name="Candidate" dataDxfId="71"/>
    <tableColumn id="2" xr3:uid="{00000000-0010-0000-0500-000002000000}" name="Site ID &amp; Site Name (B)"/>
    <tableColumn id="3" xr3:uid="{00000000-0010-0000-0500-000003000000}" name="Longitude (e)" dataDxfId="70"/>
    <tableColumn id="4" xr3:uid="{00000000-0010-0000-0500-000004000000}" name="Latitude (s)" dataDxfId="69"/>
    <tableColumn id="5" xr3:uid="{00000000-0010-0000-0500-000005000000}" name="Antenna Height (m)"/>
    <tableColumn id="6" xr3:uid="{00000000-0010-0000-0500-000006000000}" name="Azimuth (º)" dataDxfId="6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arif.mohriyadi_ext@tunggalsahabat.co.id" TargetMode="External"/><Relationship Id="rId21" Type="http://schemas.openxmlformats.org/officeDocument/2006/relationships/hyperlink" Target="mailto:haslan_ext@tunggalsahabat.co.id" TargetMode="External"/><Relationship Id="rId34" Type="http://schemas.openxmlformats.org/officeDocument/2006/relationships/hyperlink" Target="mailto:ajang.suprianto_ext@tunggalsahabat.co.id" TargetMode="External"/><Relationship Id="rId42" Type="http://schemas.openxmlformats.org/officeDocument/2006/relationships/hyperlink" Target="mailto:kusmana.ardiansyah_ext@tunggalsahabat.co.id" TargetMode="External"/><Relationship Id="rId47" Type="http://schemas.openxmlformats.org/officeDocument/2006/relationships/hyperlink" Target="mailto:dedi_ext@tunggalsahabat.co.id" TargetMode="External"/><Relationship Id="rId50" Type="http://schemas.openxmlformats.org/officeDocument/2006/relationships/hyperlink" Target="mailto:rifaldi_ext@tunggalsahabat.co.id" TargetMode="External"/><Relationship Id="rId55" Type="http://schemas.openxmlformats.org/officeDocument/2006/relationships/hyperlink" Target="mailto:apudin.maulana_ext@tunggalsahabat.co.id" TargetMode="External"/><Relationship Id="rId63" Type="http://schemas.openxmlformats.org/officeDocument/2006/relationships/hyperlink" Target="mailto:yosua.ronaldo_ext@tunggalsahabat.co.id" TargetMode="External"/><Relationship Id="rId7" Type="http://schemas.openxmlformats.org/officeDocument/2006/relationships/hyperlink" Target="mailto:joko.nursio@tunggalsahabat.co.id" TargetMode="External"/><Relationship Id="rId2" Type="http://schemas.openxmlformats.org/officeDocument/2006/relationships/hyperlink" Target="mailto:faizfahmi@tunggalsahabat.co.id" TargetMode="External"/><Relationship Id="rId16" Type="http://schemas.openxmlformats.org/officeDocument/2006/relationships/hyperlink" Target="mailto:djunaidi.ext_sul@tunggalsahabat.co.id" TargetMode="External"/><Relationship Id="rId29" Type="http://schemas.openxmlformats.org/officeDocument/2006/relationships/hyperlink" Target="mailto:haris.affandie_ext@tunggalsahabat.co.id" TargetMode="External"/><Relationship Id="rId11" Type="http://schemas.openxmlformats.org/officeDocument/2006/relationships/hyperlink" Target="mailto:rano.ext_jav@tunggalsahabat.co.id" TargetMode="External"/><Relationship Id="rId24" Type="http://schemas.openxmlformats.org/officeDocument/2006/relationships/hyperlink" Target="mailto:hoirulanam.ext_ej@tunggalsahabat.co.id" TargetMode="External"/><Relationship Id="rId32" Type="http://schemas.openxmlformats.org/officeDocument/2006/relationships/hyperlink" Target="mailto:yoricho.bashkara@tunggal.sahabat.co.id" TargetMode="External"/><Relationship Id="rId37" Type="http://schemas.openxmlformats.org/officeDocument/2006/relationships/hyperlink" Target="mailto:priatna_ext@tunggalsahabat.co.id" TargetMode="External"/><Relationship Id="rId40" Type="http://schemas.openxmlformats.org/officeDocument/2006/relationships/hyperlink" Target="mailto:bibit.purwanto_ext@tunggalsahabat.co.id" TargetMode="External"/><Relationship Id="rId45" Type="http://schemas.openxmlformats.org/officeDocument/2006/relationships/hyperlink" Target="mailto:repah.eka_ext@tunggalsahabat.co.id" TargetMode="External"/><Relationship Id="rId53" Type="http://schemas.openxmlformats.org/officeDocument/2006/relationships/hyperlink" Target="mailto:stefanus.jatmiko_ext@tunggalsahabat.co.id" TargetMode="External"/><Relationship Id="rId58" Type="http://schemas.openxmlformats.org/officeDocument/2006/relationships/hyperlink" Target="mailto:afryla.akbar_ext@tunggalsahabat.co.id" TargetMode="External"/><Relationship Id="rId66" Type="http://schemas.openxmlformats.org/officeDocument/2006/relationships/hyperlink" Target="mailto:yoan.rivandi_ext@tunggalsahabat.co.id" TargetMode="External"/><Relationship Id="rId5" Type="http://schemas.openxmlformats.org/officeDocument/2006/relationships/hyperlink" Target="mailto:taufik@tunggalsahabat.co.id" TargetMode="External"/><Relationship Id="rId61" Type="http://schemas.openxmlformats.org/officeDocument/2006/relationships/hyperlink" Target="mailto:jefri.mokotika_ext@tunggalsahabat.co.id" TargetMode="External"/><Relationship Id="rId19" Type="http://schemas.openxmlformats.org/officeDocument/2006/relationships/hyperlink" Target="mailto:rangga.kenanga@tunggalsahabat.co.id" TargetMode="External"/><Relationship Id="rId14" Type="http://schemas.openxmlformats.org/officeDocument/2006/relationships/hyperlink" Target="mailto:adinugroho.ext@tunggalsahabat.co.id" TargetMode="External"/><Relationship Id="rId22" Type="http://schemas.openxmlformats.org/officeDocument/2006/relationships/hyperlink" Target="mailto:agus.sudarwanto_ext@tunggalsahabat.co.id" TargetMode="External"/><Relationship Id="rId27" Type="http://schemas.openxmlformats.org/officeDocument/2006/relationships/hyperlink" Target="mailto:mubarok_ext@tunggalsahabat.co.id" TargetMode="External"/><Relationship Id="rId30" Type="http://schemas.openxmlformats.org/officeDocument/2006/relationships/hyperlink" Target="mailto:bambang_ext.cj@tunggalsahabat.co.id" TargetMode="External"/><Relationship Id="rId35" Type="http://schemas.openxmlformats.org/officeDocument/2006/relationships/hyperlink" Target="mailto:dede.darno_ext@tunggalsahabat.co.id" TargetMode="External"/><Relationship Id="rId43" Type="http://schemas.openxmlformats.org/officeDocument/2006/relationships/hyperlink" Target="mailto:alkasan.sahbrawi_ext@tunggalsahabat.co.id" TargetMode="External"/><Relationship Id="rId48" Type="http://schemas.openxmlformats.org/officeDocument/2006/relationships/hyperlink" Target="mailto:mastam_ext@tunggalsahabat.co.id" TargetMode="External"/><Relationship Id="rId56" Type="http://schemas.openxmlformats.org/officeDocument/2006/relationships/hyperlink" Target="mailto:fauzi.arief_ext@tunggalsahabat.co.id" TargetMode="External"/><Relationship Id="rId64" Type="http://schemas.openxmlformats.org/officeDocument/2006/relationships/hyperlink" Target="mailto:saharuddin_ext@tunggalsahabat.co.id" TargetMode="External"/><Relationship Id="rId8" Type="http://schemas.openxmlformats.org/officeDocument/2006/relationships/hyperlink" Target="mailto:suliswanto@tunggalsahabat.co.id" TargetMode="External"/><Relationship Id="rId51" Type="http://schemas.openxmlformats.org/officeDocument/2006/relationships/hyperlink" Target="mailto:taufan.agya_ext@tunggalsahabat.co.id" TargetMode="External"/><Relationship Id="rId3" Type="http://schemas.openxmlformats.org/officeDocument/2006/relationships/hyperlink" Target="mailto:yasir@tunggalsahabat.co.id" TargetMode="External"/><Relationship Id="rId12" Type="http://schemas.openxmlformats.org/officeDocument/2006/relationships/hyperlink" Target="mailto:herawan.ext_sum@tunggalsahabat.co.id" TargetMode="External"/><Relationship Id="rId17" Type="http://schemas.openxmlformats.org/officeDocument/2006/relationships/hyperlink" Target="mailto:safar.ext_ken@tunggalsahabat.co.id" TargetMode="External"/><Relationship Id="rId25" Type="http://schemas.openxmlformats.org/officeDocument/2006/relationships/hyperlink" Target="mailto:bayu.martin_ext@tunggalsahabat.co.id" TargetMode="External"/><Relationship Id="rId33" Type="http://schemas.openxmlformats.org/officeDocument/2006/relationships/hyperlink" Target="mailto:yayat_ext@tunggalsahabat.co.id" TargetMode="External"/><Relationship Id="rId38" Type="http://schemas.openxmlformats.org/officeDocument/2006/relationships/hyperlink" Target="mailto:supriatna_ext@tunggalsahabat.co.id" TargetMode="External"/><Relationship Id="rId46" Type="http://schemas.openxmlformats.org/officeDocument/2006/relationships/hyperlink" Target="mailto:endi.suhendi_ext@tunggalsahabat.co.id" TargetMode="External"/><Relationship Id="rId59" Type="http://schemas.openxmlformats.org/officeDocument/2006/relationships/hyperlink" Target="mailto:husen.wahyudi_ext@tunggalsahabat.co.id" TargetMode="External"/><Relationship Id="rId20" Type="http://schemas.openxmlformats.org/officeDocument/2006/relationships/hyperlink" Target="mailto:dicky.dermawan_ext@tunghalsahabat.co.id" TargetMode="External"/><Relationship Id="rId41" Type="http://schemas.openxmlformats.org/officeDocument/2006/relationships/hyperlink" Target="mailto:prolisheru@tunggalsahabat.co.id" TargetMode="External"/><Relationship Id="rId54" Type="http://schemas.openxmlformats.org/officeDocument/2006/relationships/hyperlink" Target="mailto:yadi.hermansyah_ext@tunggalsahabat.co.id" TargetMode="External"/><Relationship Id="rId62" Type="http://schemas.openxmlformats.org/officeDocument/2006/relationships/hyperlink" Target="mailto:ongky.kevin_ext@tunggalsahabat.co.id" TargetMode="External"/><Relationship Id="rId1" Type="http://schemas.openxmlformats.org/officeDocument/2006/relationships/hyperlink" Target="mailto:darmanto@tunggalsahabat.co.id" TargetMode="External"/><Relationship Id="rId6" Type="http://schemas.openxmlformats.org/officeDocument/2006/relationships/hyperlink" Target="mailto:abe.taskurarizal@tunggalsahabat.co.id" TargetMode="External"/><Relationship Id="rId15" Type="http://schemas.openxmlformats.org/officeDocument/2006/relationships/hyperlink" Target="mailto:andiwawan.ext_wj@tunggalsahabat.co.id" TargetMode="External"/><Relationship Id="rId23" Type="http://schemas.openxmlformats.org/officeDocument/2006/relationships/hyperlink" Target="mailto:muchammad.adhim_ext@tunggalsahabat.co.id" TargetMode="External"/><Relationship Id="rId28" Type="http://schemas.openxmlformats.org/officeDocument/2006/relationships/hyperlink" Target="mailto:yuda.ext@tunggalsahabat.co.id" TargetMode="External"/><Relationship Id="rId36" Type="http://schemas.openxmlformats.org/officeDocument/2006/relationships/hyperlink" Target="mailto:edih_ext@tunggalsahabat.co.id" TargetMode="External"/><Relationship Id="rId49" Type="http://schemas.openxmlformats.org/officeDocument/2006/relationships/hyperlink" Target="mailto:nur.arifin_ext@tunggalsahabat.co.id" TargetMode="External"/><Relationship Id="rId57" Type="http://schemas.openxmlformats.org/officeDocument/2006/relationships/hyperlink" Target="mailto:ari.suryanto_ext@tunggalsahabat.co.id" TargetMode="External"/><Relationship Id="rId10" Type="http://schemas.openxmlformats.org/officeDocument/2006/relationships/hyperlink" Target="mailto:munasirin.ext_cj@tunggalsahabat.co.id" TargetMode="External"/><Relationship Id="rId31" Type="http://schemas.openxmlformats.org/officeDocument/2006/relationships/hyperlink" Target="mailto:tri.margiyanto_ext@tunggalsahabat.co.id" TargetMode="External"/><Relationship Id="rId44" Type="http://schemas.openxmlformats.org/officeDocument/2006/relationships/hyperlink" Target="mailto:h.ajoeko_ext@tunggalsahabat.co.id" TargetMode="External"/><Relationship Id="rId52" Type="http://schemas.openxmlformats.org/officeDocument/2006/relationships/hyperlink" Target="mailto:giyanto.wj_ext@tunggalsahabat.co.id" TargetMode="External"/><Relationship Id="rId60" Type="http://schemas.openxmlformats.org/officeDocument/2006/relationships/hyperlink" Target="mailto:onie.albert_ext@tunggalsahabat.co.id" TargetMode="External"/><Relationship Id="rId65" Type="http://schemas.openxmlformats.org/officeDocument/2006/relationships/hyperlink" Target="mailto:topan.effendy_ext@tunggalsahabat.co.id" TargetMode="External"/><Relationship Id="rId4" Type="http://schemas.openxmlformats.org/officeDocument/2006/relationships/hyperlink" Target="mailto:fariz@tunggalsahabat.co.id" TargetMode="External"/><Relationship Id="rId9" Type="http://schemas.openxmlformats.org/officeDocument/2006/relationships/hyperlink" Target="mailto:Ilham.tirta@tunggalsahabat.co.id" TargetMode="External"/><Relationship Id="rId13" Type="http://schemas.openxmlformats.org/officeDocument/2006/relationships/hyperlink" Target="mailto:sandya.ext_kal@tunggalsahabat.co.id" TargetMode="External"/><Relationship Id="rId18" Type="http://schemas.openxmlformats.org/officeDocument/2006/relationships/hyperlink" Target="mailto:raharjo.ext_jabo@tunggalsahabat.co.id" TargetMode="External"/><Relationship Id="rId39" Type="http://schemas.openxmlformats.org/officeDocument/2006/relationships/hyperlink" Target="mailto:wino_ext@tunggalsahabat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0"/>
  <sheetViews>
    <sheetView tabSelected="1" workbookViewId="0">
      <pane xSplit="4" ySplit="5" topLeftCell="AC6" activePane="bottomRight" state="frozen"/>
      <selection pane="topRight" activeCell="B3" sqref="B3:I112"/>
      <selection pane="bottomLeft" activeCell="B3" sqref="B3:I112"/>
      <selection pane="bottomRight" activeCell="AL20" sqref="AL20"/>
    </sheetView>
  </sheetViews>
  <sheetFormatPr defaultRowHeight="15" outlineLevelCol="1"/>
  <cols>
    <col min="1" max="1" width="8.42578125" style="1" bestFit="1" customWidth="1"/>
    <col min="2" max="2" width="14.42578125" bestFit="1" customWidth="1"/>
    <col min="3" max="3" width="22.42578125" bestFit="1" customWidth="1"/>
    <col min="4" max="4" width="9.7109375" bestFit="1" customWidth="1"/>
    <col min="5" max="5" width="17.42578125" customWidth="1"/>
    <col min="6" max="6" width="25.85546875" bestFit="1" customWidth="1"/>
    <col min="7" max="7" width="9.28515625" customWidth="1" outlineLevel="1"/>
    <col min="8" max="8" width="10.85546875" customWidth="1" outlineLevel="1"/>
    <col min="9" max="9" width="10.42578125" customWidth="1" outlineLevel="1"/>
    <col min="10" max="10" width="12" customWidth="1" outlineLevel="1"/>
    <col min="11" max="11" width="10.42578125" customWidth="1" outlineLevel="1"/>
    <col min="12" max="12" width="12" customWidth="1" outlineLevel="1"/>
    <col min="13" max="13" width="10.42578125" customWidth="1" outlineLevel="1"/>
    <col min="14" max="14" width="12" customWidth="1" outlineLevel="1"/>
    <col min="15" max="15" width="10.42578125" customWidth="1" outlineLevel="1"/>
    <col min="16" max="16" width="12" customWidth="1" outlineLevel="1"/>
    <col min="17" max="17" width="11.42578125" customWidth="1" outlineLevel="1"/>
    <col min="18" max="18" width="13" customWidth="1" outlineLevel="1"/>
    <col min="19" max="19" width="11.42578125" customWidth="1" outlineLevel="1"/>
    <col min="20" max="20" width="13" customWidth="1" outlineLevel="1"/>
    <col min="21" max="21" width="19.85546875" customWidth="1" outlineLevel="1"/>
    <col min="22" max="22" width="11.42578125" customWidth="1" outlineLevel="1"/>
    <col min="23" max="23" width="13" customWidth="1" outlineLevel="1"/>
    <col min="24" max="24" width="20.140625" customWidth="1" outlineLevel="1"/>
    <col min="25" max="25" width="11.42578125" customWidth="1" outlineLevel="1"/>
    <col min="26" max="26" width="13" customWidth="1" outlineLevel="1"/>
    <col min="27" max="27" width="19.85546875" customWidth="1" outlineLevel="1"/>
    <col min="28" max="28" width="11.42578125" customWidth="1" outlineLevel="1"/>
    <col min="29" max="29" width="13" customWidth="1" outlineLevel="1"/>
    <col min="30" max="30" width="21" customWidth="1" outlineLevel="1"/>
    <col min="31" max="31" width="11.42578125" customWidth="1" outlineLevel="1"/>
    <col min="32" max="32" width="13" customWidth="1" outlineLevel="1"/>
    <col min="33" max="33" width="16.42578125" customWidth="1"/>
    <col min="34" max="34" width="28.5703125" bestFit="1" customWidth="1"/>
    <col min="35" max="35" width="13" customWidth="1"/>
    <col min="36" max="36" width="15.42578125" customWidth="1"/>
    <col min="37" max="37" width="25.7109375" customWidth="1"/>
    <col min="38" max="38" width="18.42578125" bestFit="1" customWidth="1"/>
    <col min="39" max="39" width="16.5703125" bestFit="1" customWidth="1"/>
    <col min="40" max="40" width="10.5703125" bestFit="1" customWidth="1"/>
    <col min="41" max="41" width="8.5703125" hidden="1" customWidth="1" outlineLevel="1" collapsed="1"/>
    <col min="42" max="54" width="8.5703125" hidden="1" customWidth="1" outlineLevel="1"/>
    <col min="55" max="55" width="18.5703125" hidden="1" customWidth="1" outlineLevel="1"/>
    <col min="56" max="57" width="8.5703125" hidden="1" customWidth="1" outlineLevel="1"/>
    <col min="58" max="58" width="16.42578125" hidden="1" customWidth="1" outlineLevel="1"/>
    <col min="59" max="60" width="8.5703125" hidden="1" customWidth="1" outlineLevel="1"/>
    <col min="61" max="61" width="18.5703125" hidden="1" customWidth="1" outlineLevel="1"/>
    <col min="62" max="63" width="8.5703125" hidden="1" customWidth="1" outlineLevel="1"/>
    <col min="64" max="64" width="18.5703125" hidden="1" customWidth="1" outlineLevel="1"/>
    <col min="65" max="66" width="8.5703125" hidden="1" customWidth="1" outlineLevel="1"/>
    <col min="67" max="67" width="8.7109375" customWidth="1" collapsed="1"/>
  </cols>
  <sheetData>
    <row r="1" spans="1:66" ht="15.75" customHeight="1" thickBot="1">
      <c r="G1" s="236" t="s">
        <v>0</v>
      </c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8"/>
    </row>
    <row r="2" spans="1:66" ht="15.75" customHeight="1" thickBot="1">
      <c r="G2" s="228" t="s">
        <v>1</v>
      </c>
      <c r="H2" s="229"/>
      <c r="I2" s="228" t="s">
        <v>2</v>
      </c>
      <c r="J2" s="229"/>
      <c r="K2" s="228" t="s">
        <v>3</v>
      </c>
      <c r="L2" s="229"/>
      <c r="M2" s="228" t="s">
        <v>4</v>
      </c>
      <c r="N2" s="229"/>
      <c r="O2" s="228" t="s">
        <v>5</v>
      </c>
      <c r="P2" s="229"/>
      <c r="Q2" s="228" t="s">
        <v>6</v>
      </c>
      <c r="R2" s="229"/>
      <c r="S2" s="228" t="s">
        <v>7</v>
      </c>
      <c r="T2" s="229"/>
      <c r="U2" s="228" t="s">
        <v>8</v>
      </c>
      <c r="V2" s="230"/>
      <c r="W2" s="229"/>
      <c r="X2" s="228" t="s">
        <v>9</v>
      </c>
      <c r="Y2" s="230"/>
      <c r="Z2" s="229"/>
      <c r="AA2" s="228" t="s">
        <v>10</v>
      </c>
      <c r="AB2" s="230"/>
      <c r="AC2" s="229"/>
      <c r="AD2" s="228" t="s">
        <v>11</v>
      </c>
      <c r="AE2" s="230"/>
      <c r="AF2" s="229"/>
    </row>
    <row r="3" spans="1:66" ht="15.75" customHeight="1" thickBot="1">
      <c r="A3" s="286" t="s">
        <v>12</v>
      </c>
      <c r="B3" s="287" t="s">
        <v>13</v>
      </c>
      <c r="C3" s="287" t="s">
        <v>14</v>
      </c>
      <c r="D3" s="288" t="s">
        <v>15</v>
      </c>
      <c r="E3" s="288" t="s">
        <v>16</v>
      </c>
      <c r="F3" s="288" t="s">
        <v>17</v>
      </c>
      <c r="G3" s="289" t="s">
        <v>18</v>
      </c>
      <c r="H3" s="290" t="s">
        <v>19</v>
      </c>
      <c r="I3" s="289" t="s">
        <v>20</v>
      </c>
      <c r="J3" s="290" t="s">
        <v>21</v>
      </c>
      <c r="K3" s="289" t="s">
        <v>22</v>
      </c>
      <c r="L3" s="290" t="s">
        <v>23</v>
      </c>
      <c r="M3" s="289" t="s">
        <v>24</v>
      </c>
      <c r="N3" s="290" t="s">
        <v>25</v>
      </c>
      <c r="O3" s="289" t="s">
        <v>26</v>
      </c>
      <c r="P3" s="290" t="s">
        <v>27</v>
      </c>
      <c r="Q3" s="289" t="s">
        <v>28</v>
      </c>
      <c r="R3" s="290" t="s">
        <v>29</v>
      </c>
      <c r="S3" s="289" t="s">
        <v>30</v>
      </c>
      <c r="T3" s="290" t="s">
        <v>31</v>
      </c>
      <c r="U3" s="289" t="s">
        <v>32</v>
      </c>
      <c r="V3" s="288" t="s">
        <v>33</v>
      </c>
      <c r="W3" s="290" t="s">
        <v>34</v>
      </c>
      <c r="X3" s="289" t="s">
        <v>35</v>
      </c>
      <c r="Y3" s="288" t="s">
        <v>36</v>
      </c>
      <c r="Z3" s="290" t="s">
        <v>37</v>
      </c>
      <c r="AA3" s="289" t="s">
        <v>38</v>
      </c>
      <c r="AB3" s="288" t="s">
        <v>39</v>
      </c>
      <c r="AC3" s="290" t="s">
        <v>40</v>
      </c>
      <c r="AD3" s="289" t="s">
        <v>41</v>
      </c>
      <c r="AE3" s="288" t="s">
        <v>42</v>
      </c>
      <c r="AF3" s="290" t="s">
        <v>43</v>
      </c>
      <c r="AG3" s="287" t="s">
        <v>44</v>
      </c>
      <c r="AH3" s="287" t="s">
        <v>45</v>
      </c>
      <c r="AI3" s="318" t="s">
        <v>46</v>
      </c>
      <c r="AJ3" s="318" t="s">
        <v>47</v>
      </c>
      <c r="AK3" s="291" t="s">
        <v>48</v>
      </c>
      <c r="AL3" s="291" t="s">
        <v>49</v>
      </c>
      <c r="AM3" s="291" t="s">
        <v>50</v>
      </c>
      <c r="AN3" s="291" t="s">
        <v>51</v>
      </c>
      <c r="AO3" s="231" t="s">
        <v>52</v>
      </c>
      <c r="AP3" s="232"/>
      <c r="AQ3" s="232"/>
      <c r="AR3" s="232"/>
      <c r="AS3" s="232"/>
      <c r="AT3" s="232"/>
      <c r="AU3" s="232"/>
      <c r="AV3" s="232"/>
      <c r="AW3" s="232"/>
      <c r="AX3" s="232"/>
      <c r="AY3" s="232"/>
      <c r="AZ3" s="232"/>
      <c r="BA3" s="232"/>
      <c r="BB3" s="232"/>
      <c r="BC3" s="232"/>
      <c r="BD3" s="232"/>
      <c r="BE3" s="232"/>
      <c r="BF3" s="232"/>
      <c r="BG3" s="232"/>
      <c r="BH3" s="232"/>
      <c r="BI3" s="232"/>
      <c r="BJ3" s="232"/>
      <c r="BK3" s="232"/>
      <c r="BL3" s="232"/>
      <c r="BM3" s="232"/>
      <c r="BN3" s="233"/>
    </row>
    <row r="4" spans="1:66">
      <c r="A4" s="285">
        <v>1</v>
      </c>
      <c r="B4" s="190" t="s">
        <v>53</v>
      </c>
      <c r="C4" s="190" t="s">
        <v>54</v>
      </c>
      <c r="D4" s="190" t="s">
        <v>55</v>
      </c>
      <c r="E4" s="190" t="s">
        <v>56</v>
      </c>
      <c r="F4" s="190" t="s">
        <v>57</v>
      </c>
      <c r="G4" s="190">
        <v>69</v>
      </c>
      <c r="H4" s="190">
        <v>0</v>
      </c>
      <c r="I4" s="190">
        <v>69</v>
      </c>
      <c r="J4" s="190">
        <v>180</v>
      </c>
      <c r="K4" s="190">
        <v>69</v>
      </c>
      <c r="L4" s="190">
        <v>280</v>
      </c>
      <c r="M4" s="190"/>
      <c r="N4" s="190"/>
      <c r="O4" s="190"/>
      <c r="P4" s="190"/>
      <c r="Q4" s="190"/>
      <c r="R4" s="190"/>
      <c r="S4" s="190"/>
      <c r="T4" s="190"/>
      <c r="U4" s="190" t="s">
        <v>58</v>
      </c>
      <c r="V4" s="190">
        <v>54</v>
      </c>
      <c r="W4" s="190">
        <v>130</v>
      </c>
      <c r="X4" s="190" t="s">
        <v>59</v>
      </c>
      <c r="Y4" s="190">
        <v>52</v>
      </c>
      <c r="Z4" s="190">
        <v>190</v>
      </c>
      <c r="AA4" s="190" t="s">
        <v>60</v>
      </c>
      <c r="AB4" s="190">
        <v>52</v>
      </c>
      <c r="AC4" s="190">
        <v>120</v>
      </c>
      <c r="AD4" s="190" t="s">
        <v>61</v>
      </c>
      <c r="AE4" s="190">
        <v>53</v>
      </c>
      <c r="AF4" s="190">
        <v>240</v>
      </c>
      <c r="AG4" s="190" t="s">
        <v>62</v>
      </c>
      <c r="AH4" s="190" t="s">
        <v>54</v>
      </c>
      <c r="AI4" s="169" t="s">
        <v>63</v>
      </c>
      <c r="AJ4" s="169" t="s">
        <v>64</v>
      </c>
      <c r="AK4" s="190" t="s">
        <v>65</v>
      </c>
      <c r="AL4" s="11">
        <v>46168</v>
      </c>
      <c r="AM4" s="11">
        <v>46169</v>
      </c>
      <c r="AN4" s="11">
        <v>46171</v>
      </c>
      <c r="AO4" s="228" t="s">
        <v>1</v>
      </c>
      <c r="AP4" s="229"/>
      <c r="AQ4" s="228" t="s">
        <v>2</v>
      </c>
      <c r="AR4" s="229"/>
      <c r="AS4" s="228" t="s">
        <v>3</v>
      </c>
      <c r="AT4" s="229"/>
      <c r="AU4" s="228" t="s">
        <v>4</v>
      </c>
      <c r="AV4" s="229"/>
      <c r="AW4" s="228" t="s">
        <v>5</v>
      </c>
      <c r="AX4" s="229"/>
      <c r="AY4" s="228" t="s">
        <v>6</v>
      </c>
      <c r="AZ4" s="229"/>
      <c r="BA4" s="228" t="s">
        <v>7</v>
      </c>
      <c r="BB4" s="229"/>
      <c r="BC4" s="228" t="s">
        <v>8</v>
      </c>
      <c r="BD4" s="230"/>
      <c r="BE4" s="229"/>
      <c r="BF4" s="228" t="s">
        <v>9</v>
      </c>
      <c r="BG4" s="230"/>
      <c r="BH4" s="229"/>
      <c r="BI4" s="228" t="s">
        <v>10</v>
      </c>
      <c r="BJ4" s="230"/>
      <c r="BK4" s="229"/>
      <c r="BL4" s="228" t="s">
        <v>11</v>
      </c>
      <c r="BM4" s="230"/>
      <c r="BN4" s="229"/>
    </row>
    <row r="5" spans="1:66">
      <c r="A5" s="285">
        <v>2</v>
      </c>
      <c r="B5" s="190" t="s">
        <v>66</v>
      </c>
      <c r="C5" s="190" t="s">
        <v>67</v>
      </c>
      <c r="D5" s="190" t="s">
        <v>68</v>
      </c>
      <c r="E5" s="190" t="s">
        <v>69</v>
      </c>
      <c r="F5" s="190" t="s">
        <v>70</v>
      </c>
      <c r="G5" s="190">
        <v>53</v>
      </c>
      <c r="H5" s="190">
        <v>120</v>
      </c>
      <c r="I5" s="190">
        <v>53</v>
      </c>
      <c r="J5" s="190">
        <v>215</v>
      </c>
      <c r="K5" s="190">
        <v>53</v>
      </c>
      <c r="L5" s="190">
        <v>340</v>
      </c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 t="s">
        <v>71</v>
      </c>
      <c r="AH5" s="190" t="s">
        <v>72</v>
      </c>
      <c r="AI5" s="169" t="s">
        <v>73</v>
      </c>
      <c r="AJ5" s="169" t="s">
        <v>74</v>
      </c>
      <c r="AK5" s="190" t="s">
        <v>75</v>
      </c>
      <c r="AL5" s="11">
        <v>46176</v>
      </c>
      <c r="AM5" s="11">
        <v>46179</v>
      </c>
      <c r="AN5" s="11">
        <v>46181</v>
      </c>
      <c r="AO5" s="234" t="s">
        <v>18</v>
      </c>
      <c r="AP5" s="235" t="s">
        <v>19</v>
      </c>
      <c r="AQ5" s="234" t="s">
        <v>18</v>
      </c>
      <c r="AR5" s="235" t="s">
        <v>19</v>
      </c>
      <c r="AS5" s="234" t="s">
        <v>18</v>
      </c>
      <c r="AT5" s="235" t="s">
        <v>19</v>
      </c>
      <c r="AU5" s="234" t="s">
        <v>18</v>
      </c>
      <c r="AV5" s="235" t="s">
        <v>19</v>
      </c>
      <c r="AW5" s="234" t="s">
        <v>18</v>
      </c>
      <c r="AX5" s="235" t="s">
        <v>19</v>
      </c>
      <c r="AY5" s="234" t="s">
        <v>18</v>
      </c>
      <c r="AZ5" s="235" t="s">
        <v>19</v>
      </c>
      <c r="BA5" s="234" t="s">
        <v>18</v>
      </c>
      <c r="BB5" s="235" t="s">
        <v>19</v>
      </c>
      <c r="BC5" s="234" t="s">
        <v>32</v>
      </c>
      <c r="BD5" s="227" t="s">
        <v>18</v>
      </c>
      <c r="BE5" s="235" t="s">
        <v>19</v>
      </c>
      <c r="BF5" s="234" t="s">
        <v>32</v>
      </c>
      <c r="BG5" s="227" t="s">
        <v>18</v>
      </c>
      <c r="BH5" s="235" t="s">
        <v>19</v>
      </c>
      <c r="BI5" s="234" t="s">
        <v>32</v>
      </c>
      <c r="BJ5" s="227" t="s">
        <v>18</v>
      </c>
      <c r="BK5" s="235" t="s">
        <v>19</v>
      </c>
      <c r="BL5" s="234" t="s">
        <v>32</v>
      </c>
      <c r="BM5" s="227" t="s">
        <v>18</v>
      </c>
      <c r="BN5" s="235" t="s">
        <v>19</v>
      </c>
    </row>
    <row r="6" spans="1:66">
      <c r="A6" s="285">
        <v>3</v>
      </c>
      <c r="B6" s="190" t="s">
        <v>66</v>
      </c>
      <c r="C6" s="190" t="s">
        <v>67</v>
      </c>
      <c r="D6" s="190" t="s">
        <v>55</v>
      </c>
      <c r="E6" s="190" t="s">
        <v>76</v>
      </c>
      <c r="F6" s="190" t="s">
        <v>77</v>
      </c>
      <c r="G6" s="190">
        <v>68</v>
      </c>
      <c r="H6" s="190">
        <v>0</v>
      </c>
      <c r="I6" s="190">
        <v>68</v>
      </c>
      <c r="J6" s="190">
        <v>160</v>
      </c>
      <c r="K6" s="190">
        <v>68</v>
      </c>
      <c r="L6" s="190">
        <v>310</v>
      </c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 t="s">
        <v>71</v>
      </c>
      <c r="AH6" s="190" t="s">
        <v>72</v>
      </c>
      <c r="AI6" s="169" t="s">
        <v>78</v>
      </c>
      <c r="AJ6" s="169" t="s">
        <v>74</v>
      </c>
      <c r="AK6" s="190" t="s">
        <v>79</v>
      </c>
      <c r="AL6" s="11">
        <v>46195</v>
      </c>
      <c r="AM6" s="11">
        <v>46196</v>
      </c>
      <c r="AN6" s="11">
        <v>46200</v>
      </c>
      <c r="AO6" s="190">
        <v>68</v>
      </c>
      <c r="AP6" s="190">
        <v>0</v>
      </c>
      <c r="AQ6" s="190">
        <v>68</v>
      </c>
      <c r="AR6" s="190">
        <v>180</v>
      </c>
      <c r="AS6" s="190">
        <v>68</v>
      </c>
      <c r="AT6" s="190">
        <v>280</v>
      </c>
      <c r="AU6" s="190"/>
      <c r="AV6" s="190"/>
      <c r="AW6" s="190"/>
      <c r="AX6" s="190"/>
      <c r="AY6" s="190"/>
      <c r="AZ6" s="190"/>
      <c r="BA6" s="190"/>
      <c r="BB6" s="190"/>
      <c r="BC6" s="190" t="s">
        <v>58</v>
      </c>
      <c r="BD6" s="190">
        <v>54</v>
      </c>
      <c r="BE6" s="190">
        <v>130</v>
      </c>
      <c r="BF6" s="190" t="s">
        <v>80</v>
      </c>
      <c r="BG6" s="190">
        <v>51</v>
      </c>
      <c r="BH6" s="190">
        <v>190</v>
      </c>
      <c r="BI6" s="190" t="s">
        <v>60</v>
      </c>
      <c r="BJ6" s="190">
        <v>60</v>
      </c>
      <c r="BK6" s="190">
        <v>120</v>
      </c>
      <c r="BL6" s="190" t="s">
        <v>61</v>
      </c>
      <c r="BM6" s="190">
        <v>53</v>
      </c>
      <c r="BN6" s="190">
        <v>240</v>
      </c>
    </row>
    <row r="7" spans="1:66">
      <c r="A7" s="285">
        <v>4</v>
      </c>
      <c r="B7" s="190" t="s">
        <v>81</v>
      </c>
      <c r="C7" s="190" t="s">
        <v>82</v>
      </c>
      <c r="D7" s="190" t="s">
        <v>68</v>
      </c>
      <c r="E7" s="190" t="s">
        <v>83</v>
      </c>
      <c r="F7" s="190" t="s">
        <v>84</v>
      </c>
      <c r="G7" s="190">
        <v>3</v>
      </c>
      <c r="H7" s="190">
        <v>30</v>
      </c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 t="s">
        <v>85</v>
      </c>
      <c r="AH7" s="190" t="s">
        <v>86</v>
      </c>
      <c r="AI7" s="169" t="s">
        <v>87</v>
      </c>
      <c r="AJ7" s="169" t="s">
        <v>88</v>
      </c>
      <c r="AK7" s="190"/>
      <c r="AL7" s="11">
        <v>45911</v>
      </c>
      <c r="AM7" s="11"/>
      <c r="AN7" s="11"/>
      <c r="AO7" s="190">
        <v>53</v>
      </c>
      <c r="AP7" s="190">
        <v>30</v>
      </c>
      <c r="AQ7" s="190">
        <v>53</v>
      </c>
      <c r="AR7" s="190">
        <v>120</v>
      </c>
      <c r="AS7" s="190">
        <v>53</v>
      </c>
      <c r="AT7" s="190">
        <v>240</v>
      </c>
      <c r="AU7" s="190"/>
      <c r="AV7" s="190"/>
      <c r="AW7" s="190"/>
      <c r="AX7" s="190"/>
      <c r="AY7" s="190"/>
      <c r="AZ7" s="190"/>
      <c r="BA7" s="190"/>
      <c r="BB7" s="190"/>
      <c r="BC7" s="190" t="s">
        <v>89</v>
      </c>
      <c r="BD7" s="190">
        <v>51</v>
      </c>
      <c r="BE7" s="190">
        <v>40</v>
      </c>
      <c r="BF7" s="190"/>
      <c r="BG7" s="190"/>
      <c r="BH7" s="190"/>
      <c r="BI7" s="190"/>
      <c r="BJ7" s="190"/>
      <c r="BK7" s="190"/>
      <c r="BL7" s="190"/>
      <c r="BM7" s="190"/>
      <c r="BN7" s="190"/>
    </row>
    <row r="8" spans="1:66">
      <c r="A8" s="285">
        <v>5</v>
      </c>
      <c r="B8" s="190" t="s">
        <v>90</v>
      </c>
      <c r="C8" s="190" t="s">
        <v>91</v>
      </c>
      <c r="D8" s="190" t="s">
        <v>68</v>
      </c>
      <c r="E8" s="190" t="s">
        <v>92</v>
      </c>
      <c r="F8" s="190" t="s">
        <v>93</v>
      </c>
      <c r="G8" s="190">
        <v>58</v>
      </c>
      <c r="H8" s="190">
        <v>10</v>
      </c>
      <c r="I8" s="190">
        <v>58</v>
      </c>
      <c r="J8" s="190">
        <v>180</v>
      </c>
      <c r="K8" s="190">
        <v>58</v>
      </c>
      <c r="L8" s="190">
        <v>235</v>
      </c>
      <c r="M8" s="190"/>
      <c r="N8" s="190"/>
      <c r="O8" s="190"/>
      <c r="P8" s="190"/>
      <c r="Q8" s="190"/>
      <c r="R8" s="190"/>
      <c r="S8" s="190"/>
      <c r="T8" s="190"/>
      <c r="U8" s="190" t="s">
        <v>94</v>
      </c>
      <c r="V8" s="190">
        <v>54</v>
      </c>
      <c r="W8" s="190">
        <v>35</v>
      </c>
      <c r="X8" s="190" t="s">
        <v>95</v>
      </c>
      <c r="Y8" s="190">
        <v>33</v>
      </c>
      <c r="Z8" s="190">
        <v>75</v>
      </c>
      <c r="AA8" s="190" t="s">
        <v>96</v>
      </c>
      <c r="AB8" s="190">
        <v>44</v>
      </c>
      <c r="AC8" s="190">
        <v>200</v>
      </c>
      <c r="AD8" s="190" t="s">
        <v>97</v>
      </c>
      <c r="AE8" s="190">
        <v>29</v>
      </c>
      <c r="AF8" s="190">
        <v>200</v>
      </c>
      <c r="AG8" s="190" t="s">
        <v>98</v>
      </c>
      <c r="AH8" s="190" t="s">
        <v>99</v>
      </c>
      <c r="AI8" s="169">
        <v>1.0615600000000001</v>
      </c>
      <c r="AJ8" s="169">
        <v>127.46364</v>
      </c>
      <c r="AK8" s="190" t="s">
        <v>100</v>
      </c>
      <c r="AL8" s="11">
        <v>46007</v>
      </c>
      <c r="AM8" s="11">
        <v>46012</v>
      </c>
      <c r="AN8" s="11">
        <v>46023</v>
      </c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0"/>
      <c r="BD8" s="190"/>
      <c r="BE8" s="190"/>
      <c r="BF8" s="190"/>
      <c r="BG8" s="190"/>
      <c r="BH8" s="190"/>
      <c r="BI8" s="190"/>
      <c r="BJ8" s="190"/>
      <c r="BK8" s="190"/>
      <c r="BL8" s="190"/>
      <c r="BM8" s="190"/>
      <c r="BN8" s="190"/>
    </row>
    <row r="9" spans="1:66">
      <c r="A9" s="285">
        <v>6</v>
      </c>
      <c r="B9" s="190" t="s">
        <v>101</v>
      </c>
      <c r="C9" s="190" t="s">
        <v>102</v>
      </c>
      <c r="D9" s="190" t="s">
        <v>55</v>
      </c>
      <c r="E9" s="190" t="s">
        <v>103</v>
      </c>
      <c r="F9" s="190" t="s">
        <v>102</v>
      </c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 t="s">
        <v>104</v>
      </c>
      <c r="AH9" s="190" t="s">
        <v>105</v>
      </c>
      <c r="AI9" s="169" t="s">
        <v>106</v>
      </c>
      <c r="AJ9" s="169" t="s">
        <v>107</v>
      </c>
      <c r="AK9" s="190"/>
      <c r="AL9" s="11"/>
      <c r="AM9" s="11"/>
      <c r="AN9" s="11"/>
      <c r="AO9" s="190">
        <v>47</v>
      </c>
      <c r="AP9" s="190">
        <v>20</v>
      </c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  <c r="BB9" s="190"/>
      <c r="BC9" s="190"/>
      <c r="BD9" s="190"/>
      <c r="BE9" s="190"/>
      <c r="BF9" s="190"/>
      <c r="BG9" s="190"/>
      <c r="BH9" s="190"/>
      <c r="BI9" s="190"/>
      <c r="BJ9" s="190"/>
      <c r="BK9" s="190"/>
      <c r="BL9" s="190"/>
      <c r="BM9" s="190"/>
      <c r="BN9" s="190"/>
    </row>
    <row r="10" spans="1:66">
      <c r="A10" s="285">
        <v>7</v>
      </c>
      <c r="B10" s="190" t="s">
        <v>108</v>
      </c>
      <c r="C10" s="190" t="s">
        <v>109</v>
      </c>
      <c r="D10" s="190" t="s">
        <v>55</v>
      </c>
      <c r="E10" s="190" t="s">
        <v>110</v>
      </c>
      <c r="F10" s="190" t="s">
        <v>111</v>
      </c>
      <c r="G10" s="190">
        <v>51</v>
      </c>
      <c r="H10" s="190">
        <v>190</v>
      </c>
      <c r="I10" s="190">
        <v>51</v>
      </c>
      <c r="J10" s="190">
        <v>270</v>
      </c>
      <c r="K10" s="190">
        <v>51</v>
      </c>
      <c r="L10" s="190">
        <v>320</v>
      </c>
      <c r="M10" s="190"/>
      <c r="N10" s="190"/>
      <c r="O10" s="190"/>
      <c r="P10" s="190"/>
      <c r="Q10" s="190"/>
      <c r="R10" s="190"/>
      <c r="S10" s="190"/>
      <c r="T10" s="190"/>
      <c r="U10" s="190" t="s">
        <v>112</v>
      </c>
      <c r="V10" s="190">
        <v>49</v>
      </c>
      <c r="W10" s="190">
        <v>280</v>
      </c>
      <c r="X10" s="190"/>
      <c r="Y10" s="190"/>
      <c r="Z10" s="190"/>
      <c r="AA10" s="190"/>
      <c r="AB10" s="190"/>
      <c r="AC10" s="190"/>
      <c r="AD10" s="190"/>
      <c r="AE10" s="190"/>
      <c r="AF10" s="190"/>
      <c r="AG10" s="190" t="s">
        <v>113</v>
      </c>
      <c r="AH10" s="190" t="s">
        <v>114</v>
      </c>
      <c r="AI10" s="169" t="s">
        <v>115</v>
      </c>
      <c r="AJ10" s="169" t="s">
        <v>116</v>
      </c>
      <c r="AK10" s="190" t="s">
        <v>117</v>
      </c>
      <c r="AL10" s="11">
        <v>46244</v>
      </c>
      <c r="AM10" s="11">
        <v>46245</v>
      </c>
      <c r="AN10" s="11"/>
      <c r="AO10" s="190">
        <v>60</v>
      </c>
      <c r="AP10" s="190">
        <v>45</v>
      </c>
      <c r="AQ10" s="190">
        <v>60</v>
      </c>
      <c r="AR10" s="190">
        <v>190</v>
      </c>
      <c r="AS10" s="190">
        <v>60</v>
      </c>
      <c r="AT10" s="190">
        <v>240</v>
      </c>
      <c r="AU10" s="190"/>
      <c r="AV10" s="190"/>
      <c r="AW10" s="190"/>
      <c r="AX10" s="190"/>
      <c r="AY10" s="190"/>
      <c r="AZ10" s="190"/>
      <c r="BA10" s="190"/>
      <c r="BB10" s="190"/>
      <c r="BC10" s="190" t="s">
        <v>94</v>
      </c>
      <c r="BD10" s="190">
        <v>71</v>
      </c>
      <c r="BE10" s="190">
        <v>10</v>
      </c>
      <c r="BF10" s="190" t="s">
        <v>95</v>
      </c>
      <c r="BG10" s="190">
        <v>55</v>
      </c>
      <c r="BH10" s="190">
        <v>110</v>
      </c>
      <c r="BI10" s="190" t="s">
        <v>96</v>
      </c>
      <c r="BJ10" s="190">
        <v>50</v>
      </c>
      <c r="BK10" s="190">
        <v>205</v>
      </c>
      <c r="BL10" s="190" t="s">
        <v>97</v>
      </c>
      <c r="BM10" s="190">
        <v>80</v>
      </c>
      <c r="BN10" s="190">
        <v>205</v>
      </c>
    </row>
    <row r="11" spans="1:66" ht="30" customHeight="1">
      <c r="A11" s="285">
        <v>8</v>
      </c>
      <c r="B11" s="190" t="s">
        <v>108</v>
      </c>
      <c r="C11" s="190" t="s">
        <v>109</v>
      </c>
      <c r="D11" s="190" t="s">
        <v>68</v>
      </c>
      <c r="E11" s="190" t="s">
        <v>118</v>
      </c>
      <c r="F11" s="190" t="s">
        <v>119</v>
      </c>
      <c r="G11" s="190">
        <v>67</v>
      </c>
      <c r="H11" s="190">
        <v>20</v>
      </c>
      <c r="I11" s="190">
        <v>67</v>
      </c>
      <c r="J11" s="190">
        <v>210</v>
      </c>
      <c r="K11" s="190">
        <v>67</v>
      </c>
      <c r="L11" s="190">
        <v>320</v>
      </c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 t="s">
        <v>113</v>
      </c>
      <c r="AH11" s="190" t="s">
        <v>114</v>
      </c>
      <c r="AI11" s="169" t="s">
        <v>115</v>
      </c>
      <c r="AJ11" s="169" t="s">
        <v>116</v>
      </c>
      <c r="AK11" s="157" t="s">
        <v>120</v>
      </c>
      <c r="AL11" s="11"/>
      <c r="AM11" s="11"/>
      <c r="AN11" s="11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</row>
    <row r="12" spans="1:66">
      <c r="A12" s="285">
        <v>9</v>
      </c>
      <c r="B12" s="190" t="s">
        <v>121</v>
      </c>
      <c r="C12" s="190" t="s">
        <v>122</v>
      </c>
      <c r="D12" s="190" t="s">
        <v>68</v>
      </c>
      <c r="E12" s="190" t="s">
        <v>123</v>
      </c>
      <c r="F12" s="190" t="s">
        <v>124</v>
      </c>
      <c r="G12" s="190">
        <v>18</v>
      </c>
      <c r="H12" s="190">
        <v>90</v>
      </c>
      <c r="I12" s="190">
        <v>18</v>
      </c>
      <c r="J12" s="190">
        <v>150</v>
      </c>
      <c r="K12" s="190">
        <v>18</v>
      </c>
      <c r="L12" s="190">
        <v>330</v>
      </c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69"/>
      <c r="AJ12" s="169"/>
      <c r="AK12" s="190"/>
      <c r="AL12" s="11"/>
      <c r="AM12" s="11"/>
      <c r="AN12" s="11"/>
      <c r="AO12" s="190">
        <v>70</v>
      </c>
      <c r="AP12" s="190"/>
      <c r="AQ12" s="190">
        <v>70</v>
      </c>
      <c r="AR12" s="190"/>
      <c r="AS12" s="190">
        <v>70</v>
      </c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  <c r="BI12" s="190"/>
      <c r="BJ12" s="190"/>
      <c r="BK12" s="190"/>
      <c r="BL12" s="190"/>
      <c r="BM12" s="190"/>
      <c r="BN12" s="190"/>
    </row>
    <row r="13" spans="1:66">
      <c r="A13" s="285">
        <v>10</v>
      </c>
      <c r="B13" s="315" t="s">
        <v>121</v>
      </c>
      <c r="C13" s="315" t="s">
        <v>122</v>
      </c>
      <c r="D13" s="315" t="s">
        <v>55</v>
      </c>
      <c r="E13" s="315" t="s">
        <v>125</v>
      </c>
      <c r="F13" s="315" t="s">
        <v>126</v>
      </c>
      <c r="G13" s="315">
        <v>18</v>
      </c>
      <c r="H13" s="315">
        <v>30</v>
      </c>
      <c r="I13" s="315">
        <v>18</v>
      </c>
      <c r="J13" s="315">
        <v>130</v>
      </c>
      <c r="K13" s="1">
        <v>18</v>
      </c>
      <c r="L13" s="315">
        <v>320</v>
      </c>
      <c r="M13" s="315"/>
      <c r="N13" s="315"/>
      <c r="O13" s="315">
        <v>18</v>
      </c>
      <c r="P13" s="315">
        <v>50</v>
      </c>
      <c r="Q13" s="315">
        <v>18</v>
      </c>
      <c r="R13" s="315">
        <v>230</v>
      </c>
      <c r="S13" s="315">
        <v>18</v>
      </c>
      <c r="T13" s="315">
        <v>330</v>
      </c>
      <c r="U13" s="315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6"/>
      <c r="AJ13" s="316"/>
      <c r="AK13" s="315"/>
      <c r="AL13" s="317"/>
      <c r="AM13" s="317"/>
      <c r="AN13" s="317"/>
      <c r="AO13" s="190">
        <v>70</v>
      </c>
      <c r="AP13" s="190"/>
      <c r="AQ13" s="190">
        <v>70</v>
      </c>
      <c r="AR13" s="190"/>
      <c r="AS13" s="190">
        <v>70</v>
      </c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90"/>
      <c r="BN13" s="190"/>
    </row>
    <row r="14" spans="1:66">
      <c r="A14" s="19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  <c r="BA14" s="190"/>
      <c r="BB14" s="190"/>
      <c r="BC14" s="190"/>
      <c r="BD14" s="190"/>
      <c r="BE14" s="190"/>
      <c r="BF14" s="190"/>
      <c r="BG14" s="190"/>
      <c r="BH14" s="190"/>
      <c r="BI14" s="190"/>
      <c r="BJ14" s="190"/>
      <c r="BK14" s="190"/>
      <c r="BL14" s="190"/>
      <c r="BM14" s="190"/>
      <c r="BN14" s="190"/>
    </row>
    <row r="15" spans="1:66">
      <c r="A15" s="19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</row>
    <row r="16" spans="1:66">
      <c r="A16" s="193"/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292"/>
      <c r="AJ16" s="292"/>
      <c r="AK16" s="193"/>
      <c r="AL16" s="293"/>
      <c r="AM16" s="293"/>
      <c r="AN16" s="293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</row>
    <row r="17" spans="1:66">
      <c r="A17" s="190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69"/>
      <c r="AJ17" s="169"/>
      <c r="AK17" s="190"/>
      <c r="AL17" s="11"/>
      <c r="AM17" s="11"/>
      <c r="AN17" s="11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</row>
    <row r="18" spans="1:66">
      <c r="A18" s="190"/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69"/>
      <c r="AJ18" s="169"/>
      <c r="AK18" s="190"/>
      <c r="AL18" s="11"/>
      <c r="AM18" s="11"/>
      <c r="AN18" s="11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</row>
    <row r="19" spans="1:66">
      <c r="A19" s="190"/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69"/>
      <c r="AJ19" s="169"/>
      <c r="AK19" s="190"/>
      <c r="AL19" s="11"/>
      <c r="AM19" s="11"/>
      <c r="AN19" s="11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</row>
    <row r="20" spans="1:66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69"/>
      <c r="AJ20" s="169"/>
      <c r="AK20" s="190"/>
      <c r="AL20" s="11"/>
      <c r="AM20" s="11"/>
      <c r="AN20" s="11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</row>
    <row r="21" spans="1:66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69"/>
      <c r="AJ21" s="169"/>
      <c r="AK21" s="190"/>
      <c r="AL21" s="11"/>
      <c r="AM21" s="11"/>
      <c r="AN21" s="11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</row>
    <row r="22" spans="1:66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69"/>
      <c r="AJ22" s="169"/>
      <c r="AK22" s="190"/>
      <c r="AL22" s="11"/>
      <c r="AM22" s="11"/>
      <c r="AN22" s="11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</row>
    <row r="23" spans="1:66">
      <c r="A23" s="190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69"/>
      <c r="AJ23" s="169"/>
      <c r="AK23" s="190"/>
      <c r="AL23" s="11"/>
      <c r="AM23" s="11"/>
      <c r="AN23" s="11"/>
      <c r="AO23" s="190"/>
      <c r="AP23" s="190"/>
      <c r="AQ23" s="190"/>
      <c r="AR23" s="190"/>
      <c r="AS23" s="190"/>
      <c r="AT23" s="190"/>
      <c r="AU23" s="190"/>
      <c r="AV23" s="190"/>
      <c r="AW23" s="190"/>
      <c r="AX23" s="190"/>
      <c r="AY23" s="190"/>
      <c r="AZ23" s="190"/>
      <c r="BA23" s="190"/>
      <c r="BB23" s="190"/>
      <c r="BC23" s="190"/>
      <c r="BD23" s="190"/>
      <c r="BE23" s="190"/>
      <c r="BF23" s="190"/>
      <c r="BG23" s="190"/>
      <c r="BH23" s="190"/>
      <c r="BI23" s="190"/>
      <c r="BJ23" s="190"/>
      <c r="BK23" s="190"/>
      <c r="BL23" s="190"/>
      <c r="BM23" s="190"/>
      <c r="BN23" s="190"/>
    </row>
    <row r="24" spans="1:66">
      <c r="A24" s="190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69"/>
      <c r="AJ24" s="169"/>
      <c r="AK24" s="190"/>
      <c r="AL24" s="11"/>
      <c r="AM24" s="11"/>
      <c r="AN24" s="11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  <c r="BB24" s="190"/>
      <c r="BC24" s="190"/>
      <c r="BD24" s="190"/>
      <c r="BE24" s="190"/>
      <c r="BF24" s="190"/>
      <c r="BG24" s="190"/>
      <c r="BH24" s="190"/>
      <c r="BI24" s="190"/>
      <c r="BJ24" s="190"/>
      <c r="BK24" s="190"/>
      <c r="BL24" s="190"/>
      <c r="BM24" s="190"/>
      <c r="BN24" s="190"/>
    </row>
    <row r="25" spans="1:66">
      <c r="A25" s="190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69"/>
      <c r="AJ25" s="169"/>
      <c r="AK25" s="190"/>
      <c r="AL25" s="11"/>
      <c r="AM25" s="11"/>
      <c r="AN25" s="11"/>
      <c r="AO25" s="190"/>
      <c r="AP25" s="190"/>
      <c r="AQ25" s="190"/>
      <c r="AR25" s="190"/>
      <c r="AS25" s="190"/>
      <c r="AT25" s="190"/>
      <c r="AU25" s="190"/>
      <c r="AV25" s="190"/>
      <c r="AW25" s="190"/>
      <c r="AX25" s="190"/>
      <c r="AY25" s="190"/>
      <c r="AZ25" s="190"/>
      <c r="BA25" s="190"/>
      <c r="BB25" s="190"/>
      <c r="BC25" s="190"/>
      <c r="BD25" s="190"/>
      <c r="BE25" s="190"/>
      <c r="BF25" s="190"/>
      <c r="BG25" s="190"/>
      <c r="BH25" s="190"/>
      <c r="BI25" s="190"/>
      <c r="BJ25" s="190"/>
      <c r="BK25" s="190"/>
      <c r="BL25" s="190"/>
      <c r="BM25" s="190"/>
      <c r="BN25" s="190"/>
    </row>
    <row r="26" spans="1:66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69"/>
      <c r="AJ26" s="169"/>
      <c r="AK26" s="190"/>
      <c r="AL26" s="11"/>
      <c r="AM26" s="11"/>
      <c r="AN26" s="11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</row>
    <row r="27" spans="1:66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69"/>
      <c r="AJ27" s="169"/>
      <c r="AK27" s="190"/>
      <c r="AL27" s="11"/>
      <c r="AM27" s="11"/>
      <c r="AN27" s="11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</row>
    <row r="28" spans="1:66">
      <c r="A28" s="190"/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69"/>
      <c r="AJ28" s="169"/>
      <c r="AK28" s="190"/>
      <c r="AL28" s="11"/>
      <c r="AM28" s="11"/>
      <c r="AN28" s="11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  <c r="BM28" s="190"/>
      <c r="BN28" s="190"/>
    </row>
    <row r="29" spans="1:66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69"/>
      <c r="AJ29" s="169"/>
      <c r="AK29" s="190"/>
      <c r="AL29" s="11"/>
      <c r="AM29" s="11"/>
      <c r="AN29" s="11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0"/>
      <c r="BB29" s="190"/>
      <c r="BC29" s="190"/>
      <c r="BD29" s="190"/>
      <c r="BE29" s="190"/>
      <c r="BF29" s="190"/>
      <c r="BG29" s="190"/>
      <c r="BH29" s="190"/>
      <c r="BI29" s="190"/>
      <c r="BJ29" s="190"/>
      <c r="BK29" s="190"/>
      <c r="BL29" s="190"/>
      <c r="BM29" s="190"/>
      <c r="BN29" s="190"/>
    </row>
    <row r="30" spans="1:66">
      <c r="A30" s="190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69"/>
      <c r="AJ30" s="169"/>
      <c r="AK30" s="190"/>
      <c r="AL30" s="11"/>
      <c r="AM30" s="11"/>
      <c r="AN30" s="11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  <c r="BI30" s="190"/>
      <c r="BJ30" s="190"/>
      <c r="BK30" s="190"/>
      <c r="BL30" s="190"/>
      <c r="BM30" s="190"/>
      <c r="BN30" s="190"/>
    </row>
    <row r="31" spans="1:66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69"/>
      <c r="AJ31" s="169"/>
      <c r="AK31" s="190"/>
      <c r="AL31" s="11"/>
      <c r="AM31" s="11"/>
      <c r="AN31" s="11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0"/>
      <c r="BB31" s="190"/>
      <c r="BC31" s="190"/>
      <c r="BD31" s="190"/>
      <c r="BE31" s="190"/>
      <c r="BF31" s="190"/>
      <c r="BG31" s="190"/>
      <c r="BH31" s="190"/>
      <c r="BI31" s="190"/>
      <c r="BJ31" s="190"/>
      <c r="BK31" s="190"/>
      <c r="BL31" s="190"/>
      <c r="BM31" s="190"/>
      <c r="BN31" s="190"/>
    </row>
    <row r="32" spans="1:66">
      <c r="A32" s="190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69"/>
      <c r="AJ32" s="169"/>
      <c r="AK32" s="190"/>
      <c r="AL32" s="11"/>
      <c r="AM32" s="11"/>
      <c r="AN32" s="11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0"/>
      <c r="BB32" s="190"/>
      <c r="BC32" s="190"/>
      <c r="BD32" s="190"/>
      <c r="BE32" s="190"/>
      <c r="BF32" s="190"/>
      <c r="BG32" s="190"/>
      <c r="BH32" s="190"/>
      <c r="BI32" s="190"/>
      <c r="BJ32" s="190"/>
      <c r="BK32" s="190"/>
      <c r="BL32" s="190"/>
      <c r="BM32" s="190"/>
      <c r="BN32" s="190"/>
    </row>
    <row r="33" spans="1:66">
      <c r="A33" s="190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69"/>
      <c r="AJ33" s="169"/>
      <c r="AK33" s="190"/>
      <c r="AL33" s="11"/>
      <c r="AM33" s="11"/>
      <c r="AN33" s="11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0"/>
      <c r="BB33" s="190"/>
      <c r="BC33" s="190"/>
      <c r="BD33" s="190"/>
      <c r="BE33" s="190"/>
      <c r="BF33" s="190"/>
      <c r="BG33" s="190"/>
      <c r="BH33" s="190"/>
      <c r="BI33" s="190"/>
      <c r="BJ33" s="190"/>
      <c r="BK33" s="190"/>
      <c r="BL33" s="190"/>
      <c r="BM33" s="190"/>
      <c r="BN33" s="190"/>
    </row>
    <row r="34" spans="1:66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69"/>
      <c r="AJ34" s="169"/>
      <c r="AK34" s="190"/>
      <c r="AL34" s="11"/>
      <c r="AM34" s="11"/>
      <c r="AN34" s="11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</row>
    <row r="35" spans="1:66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69"/>
      <c r="AJ35" s="169"/>
      <c r="AK35" s="190"/>
      <c r="AL35" s="11"/>
      <c r="AM35" s="11"/>
      <c r="AN35" s="11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</row>
    <row r="36" spans="1:66">
      <c r="A36" s="190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69"/>
      <c r="AJ36" s="169"/>
      <c r="AK36" s="190"/>
      <c r="AL36" s="11"/>
      <c r="AM36" s="11"/>
      <c r="AN36" s="11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/>
      <c r="AY36" s="190"/>
      <c r="AZ36" s="190"/>
      <c r="BA36" s="190"/>
      <c r="BB36" s="190"/>
      <c r="BC36" s="190"/>
      <c r="BD36" s="190"/>
      <c r="BE36" s="190"/>
      <c r="BF36" s="190"/>
      <c r="BG36" s="190"/>
      <c r="BH36" s="190"/>
      <c r="BI36" s="190"/>
      <c r="BJ36" s="190"/>
      <c r="BK36" s="190"/>
      <c r="BL36" s="190"/>
      <c r="BM36" s="190"/>
      <c r="BN36" s="190"/>
    </row>
    <row r="37" spans="1:66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69"/>
      <c r="AJ37" s="169"/>
      <c r="AK37" s="190"/>
      <c r="AL37" s="11"/>
      <c r="AM37" s="11"/>
      <c r="AN37" s="11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0"/>
      <c r="BB37" s="190"/>
      <c r="BC37" s="190"/>
      <c r="BD37" s="190"/>
      <c r="BE37" s="190"/>
      <c r="BF37" s="190"/>
      <c r="BG37" s="190"/>
      <c r="BH37" s="190"/>
      <c r="BI37" s="190"/>
      <c r="BJ37" s="190"/>
      <c r="BK37" s="190"/>
      <c r="BL37" s="190"/>
      <c r="BM37" s="190"/>
      <c r="BN37" s="190"/>
    </row>
    <row r="38" spans="1:66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69"/>
      <c r="AJ38" s="169"/>
      <c r="AK38" s="190"/>
      <c r="AL38" s="11"/>
      <c r="AM38" s="11"/>
      <c r="AN38" s="11"/>
      <c r="AO38" s="190"/>
      <c r="AP38" s="190"/>
      <c r="AQ38" s="190"/>
      <c r="AR38" s="190"/>
      <c r="AS38" s="190"/>
      <c r="AT38" s="190"/>
      <c r="AU38" s="190"/>
      <c r="AV38" s="190"/>
      <c r="AW38" s="190"/>
      <c r="AX38" s="190"/>
      <c r="AY38" s="190"/>
      <c r="AZ38" s="190"/>
      <c r="BA38" s="190"/>
      <c r="BB38" s="190"/>
      <c r="BC38" s="190"/>
      <c r="BD38" s="190"/>
      <c r="BE38" s="190"/>
      <c r="BF38" s="190"/>
      <c r="BG38" s="190"/>
      <c r="BH38" s="190"/>
      <c r="BI38" s="190"/>
      <c r="BJ38" s="190"/>
      <c r="BK38" s="190"/>
      <c r="BL38" s="190"/>
      <c r="BM38" s="190"/>
      <c r="BN38" s="190"/>
    </row>
    <row r="39" spans="1:66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69"/>
      <c r="AJ39" s="169"/>
      <c r="AK39" s="190"/>
      <c r="AL39" s="11"/>
      <c r="AM39" s="11"/>
      <c r="AN39" s="11"/>
      <c r="AO39" s="190"/>
      <c r="AP39" s="190"/>
      <c r="AQ39" s="190"/>
      <c r="AR39" s="190"/>
      <c r="AS39" s="190"/>
      <c r="AT39" s="190"/>
      <c r="AU39" s="190"/>
      <c r="AV39" s="190"/>
      <c r="AW39" s="190"/>
      <c r="AX39" s="190"/>
      <c r="AY39" s="190"/>
      <c r="AZ39" s="190"/>
      <c r="BA39" s="190"/>
      <c r="BB39" s="190"/>
      <c r="BC39" s="190"/>
      <c r="BD39" s="190"/>
      <c r="BE39" s="190"/>
      <c r="BF39" s="190"/>
      <c r="BG39" s="190"/>
      <c r="BH39" s="190"/>
      <c r="BI39" s="190"/>
      <c r="BJ39" s="190"/>
      <c r="BK39" s="190"/>
      <c r="BL39" s="190"/>
      <c r="BM39" s="190"/>
      <c r="BN39" s="190"/>
    </row>
    <row r="40" spans="1:66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69"/>
      <c r="AJ40" s="169"/>
      <c r="AK40" s="190"/>
      <c r="AL40" s="11"/>
      <c r="AM40" s="11"/>
      <c r="AN40" s="11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workbookViewId="0">
      <selection activeCell="G9" sqref="G9"/>
    </sheetView>
  </sheetViews>
  <sheetFormatPr defaultRowHeight="15"/>
  <cols>
    <col min="1" max="1" width="6" bestFit="1" customWidth="1"/>
    <col min="2" max="2" width="24.5703125" bestFit="1" customWidth="1"/>
    <col min="3" max="3" width="30.7109375" bestFit="1" customWidth="1"/>
    <col min="4" max="4" width="31.42578125" bestFit="1" customWidth="1"/>
    <col min="5" max="5" width="16.5703125" bestFit="1" customWidth="1"/>
    <col min="7" max="7" width="30.5703125" bestFit="1" customWidth="1"/>
    <col min="8" max="8" width="15" customWidth="1"/>
    <col min="10" max="10" width="42.5703125" bestFit="1" customWidth="1"/>
    <col min="11" max="11" width="14.7109375" bestFit="1" customWidth="1"/>
    <col min="12" max="12" width="11.42578125" bestFit="1" customWidth="1"/>
    <col min="13" max="13" width="41.42578125" customWidth="1"/>
    <col min="14" max="14" width="22" bestFit="1" customWidth="1"/>
  </cols>
  <sheetData>
    <row r="1" spans="1:14">
      <c r="A1" s="297" t="s">
        <v>127</v>
      </c>
      <c r="B1" s="302" t="s">
        <v>128</v>
      </c>
      <c r="C1" s="302" t="s">
        <v>129</v>
      </c>
      <c r="D1" s="302" t="s">
        <v>130</v>
      </c>
      <c r="E1" s="298" t="s">
        <v>131</v>
      </c>
    </row>
    <row r="2" spans="1:14">
      <c r="A2" s="285">
        <v>1</v>
      </c>
      <c r="B2" s="8" t="s">
        <v>132</v>
      </c>
      <c r="C2" s="8" t="s">
        <v>133</v>
      </c>
      <c r="D2" s="8" t="s">
        <v>134</v>
      </c>
      <c r="E2" s="295" t="s">
        <v>135</v>
      </c>
    </row>
    <row r="3" spans="1:14">
      <c r="A3" s="285">
        <v>2</v>
      </c>
      <c r="B3" s="8" t="s">
        <v>136</v>
      </c>
      <c r="C3" s="8" t="s">
        <v>137</v>
      </c>
      <c r="D3" s="8" t="s">
        <v>138</v>
      </c>
      <c r="E3" s="295" t="s">
        <v>135</v>
      </c>
    </row>
    <row r="4" spans="1:14">
      <c r="A4" s="285">
        <v>3</v>
      </c>
      <c r="B4" s="8" t="s">
        <v>139</v>
      </c>
      <c r="C4" s="8" t="s">
        <v>140</v>
      </c>
      <c r="D4" s="8" t="s">
        <v>141</v>
      </c>
      <c r="E4" s="295" t="s">
        <v>135</v>
      </c>
    </row>
    <row r="5" spans="1:14">
      <c r="A5" s="285">
        <v>4</v>
      </c>
      <c r="B5" s="8" t="s">
        <v>142</v>
      </c>
      <c r="C5" s="8" t="s">
        <v>140</v>
      </c>
      <c r="D5" s="8" t="s">
        <v>143</v>
      </c>
      <c r="E5" s="295" t="s">
        <v>135</v>
      </c>
    </row>
    <row r="6" spans="1:14">
      <c r="A6" s="285">
        <v>5</v>
      </c>
      <c r="B6" s="8" t="s">
        <v>144</v>
      </c>
      <c r="C6" s="8" t="s">
        <v>140</v>
      </c>
      <c r="D6" s="8" t="s">
        <v>145</v>
      </c>
      <c r="E6" s="295" t="s">
        <v>135</v>
      </c>
      <c r="G6" s="297"/>
      <c r="H6" s="298"/>
      <c r="J6" s="297"/>
      <c r="K6" s="298"/>
      <c r="M6" s="32"/>
      <c r="N6" s="294"/>
    </row>
    <row r="7" spans="1:14">
      <c r="A7" s="285">
        <v>6</v>
      </c>
      <c r="B7" s="8" t="s">
        <v>146</v>
      </c>
      <c r="C7" s="8" t="s">
        <v>140</v>
      </c>
      <c r="D7" s="8" t="s">
        <v>147</v>
      </c>
      <c r="E7" s="295" t="s">
        <v>135</v>
      </c>
      <c r="G7" s="296"/>
      <c r="H7" s="295"/>
      <c r="J7" s="296"/>
      <c r="K7" s="295"/>
      <c r="M7" s="8"/>
      <c r="N7" s="295"/>
    </row>
    <row r="8" spans="1:14">
      <c r="A8" s="285">
        <v>7</v>
      </c>
      <c r="B8" s="8" t="s">
        <v>148</v>
      </c>
      <c r="C8" s="8" t="s">
        <v>149</v>
      </c>
      <c r="D8" s="8" t="s">
        <v>150</v>
      </c>
      <c r="E8" s="295" t="s">
        <v>151</v>
      </c>
      <c r="G8" s="296"/>
      <c r="H8" s="295"/>
      <c r="J8" s="296"/>
      <c r="K8" s="295"/>
      <c r="M8" s="8"/>
      <c r="N8" s="295"/>
    </row>
    <row r="9" spans="1:14">
      <c r="A9" s="285">
        <v>8</v>
      </c>
      <c r="B9" s="8" t="s">
        <v>152</v>
      </c>
      <c r="C9" s="8" t="s">
        <v>153</v>
      </c>
      <c r="D9" s="8" t="s">
        <v>154</v>
      </c>
      <c r="E9" s="295" t="s">
        <v>135</v>
      </c>
      <c r="G9" s="296"/>
      <c r="H9" s="295"/>
      <c r="J9" s="296"/>
      <c r="K9" s="295"/>
      <c r="M9" s="8"/>
      <c r="N9" s="295"/>
    </row>
    <row r="10" spans="1:14">
      <c r="A10" s="285">
        <v>9</v>
      </c>
      <c r="B10" s="8" t="s">
        <v>155</v>
      </c>
      <c r="C10" s="8" t="s">
        <v>156</v>
      </c>
      <c r="D10" s="8" t="s">
        <v>157</v>
      </c>
      <c r="E10" s="295" t="s">
        <v>158</v>
      </c>
      <c r="G10" s="296"/>
      <c r="H10" s="295"/>
      <c r="J10" s="296"/>
      <c r="K10" s="295"/>
      <c r="M10" s="8"/>
      <c r="N10" s="295"/>
    </row>
    <row r="11" spans="1:14">
      <c r="A11" s="285">
        <v>10</v>
      </c>
      <c r="B11" s="8" t="s">
        <v>159</v>
      </c>
      <c r="C11" s="8" t="s">
        <v>149</v>
      </c>
      <c r="D11" s="8" t="s">
        <v>160</v>
      </c>
      <c r="E11" s="295" t="s">
        <v>135</v>
      </c>
      <c r="G11" s="296"/>
      <c r="H11" s="295"/>
      <c r="J11" s="296"/>
      <c r="K11" s="295"/>
      <c r="M11" s="8"/>
      <c r="N11" s="295"/>
    </row>
    <row r="12" spans="1:14">
      <c r="A12" s="285">
        <v>11</v>
      </c>
      <c r="B12" s="8" t="s">
        <v>161</v>
      </c>
      <c r="C12" s="8" t="s">
        <v>149</v>
      </c>
      <c r="D12" s="8" t="s">
        <v>162</v>
      </c>
      <c r="E12" s="295" t="s">
        <v>163</v>
      </c>
      <c r="G12" s="299"/>
      <c r="H12" s="300"/>
      <c r="J12" s="296"/>
      <c r="K12" s="295"/>
      <c r="M12" s="8"/>
      <c r="N12" s="295"/>
    </row>
    <row r="13" spans="1:14">
      <c r="A13" s="285">
        <v>12</v>
      </c>
      <c r="B13" s="8" t="s">
        <v>164</v>
      </c>
      <c r="C13" s="8" t="s">
        <v>165</v>
      </c>
      <c r="D13" s="8" t="s">
        <v>166</v>
      </c>
      <c r="E13" s="295" t="s">
        <v>135</v>
      </c>
      <c r="J13" s="296"/>
      <c r="K13" s="295"/>
      <c r="M13" s="8"/>
      <c r="N13" s="295"/>
    </row>
    <row r="14" spans="1:14">
      <c r="A14" s="285">
        <v>13</v>
      </c>
      <c r="B14" s="8" t="s">
        <v>167</v>
      </c>
      <c r="C14" s="8" t="s">
        <v>156</v>
      </c>
      <c r="D14" s="8" t="s">
        <v>157</v>
      </c>
      <c r="E14" s="295" t="s">
        <v>168</v>
      </c>
      <c r="J14" s="296"/>
      <c r="K14" s="295"/>
      <c r="M14" s="8"/>
      <c r="N14" s="295"/>
    </row>
    <row r="15" spans="1:14">
      <c r="A15" s="285">
        <v>14</v>
      </c>
      <c r="B15" s="8" t="s">
        <v>169</v>
      </c>
      <c r="C15" s="8" t="s">
        <v>156</v>
      </c>
      <c r="D15" s="8" t="s">
        <v>157</v>
      </c>
      <c r="E15" s="295" t="s">
        <v>163</v>
      </c>
      <c r="J15" s="296"/>
      <c r="K15" s="295"/>
      <c r="M15" s="8"/>
      <c r="N15" s="295"/>
    </row>
    <row r="16" spans="1:14">
      <c r="A16" s="285">
        <v>15</v>
      </c>
      <c r="B16" s="8" t="s">
        <v>170</v>
      </c>
      <c r="C16" s="8" t="s">
        <v>156</v>
      </c>
      <c r="D16" s="8" t="s">
        <v>171</v>
      </c>
      <c r="E16" s="295" t="s">
        <v>135</v>
      </c>
      <c r="J16" s="299"/>
      <c r="K16" s="300"/>
      <c r="M16" s="7"/>
      <c r="N16" s="295"/>
    </row>
    <row r="17" spans="1:14">
      <c r="A17" s="285">
        <v>16</v>
      </c>
      <c r="B17" s="8" t="s">
        <v>172</v>
      </c>
      <c r="C17" s="8" t="s">
        <v>156</v>
      </c>
      <c r="D17" s="8" t="s">
        <v>157</v>
      </c>
      <c r="E17" s="295" t="s">
        <v>173</v>
      </c>
      <c r="J17" s="8"/>
      <c r="K17" s="8"/>
      <c r="M17" s="8"/>
      <c r="N17" s="295"/>
    </row>
    <row r="18" spans="1:14">
      <c r="A18" s="285">
        <f>+A17+1</f>
        <v>17</v>
      </c>
      <c r="B18" s="8" t="s">
        <v>174</v>
      </c>
      <c r="C18" s="8" t="s">
        <v>140</v>
      </c>
      <c r="D18" s="8" t="s">
        <v>175</v>
      </c>
      <c r="E18" s="295" t="s">
        <v>135</v>
      </c>
      <c r="M18" s="8"/>
      <c r="N18" s="295"/>
    </row>
    <row r="19" spans="1:14">
      <c r="A19" s="314">
        <f>+A18+1</f>
        <v>18</v>
      </c>
      <c r="B19" s="308" t="s">
        <v>176</v>
      </c>
      <c r="C19" s="308" t="s">
        <v>140</v>
      </c>
      <c r="D19" s="308" t="s">
        <v>177</v>
      </c>
      <c r="E19" s="300" t="s">
        <v>135</v>
      </c>
      <c r="M19" s="8"/>
      <c r="N19" s="295"/>
    </row>
    <row r="20" spans="1:14">
      <c r="M20" s="8"/>
      <c r="N20" s="295"/>
    </row>
    <row r="21" spans="1:14">
      <c r="M21" s="8"/>
      <c r="N21" s="295"/>
    </row>
    <row r="22" spans="1:14">
      <c r="M22" s="8"/>
      <c r="N22" s="295"/>
    </row>
    <row r="23" spans="1:14">
      <c r="M23" s="8"/>
      <c r="N23" s="295"/>
    </row>
    <row r="24" spans="1:14">
      <c r="M24" s="8"/>
      <c r="N24" s="295"/>
    </row>
    <row r="25" spans="1:14">
      <c r="M25" s="8"/>
      <c r="N25" s="295"/>
    </row>
    <row r="26" spans="1:14">
      <c r="M26" s="8"/>
      <c r="N26" s="295"/>
    </row>
    <row r="27" spans="1:14">
      <c r="M27" s="7"/>
      <c r="N27" s="295"/>
    </row>
    <row r="28" spans="1:14">
      <c r="M28" s="7"/>
      <c r="N28" s="295"/>
    </row>
    <row r="29" spans="1:14">
      <c r="M29" s="8"/>
      <c r="N29" s="295"/>
    </row>
    <row r="30" spans="1:14">
      <c r="M30" s="7"/>
      <c r="N30" s="295"/>
    </row>
    <row r="31" spans="1:14">
      <c r="M31" s="8"/>
      <c r="N31" s="295"/>
    </row>
    <row r="32" spans="1:14">
      <c r="M32" s="8"/>
      <c r="N32" s="295"/>
    </row>
    <row r="33" spans="13:14">
      <c r="M33" s="8"/>
      <c r="N33" s="295"/>
    </row>
    <row r="34" spans="13:14">
      <c r="M34" s="8"/>
      <c r="N34" s="295"/>
    </row>
    <row r="35" spans="13:14">
      <c r="M35" s="8"/>
      <c r="N35" s="295"/>
    </row>
    <row r="36" spans="13:14">
      <c r="M36" s="8"/>
      <c r="N36" s="295"/>
    </row>
    <row r="37" spans="13:14">
      <c r="M37" s="8"/>
      <c r="N37" s="295"/>
    </row>
    <row r="38" spans="13:14">
      <c r="M38" s="8"/>
      <c r="N38" s="295"/>
    </row>
    <row r="39" spans="13:14">
      <c r="M39" s="8"/>
      <c r="N39" s="295"/>
    </row>
    <row r="40" spans="13:14">
      <c r="M40" s="8"/>
      <c r="N40" s="295"/>
    </row>
  </sheetData>
  <conditionalFormatting sqref="M24 M26">
    <cfRule type="duplicateValues" dxfId="114" priority="382"/>
  </conditionalFormatting>
  <conditionalFormatting sqref="M1:N5 M37:N1048576">
    <cfRule type="duplicateValues" dxfId="113" priority="9"/>
  </conditionalFormatting>
  <conditionalFormatting sqref="M1:N28 M37:N1048576">
    <cfRule type="duplicateValues" dxfId="112" priority="5"/>
  </conditionalFormatting>
  <conditionalFormatting sqref="M25:N25">
    <cfRule type="duplicateValues" dxfId="111" priority="6"/>
  </conditionalFormatting>
  <conditionalFormatting sqref="M29:N29">
    <cfRule type="duplicateValues" dxfId="110" priority="3"/>
    <cfRule type="duplicateValues" dxfId="109" priority="4"/>
  </conditionalFormatting>
  <conditionalFormatting sqref="M30:N30">
    <cfRule type="duplicateValues" dxfId="108" priority="1"/>
  </conditionalFormatting>
  <conditionalFormatting sqref="M6:N23 N24 N26:N28">
    <cfRule type="duplicateValues" dxfId="107" priority="384"/>
  </conditionalFormatting>
  <conditionalFormatting sqref="N30">
    <cfRule type="duplicateValues" dxfId="106" priority="2"/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4:J505"/>
  <sheetViews>
    <sheetView workbookViewId="0">
      <pane xSplit="5" ySplit="4" topLeftCell="F5" activePane="bottomRight" state="frozen"/>
      <selection pane="topRight" activeCell="B3" sqref="B3:I112"/>
      <selection pane="bottomLeft" activeCell="B3" sqref="B3:I112"/>
      <selection pane="bottomRight" activeCell="L9" sqref="L9"/>
    </sheetView>
  </sheetViews>
  <sheetFormatPr defaultRowHeight="15"/>
  <cols>
    <col min="2" max="2" width="9.85546875" bestFit="1" customWidth="1"/>
    <col min="3" max="3" width="30.140625" bestFit="1" customWidth="1"/>
    <col min="4" max="4" width="9.7109375" bestFit="1" customWidth="1"/>
    <col min="5" max="5" width="30.7109375" bestFit="1" customWidth="1"/>
    <col min="6" max="6" width="10.42578125" customWidth="1"/>
    <col min="7" max="7" width="8.5703125" customWidth="1"/>
    <col min="8" max="8" width="30.7109375" style="242" bestFit="1" customWidth="1"/>
    <col min="9" max="9" width="23.140625" bestFit="1" customWidth="1"/>
    <col min="10" max="10" width="12.42578125" bestFit="1" customWidth="1"/>
  </cols>
  <sheetData>
    <row r="4" spans="2:10">
      <c r="B4" s="297" t="s">
        <v>178</v>
      </c>
      <c r="C4" s="302" t="s">
        <v>179</v>
      </c>
      <c r="D4" s="302" t="s">
        <v>15</v>
      </c>
      <c r="E4" s="302" t="s">
        <v>180</v>
      </c>
      <c r="F4" s="303" t="s">
        <v>181</v>
      </c>
      <c r="G4" s="303" t="s">
        <v>182</v>
      </c>
      <c r="H4" s="303" t="s">
        <v>183</v>
      </c>
      <c r="I4" s="302" t="s">
        <v>184</v>
      </c>
      <c r="J4" s="302" t="s">
        <v>185</v>
      </c>
    </row>
    <row r="5" spans="2:10">
      <c r="B5" s="301" t="s">
        <v>186</v>
      </c>
      <c r="C5" s="204" t="s">
        <v>187</v>
      </c>
      <c r="D5" s="204" t="s">
        <v>55</v>
      </c>
      <c r="E5" s="222" t="s">
        <v>188</v>
      </c>
      <c r="F5" s="204" t="s">
        <v>189</v>
      </c>
      <c r="G5" s="204">
        <v>1</v>
      </c>
      <c r="H5" s="204"/>
      <c r="I5" s="222"/>
      <c r="J5" s="223"/>
    </row>
    <row r="6" spans="2:10">
      <c r="B6" s="301" t="s">
        <v>186</v>
      </c>
      <c r="C6" s="204" t="s">
        <v>187</v>
      </c>
      <c r="D6" s="204" t="s">
        <v>55</v>
      </c>
      <c r="E6" s="222" t="s">
        <v>190</v>
      </c>
      <c r="F6" s="204" t="s">
        <v>189</v>
      </c>
      <c r="G6" s="204">
        <v>1</v>
      </c>
      <c r="H6" s="204"/>
      <c r="I6" s="222"/>
      <c r="J6" s="223"/>
    </row>
    <row r="7" spans="2:10">
      <c r="B7" s="301" t="s">
        <v>186</v>
      </c>
      <c r="C7" s="204" t="s">
        <v>187</v>
      </c>
      <c r="D7" s="204" t="s">
        <v>55</v>
      </c>
      <c r="E7" s="222" t="s">
        <v>191</v>
      </c>
      <c r="F7" s="204" t="s">
        <v>192</v>
      </c>
      <c r="G7" s="204">
        <v>6</v>
      </c>
      <c r="H7" s="204"/>
      <c r="I7" s="222"/>
      <c r="J7" s="223"/>
    </row>
    <row r="8" spans="2:10">
      <c r="B8" s="301" t="s">
        <v>186</v>
      </c>
      <c r="C8" s="204" t="s">
        <v>187</v>
      </c>
      <c r="D8" s="204" t="s">
        <v>55</v>
      </c>
      <c r="E8" s="222" t="s">
        <v>193</v>
      </c>
      <c r="F8" s="204" t="s">
        <v>189</v>
      </c>
      <c r="G8" s="204">
        <v>1</v>
      </c>
      <c r="H8" s="204"/>
      <c r="I8" s="222"/>
      <c r="J8" s="223"/>
    </row>
    <row r="9" spans="2:10">
      <c r="B9" s="301" t="s">
        <v>186</v>
      </c>
      <c r="C9" s="204" t="s">
        <v>187</v>
      </c>
      <c r="D9" s="204" t="s">
        <v>55</v>
      </c>
      <c r="E9" s="222" t="s">
        <v>194</v>
      </c>
      <c r="F9" s="204" t="s">
        <v>189</v>
      </c>
      <c r="G9" s="204">
        <v>1</v>
      </c>
      <c r="H9" s="204"/>
      <c r="I9" s="222"/>
      <c r="J9" s="223"/>
    </row>
    <row r="10" spans="2:10">
      <c r="B10" s="301" t="s">
        <v>186</v>
      </c>
      <c r="C10" s="204" t="s">
        <v>187</v>
      </c>
      <c r="D10" s="204" t="s">
        <v>55</v>
      </c>
      <c r="E10" s="222" t="s">
        <v>195</v>
      </c>
      <c r="F10" s="204" t="s">
        <v>189</v>
      </c>
      <c r="G10" s="204">
        <v>1</v>
      </c>
      <c r="H10" s="204"/>
      <c r="I10" s="222"/>
      <c r="J10" s="223"/>
    </row>
    <row r="11" spans="2:10">
      <c r="B11" s="301" t="s">
        <v>186</v>
      </c>
      <c r="C11" s="204" t="s">
        <v>187</v>
      </c>
      <c r="D11" s="204" t="s">
        <v>55</v>
      </c>
      <c r="E11" s="222" t="s">
        <v>196</v>
      </c>
      <c r="F11" s="204" t="s">
        <v>192</v>
      </c>
      <c r="G11" s="204">
        <v>1</v>
      </c>
      <c r="H11" s="204"/>
      <c r="I11" s="222"/>
      <c r="J11" s="223"/>
    </row>
    <row r="12" spans="2:10">
      <c r="B12" s="301" t="s">
        <v>186</v>
      </c>
      <c r="C12" s="204" t="s">
        <v>187</v>
      </c>
      <c r="D12" s="204" t="s">
        <v>55</v>
      </c>
      <c r="E12" s="222" t="s">
        <v>197</v>
      </c>
      <c r="F12" s="204" t="s">
        <v>192</v>
      </c>
      <c r="G12" s="204">
        <v>2</v>
      </c>
      <c r="H12" s="204"/>
      <c r="I12" s="222"/>
      <c r="J12" s="223"/>
    </row>
    <row r="13" spans="2:10">
      <c r="B13" s="301" t="s">
        <v>186</v>
      </c>
      <c r="C13" s="204" t="s">
        <v>187</v>
      </c>
      <c r="D13" s="204" t="s">
        <v>55</v>
      </c>
      <c r="E13" s="222" t="s">
        <v>198</v>
      </c>
      <c r="F13" s="204" t="s">
        <v>199</v>
      </c>
      <c r="G13" s="204">
        <v>4</v>
      </c>
      <c r="H13" s="204"/>
      <c r="I13" s="222"/>
      <c r="J13" s="223"/>
    </row>
    <row r="14" spans="2:10">
      <c r="B14" s="301" t="s">
        <v>186</v>
      </c>
      <c r="C14" s="204" t="s">
        <v>187</v>
      </c>
      <c r="D14" s="204" t="s">
        <v>55</v>
      </c>
      <c r="E14" s="222" t="s">
        <v>200</v>
      </c>
      <c r="F14" s="204" t="s">
        <v>199</v>
      </c>
      <c r="G14" s="204">
        <v>4</v>
      </c>
      <c r="H14" s="204"/>
      <c r="I14" s="222"/>
      <c r="J14" s="223"/>
    </row>
    <row r="15" spans="2:10">
      <c r="B15" s="301" t="s">
        <v>186</v>
      </c>
      <c r="C15" s="204" t="s">
        <v>187</v>
      </c>
      <c r="D15" s="204" t="s">
        <v>55</v>
      </c>
      <c r="E15" s="222" t="s">
        <v>201</v>
      </c>
      <c r="F15" s="204" t="s">
        <v>189</v>
      </c>
      <c r="G15" s="204">
        <v>1</v>
      </c>
      <c r="H15" s="240" t="s">
        <v>202</v>
      </c>
      <c r="I15" s="222"/>
      <c r="J15" s="223"/>
    </row>
    <row r="16" spans="2:10">
      <c r="B16" s="301" t="s">
        <v>186</v>
      </c>
      <c r="C16" s="204" t="s">
        <v>187</v>
      </c>
      <c r="D16" s="204" t="s">
        <v>55</v>
      </c>
      <c r="E16" s="222" t="s">
        <v>203</v>
      </c>
      <c r="F16" s="204" t="s">
        <v>192</v>
      </c>
      <c r="G16" s="204">
        <v>1</v>
      </c>
      <c r="H16" s="204"/>
      <c r="I16" s="222"/>
      <c r="J16" s="223"/>
    </row>
    <row r="17" spans="2:10">
      <c r="B17" s="301" t="s">
        <v>186</v>
      </c>
      <c r="C17" s="204" t="s">
        <v>187</v>
      </c>
      <c r="D17" s="204" t="s">
        <v>55</v>
      </c>
      <c r="E17" s="222" t="s">
        <v>204</v>
      </c>
      <c r="F17" s="204" t="s">
        <v>192</v>
      </c>
      <c r="G17" s="204">
        <v>1</v>
      </c>
      <c r="H17" s="204"/>
      <c r="I17" s="222"/>
      <c r="J17" s="223"/>
    </row>
    <row r="18" spans="2:10">
      <c r="B18" s="301" t="s">
        <v>186</v>
      </c>
      <c r="C18" s="204" t="s">
        <v>187</v>
      </c>
      <c r="D18" s="204" t="s">
        <v>55</v>
      </c>
      <c r="E18" s="222" t="s">
        <v>205</v>
      </c>
      <c r="F18" s="204" t="s">
        <v>192</v>
      </c>
      <c r="G18" s="204">
        <v>1</v>
      </c>
      <c r="H18" s="204"/>
      <c r="I18" s="222"/>
      <c r="J18" s="223"/>
    </row>
    <row r="19" spans="2:10">
      <c r="B19" s="301" t="s">
        <v>186</v>
      </c>
      <c r="C19" s="204" t="s">
        <v>187</v>
      </c>
      <c r="D19" s="204" t="s">
        <v>55</v>
      </c>
      <c r="E19" s="222" t="s">
        <v>206</v>
      </c>
      <c r="F19" s="204" t="s">
        <v>192</v>
      </c>
      <c r="G19" s="204">
        <v>1</v>
      </c>
      <c r="H19" s="204"/>
      <c r="I19" s="222"/>
      <c r="J19" s="223"/>
    </row>
    <row r="20" spans="2:10">
      <c r="B20" s="301" t="s">
        <v>186</v>
      </c>
      <c r="C20" s="204" t="s">
        <v>187</v>
      </c>
      <c r="D20" s="204" t="s">
        <v>55</v>
      </c>
      <c r="E20" s="222" t="s">
        <v>207</v>
      </c>
      <c r="F20" s="204" t="s">
        <v>192</v>
      </c>
      <c r="G20" s="204">
        <v>1</v>
      </c>
      <c r="H20" s="204"/>
      <c r="I20" s="222"/>
      <c r="J20" s="223"/>
    </row>
    <row r="21" spans="2:10">
      <c r="B21" s="301" t="s">
        <v>186</v>
      </c>
      <c r="C21" s="204" t="s">
        <v>187</v>
      </c>
      <c r="D21" s="204" t="s">
        <v>55</v>
      </c>
      <c r="E21" s="222" t="s">
        <v>208</v>
      </c>
      <c r="F21" s="204" t="s">
        <v>192</v>
      </c>
      <c r="G21" s="204">
        <v>6</v>
      </c>
      <c r="H21" s="204"/>
      <c r="I21" s="222"/>
      <c r="J21" s="223"/>
    </row>
    <row r="22" spans="2:10">
      <c r="B22" s="301" t="s">
        <v>186</v>
      </c>
      <c r="C22" s="204" t="s">
        <v>187</v>
      </c>
      <c r="D22" s="204" t="s">
        <v>55</v>
      </c>
      <c r="E22" s="222" t="s">
        <v>209</v>
      </c>
      <c r="F22" s="204" t="s">
        <v>192</v>
      </c>
      <c r="G22" s="204">
        <v>5</v>
      </c>
      <c r="H22" s="204"/>
      <c r="I22" s="222"/>
      <c r="J22" s="223"/>
    </row>
    <row r="23" spans="2:10">
      <c r="B23" s="301" t="s">
        <v>186</v>
      </c>
      <c r="C23" s="204" t="s">
        <v>187</v>
      </c>
      <c r="D23" s="204" t="s">
        <v>55</v>
      </c>
      <c r="E23" s="222" t="s">
        <v>210</v>
      </c>
      <c r="F23" s="204" t="s">
        <v>192</v>
      </c>
      <c r="G23" s="204">
        <v>2</v>
      </c>
      <c r="H23" s="204"/>
      <c r="I23" s="222"/>
      <c r="J23" s="223"/>
    </row>
    <row r="24" spans="2:10">
      <c r="B24" s="301" t="s">
        <v>186</v>
      </c>
      <c r="C24" s="204" t="s">
        <v>187</v>
      </c>
      <c r="D24" s="204" t="s">
        <v>55</v>
      </c>
      <c r="E24" s="222" t="s">
        <v>211</v>
      </c>
      <c r="F24" s="204" t="s">
        <v>192</v>
      </c>
      <c r="G24" s="204">
        <v>1</v>
      </c>
      <c r="H24" s="204"/>
      <c r="I24" s="222"/>
      <c r="J24" s="223"/>
    </row>
    <row r="25" spans="2:10">
      <c r="B25" s="301" t="s">
        <v>186</v>
      </c>
      <c r="C25" s="204" t="s">
        <v>187</v>
      </c>
      <c r="D25" s="204" t="s">
        <v>55</v>
      </c>
      <c r="E25" s="222" t="s">
        <v>212</v>
      </c>
      <c r="F25" s="204" t="s">
        <v>192</v>
      </c>
      <c r="G25" s="204">
        <v>1</v>
      </c>
      <c r="H25" s="240" t="s">
        <v>213</v>
      </c>
      <c r="I25" s="222"/>
      <c r="J25" s="223"/>
    </row>
    <row r="26" spans="2:10" ht="30" customHeight="1">
      <c r="B26" s="301" t="s">
        <v>186</v>
      </c>
      <c r="C26" s="204" t="s">
        <v>187</v>
      </c>
      <c r="D26" s="204" t="s">
        <v>55</v>
      </c>
      <c r="E26" s="222" t="s">
        <v>214</v>
      </c>
      <c r="F26" s="204" t="s">
        <v>192</v>
      </c>
      <c r="G26" s="204">
        <v>2</v>
      </c>
      <c r="H26" s="241" t="s">
        <v>215</v>
      </c>
      <c r="I26" s="222"/>
      <c r="J26" s="223"/>
    </row>
    <row r="27" spans="2:10">
      <c r="B27" s="301" t="s">
        <v>186</v>
      </c>
      <c r="C27" s="204" t="s">
        <v>187</v>
      </c>
      <c r="D27" s="204" t="s">
        <v>55</v>
      </c>
      <c r="E27" s="222" t="s">
        <v>216</v>
      </c>
      <c r="F27" s="204" t="s">
        <v>192</v>
      </c>
      <c r="G27" s="204">
        <v>1</v>
      </c>
      <c r="H27" s="240" t="s">
        <v>217</v>
      </c>
      <c r="I27" s="222"/>
      <c r="J27" s="223"/>
    </row>
    <row r="28" spans="2:10">
      <c r="B28" s="301" t="s">
        <v>186</v>
      </c>
      <c r="C28" s="204" t="s">
        <v>187</v>
      </c>
      <c r="D28" s="204" t="s">
        <v>55</v>
      </c>
      <c r="E28" s="222" t="s">
        <v>218</v>
      </c>
      <c r="F28" s="204" t="s">
        <v>192</v>
      </c>
      <c r="G28" s="204">
        <v>1</v>
      </c>
      <c r="H28" s="204" t="s">
        <v>219</v>
      </c>
      <c r="I28" s="222"/>
      <c r="J28" s="223"/>
    </row>
    <row r="29" spans="2:10">
      <c r="B29" s="301" t="s">
        <v>186</v>
      </c>
      <c r="C29" s="204" t="s">
        <v>187</v>
      </c>
      <c r="D29" s="204" t="s">
        <v>55</v>
      </c>
      <c r="E29" s="222" t="s">
        <v>220</v>
      </c>
      <c r="F29" s="204" t="s">
        <v>192</v>
      </c>
      <c r="G29" s="204">
        <v>3</v>
      </c>
      <c r="H29" s="204"/>
      <c r="I29" s="222"/>
      <c r="J29" s="223"/>
    </row>
    <row r="30" spans="2:10">
      <c r="B30" s="301" t="s">
        <v>186</v>
      </c>
      <c r="C30" s="204" t="s">
        <v>187</v>
      </c>
      <c r="D30" s="204" t="s">
        <v>55</v>
      </c>
      <c r="E30" s="222" t="s">
        <v>221</v>
      </c>
      <c r="F30" s="204" t="s">
        <v>192</v>
      </c>
      <c r="G30" s="204">
        <v>2</v>
      </c>
      <c r="H30" s="204"/>
      <c r="I30" s="222"/>
      <c r="J30" s="223"/>
    </row>
    <row r="31" spans="2:10">
      <c r="B31" s="301" t="s">
        <v>186</v>
      </c>
      <c r="C31" s="204" t="s">
        <v>187</v>
      </c>
      <c r="D31" s="204" t="s">
        <v>55</v>
      </c>
      <c r="E31" s="222" t="s">
        <v>222</v>
      </c>
      <c r="F31" s="204" t="s">
        <v>192</v>
      </c>
      <c r="G31" s="204">
        <v>3</v>
      </c>
      <c r="H31" s="204"/>
      <c r="I31" s="222"/>
      <c r="J31" s="223"/>
    </row>
    <row r="32" spans="2:10">
      <c r="B32" s="301" t="s">
        <v>186</v>
      </c>
      <c r="C32" s="204" t="s">
        <v>187</v>
      </c>
      <c r="D32" s="204" t="s">
        <v>55</v>
      </c>
      <c r="E32" s="222" t="s">
        <v>223</v>
      </c>
      <c r="F32" s="204" t="s">
        <v>199</v>
      </c>
      <c r="G32" s="204">
        <v>3</v>
      </c>
      <c r="H32" s="204"/>
      <c r="I32" s="222"/>
      <c r="J32" s="223"/>
    </row>
    <row r="33" spans="2:10">
      <c r="B33" s="301" t="s">
        <v>186</v>
      </c>
      <c r="C33" s="204" t="s">
        <v>187</v>
      </c>
      <c r="D33" s="204" t="s">
        <v>55</v>
      </c>
      <c r="E33" s="222" t="s">
        <v>224</v>
      </c>
      <c r="F33" s="204" t="s">
        <v>199</v>
      </c>
      <c r="G33" s="204">
        <v>3</v>
      </c>
      <c r="H33" s="204"/>
      <c r="I33" s="222"/>
      <c r="J33" s="223"/>
    </row>
    <row r="34" spans="2:10">
      <c r="B34" s="301" t="s">
        <v>186</v>
      </c>
      <c r="C34" s="204" t="s">
        <v>187</v>
      </c>
      <c r="D34" s="204" t="s">
        <v>55</v>
      </c>
      <c r="E34" s="222" t="s">
        <v>225</v>
      </c>
      <c r="F34" s="204" t="s">
        <v>199</v>
      </c>
      <c r="G34" s="204">
        <v>3</v>
      </c>
      <c r="H34" s="204"/>
      <c r="I34" s="222"/>
      <c r="J34" s="223"/>
    </row>
    <row r="35" spans="2:10">
      <c r="B35" s="301" t="s">
        <v>186</v>
      </c>
      <c r="C35" s="204" t="s">
        <v>187</v>
      </c>
      <c r="D35" s="204" t="s">
        <v>55</v>
      </c>
      <c r="E35" s="222" t="s">
        <v>226</v>
      </c>
      <c r="F35" s="204" t="s">
        <v>199</v>
      </c>
      <c r="G35" s="204">
        <v>1</v>
      </c>
      <c r="H35" s="204"/>
      <c r="I35" s="222"/>
      <c r="J35" s="223"/>
    </row>
    <row r="36" spans="2:10">
      <c r="B36" s="301" t="s">
        <v>186</v>
      </c>
      <c r="C36" s="204" t="s">
        <v>187</v>
      </c>
      <c r="D36" s="204" t="s">
        <v>55</v>
      </c>
      <c r="E36" s="222" t="s">
        <v>227</v>
      </c>
      <c r="F36" s="204" t="s">
        <v>199</v>
      </c>
      <c r="G36" s="204">
        <v>1</v>
      </c>
      <c r="H36" s="204"/>
      <c r="I36" s="222"/>
      <c r="J36" s="223"/>
    </row>
    <row r="37" spans="2:10">
      <c r="B37" s="301" t="s">
        <v>186</v>
      </c>
      <c r="C37" s="204" t="s">
        <v>187</v>
      </c>
      <c r="D37" s="204" t="s">
        <v>55</v>
      </c>
      <c r="E37" s="222" t="s">
        <v>228</v>
      </c>
      <c r="F37" s="204" t="s">
        <v>199</v>
      </c>
      <c r="G37" s="204">
        <v>3</v>
      </c>
      <c r="H37" s="204"/>
      <c r="I37" s="222"/>
      <c r="J37" s="223"/>
    </row>
    <row r="38" spans="2:10">
      <c r="B38" s="301" t="s">
        <v>186</v>
      </c>
      <c r="C38" s="204" t="s">
        <v>187</v>
      </c>
      <c r="D38" s="204" t="s">
        <v>55</v>
      </c>
      <c r="E38" s="222" t="s">
        <v>229</v>
      </c>
      <c r="F38" s="204" t="s">
        <v>199</v>
      </c>
      <c r="G38" s="204">
        <v>5</v>
      </c>
      <c r="H38" s="204"/>
      <c r="I38" s="222"/>
      <c r="J38" s="223"/>
    </row>
    <row r="39" spans="2:10">
      <c r="B39" s="301" t="s">
        <v>186</v>
      </c>
      <c r="C39" s="204" t="s">
        <v>187</v>
      </c>
      <c r="D39" s="204" t="s">
        <v>55</v>
      </c>
      <c r="E39" s="222" t="s">
        <v>230</v>
      </c>
      <c r="F39" s="204" t="s">
        <v>199</v>
      </c>
      <c r="G39" s="204">
        <v>3</v>
      </c>
      <c r="H39" s="204"/>
      <c r="I39" s="222"/>
      <c r="J39" s="223"/>
    </row>
    <row r="40" spans="2:10">
      <c r="B40" s="301" t="s">
        <v>186</v>
      </c>
      <c r="C40" s="204" t="s">
        <v>187</v>
      </c>
      <c r="D40" s="204" t="s">
        <v>55</v>
      </c>
      <c r="E40" s="222" t="s">
        <v>231</v>
      </c>
      <c r="F40" s="204" t="s">
        <v>199</v>
      </c>
      <c r="G40" s="204">
        <v>8</v>
      </c>
      <c r="H40" s="204"/>
      <c r="I40" s="222"/>
      <c r="J40" s="223"/>
    </row>
    <row r="41" spans="2:10">
      <c r="B41" s="301" t="s">
        <v>186</v>
      </c>
      <c r="C41" s="204" t="s">
        <v>187</v>
      </c>
      <c r="D41" s="204" t="s">
        <v>55</v>
      </c>
      <c r="E41" s="222" t="s">
        <v>232</v>
      </c>
      <c r="F41" s="204" t="s">
        <v>189</v>
      </c>
      <c r="G41" s="204">
        <v>3</v>
      </c>
      <c r="H41" s="204"/>
      <c r="I41" s="222"/>
      <c r="J41" s="223"/>
    </row>
    <row r="42" spans="2:10">
      <c r="B42" s="301" t="s">
        <v>186</v>
      </c>
      <c r="C42" s="204" t="s">
        <v>187</v>
      </c>
      <c r="D42" s="204" t="s">
        <v>55</v>
      </c>
      <c r="E42" s="222" t="s">
        <v>233</v>
      </c>
      <c r="F42" s="204" t="s">
        <v>189</v>
      </c>
      <c r="G42" s="204">
        <v>5</v>
      </c>
      <c r="H42" s="204"/>
      <c r="I42" s="222"/>
      <c r="J42" s="223"/>
    </row>
    <row r="43" spans="2:10">
      <c r="B43" s="301" t="s">
        <v>186</v>
      </c>
      <c r="C43" s="204" t="s">
        <v>187</v>
      </c>
      <c r="D43" s="204" t="s">
        <v>55</v>
      </c>
      <c r="E43" s="222" t="s">
        <v>234</v>
      </c>
      <c r="F43" s="204" t="s">
        <v>189</v>
      </c>
      <c r="G43" s="204">
        <v>3</v>
      </c>
      <c r="H43" s="204"/>
      <c r="I43" s="222"/>
      <c r="J43" s="223"/>
    </row>
    <row r="44" spans="2:10">
      <c r="B44" s="301" t="s">
        <v>186</v>
      </c>
      <c r="C44" s="204" t="s">
        <v>187</v>
      </c>
      <c r="D44" s="204" t="s">
        <v>55</v>
      </c>
      <c r="E44" s="222" t="s">
        <v>235</v>
      </c>
      <c r="F44" s="204" t="s">
        <v>192</v>
      </c>
      <c r="G44" s="204">
        <v>20</v>
      </c>
      <c r="H44" s="204"/>
      <c r="I44" s="222"/>
      <c r="J44" s="223"/>
    </row>
    <row r="45" spans="2:10">
      <c r="B45" s="301" t="s">
        <v>186</v>
      </c>
      <c r="C45" s="204" t="s">
        <v>187</v>
      </c>
      <c r="D45" s="204" t="s">
        <v>55</v>
      </c>
      <c r="E45" s="222" t="s">
        <v>236</v>
      </c>
      <c r="F45" s="204" t="s">
        <v>199</v>
      </c>
      <c r="G45" s="204">
        <v>6</v>
      </c>
      <c r="H45" s="204"/>
      <c r="I45" s="222"/>
      <c r="J45" s="223"/>
    </row>
    <row r="46" spans="2:10">
      <c r="B46" s="301" t="s">
        <v>186</v>
      </c>
      <c r="C46" s="204" t="s">
        <v>187</v>
      </c>
      <c r="D46" s="204" t="s">
        <v>55</v>
      </c>
      <c r="E46" s="222" t="s">
        <v>237</v>
      </c>
      <c r="F46" s="204" t="s">
        <v>199</v>
      </c>
      <c r="G46" s="204">
        <v>3</v>
      </c>
      <c r="H46" s="204"/>
      <c r="I46" s="222"/>
      <c r="J46" s="223"/>
    </row>
    <row r="47" spans="2:10">
      <c r="B47" s="301" t="s">
        <v>186</v>
      </c>
      <c r="C47" s="204" t="s">
        <v>187</v>
      </c>
      <c r="D47" s="204" t="s">
        <v>55</v>
      </c>
      <c r="E47" s="222" t="s">
        <v>238</v>
      </c>
      <c r="F47" s="204" t="s">
        <v>199</v>
      </c>
      <c r="G47" s="204">
        <v>1</v>
      </c>
      <c r="H47" s="204"/>
      <c r="I47" s="222"/>
      <c r="J47" s="223"/>
    </row>
    <row r="48" spans="2:10">
      <c r="B48" s="301" t="s">
        <v>186</v>
      </c>
      <c r="C48" s="204" t="s">
        <v>187</v>
      </c>
      <c r="D48" s="204" t="s">
        <v>55</v>
      </c>
      <c r="E48" s="222" t="s">
        <v>239</v>
      </c>
      <c r="F48" s="204" t="s">
        <v>192</v>
      </c>
      <c r="G48" s="204">
        <v>1</v>
      </c>
      <c r="H48" s="204"/>
      <c r="I48" s="222"/>
      <c r="J48" s="223"/>
    </row>
    <row r="49" spans="2:10" ht="45" customHeight="1">
      <c r="B49" s="301" t="s">
        <v>240</v>
      </c>
      <c r="C49" s="204" t="s">
        <v>241</v>
      </c>
      <c r="D49" s="204" t="s">
        <v>55</v>
      </c>
      <c r="E49" s="222" t="s">
        <v>242</v>
      </c>
      <c r="F49" s="204" t="s">
        <v>192</v>
      </c>
      <c r="G49" s="204">
        <v>3</v>
      </c>
      <c r="H49" s="218" t="s">
        <v>243</v>
      </c>
      <c r="I49" s="222"/>
      <c r="J49" s="223"/>
    </row>
    <row r="50" spans="2:10" ht="75" customHeight="1">
      <c r="B50" s="301" t="s">
        <v>240</v>
      </c>
      <c r="C50" s="204" t="s">
        <v>241</v>
      </c>
      <c r="D50" s="204" t="s">
        <v>55</v>
      </c>
      <c r="E50" s="222" t="s">
        <v>244</v>
      </c>
      <c r="F50" s="204" t="s">
        <v>192</v>
      </c>
      <c r="G50" s="204">
        <v>5</v>
      </c>
      <c r="H50" s="218" t="s">
        <v>245</v>
      </c>
      <c r="I50" s="222"/>
      <c r="J50" s="223"/>
    </row>
    <row r="51" spans="2:10" ht="45" customHeight="1">
      <c r="B51" s="301" t="s">
        <v>240</v>
      </c>
      <c r="C51" s="204" t="s">
        <v>241</v>
      </c>
      <c r="D51" s="204" t="s">
        <v>55</v>
      </c>
      <c r="E51" s="222" t="s">
        <v>246</v>
      </c>
      <c r="F51" s="204" t="s">
        <v>192</v>
      </c>
      <c r="G51" s="204">
        <v>3</v>
      </c>
      <c r="H51" s="218" t="s">
        <v>247</v>
      </c>
      <c r="I51" s="222"/>
      <c r="J51" s="223"/>
    </row>
    <row r="52" spans="2:10" ht="45" customHeight="1">
      <c r="B52" s="301" t="s">
        <v>240</v>
      </c>
      <c r="C52" s="204" t="s">
        <v>241</v>
      </c>
      <c r="D52" s="204" t="s">
        <v>55</v>
      </c>
      <c r="E52" s="222" t="s">
        <v>248</v>
      </c>
      <c r="F52" s="204" t="s">
        <v>192</v>
      </c>
      <c r="G52" s="204">
        <v>3</v>
      </c>
      <c r="H52" s="218" t="s">
        <v>249</v>
      </c>
      <c r="I52" s="222"/>
      <c r="J52" s="223"/>
    </row>
    <row r="53" spans="2:10">
      <c r="B53" s="301" t="s">
        <v>240</v>
      </c>
      <c r="C53" s="204" t="s">
        <v>241</v>
      </c>
      <c r="D53" s="204" t="s">
        <v>55</v>
      </c>
      <c r="E53" s="222" t="s">
        <v>250</v>
      </c>
      <c r="F53" s="204" t="s">
        <v>192</v>
      </c>
      <c r="G53" s="204">
        <v>1</v>
      </c>
      <c r="H53" s="204" t="s">
        <v>251</v>
      </c>
      <c r="I53" s="222"/>
      <c r="J53" s="223"/>
    </row>
    <row r="54" spans="2:10" ht="30" customHeight="1">
      <c r="B54" s="301" t="s">
        <v>240</v>
      </c>
      <c r="C54" s="204" t="s">
        <v>241</v>
      </c>
      <c r="D54" s="204" t="s">
        <v>55</v>
      </c>
      <c r="E54" s="222" t="s">
        <v>252</v>
      </c>
      <c r="F54" s="204" t="s">
        <v>192</v>
      </c>
      <c r="G54" s="204">
        <v>2</v>
      </c>
      <c r="H54" s="218" t="s">
        <v>253</v>
      </c>
      <c r="I54" s="222"/>
      <c r="J54" s="223"/>
    </row>
    <row r="55" spans="2:10">
      <c r="B55" s="301" t="s">
        <v>240</v>
      </c>
      <c r="C55" s="204" t="s">
        <v>241</v>
      </c>
      <c r="D55" s="204" t="s">
        <v>55</v>
      </c>
      <c r="E55" s="222" t="s">
        <v>254</v>
      </c>
      <c r="F55" s="204" t="s">
        <v>192</v>
      </c>
      <c r="G55" s="204">
        <v>1</v>
      </c>
      <c r="H55" s="204" t="s">
        <v>255</v>
      </c>
      <c r="I55" s="222"/>
      <c r="J55" s="223"/>
    </row>
    <row r="56" spans="2:10">
      <c r="B56" s="301" t="s">
        <v>240</v>
      </c>
      <c r="C56" s="204" t="s">
        <v>241</v>
      </c>
      <c r="D56" s="204" t="s">
        <v>55</v>
      </c>
      <c r="E56" s="222" t="s">
        <v>256</v>
      </c>
      <c r="F56" s="204" t="s">
        <v>192</v>
      </c>
      <c r="G56" s="204">
        <v>1</v>
      </c>
      <c r="H56" s="204" t="s">
        <v>257</v>
      </c>
      <c r="I56" s="222"/>
      <c r="J56" s="223"/>
    </row>
    <row r="57" spans="2:10">
      <c r="B57" s="301" t="s">
        <v>240</v>
      </c>
      <c r="C57" s="204" t="s">
        <v>241</v>
      </c>
      <c r="D57" s="204" t="s">
        <v>55</v>
      </c>
      <c r="E57" s="222" t="s">
        <v>258</v>
      </c>
      <c r="F57" s="204" t="s">
        <v>192</v>
      </c>
      <c r="G57" s="204">
        <v>1</v>
      </c>
      <c r="H57" s="204" t="s">
        <v>259</v>
      </c>
      <c r="I57" s="222"/>
      <c r="J57" s="223"/>
    </row>
    <row r="58" spans="2:10">
      <c r="B58" s="301" t="s">
        <v>240</v>
      </c>
      <c r="C58" s="204" t="s">
        <v>241</v>
      </c>
      <c r="D58" s="204" t="s">
        <v>55</v>
      </c>
      <c r="E58" s="222" t="s">
        <v>260</v>
      </c>
      <c r="F58" s="204" t="s">
        <v>192</v>
      </c>
      <c r="G58" s="204">
        <v>1</v>
      </c>
      <c r="H58" s="204" t="s">
        <v>261</v>
      </c>
      <c r="I58" s="222"/>
      <c r="J58" s="223"/>
    </row>
    <row r="59" spans="2:10">
      <c r="B59" s="301" t="s">
        <v>240</v>
      </c>
      <c r="C59" s="204" t="s">
        <v>241</v>
      </c>
      <c r="D59" s="204" t="s">
        <v>55</v>
      </c>
      <c r="E59" s="222" t="s">
        <v>262</v>
      </c>
      <c r="F59" s="204" t="s">
        <v>192</v>
      </c>
      <c r="G59" s="204">
        <v>1</v>
      </c>
      <c r="H59" s="204" t="s">
        <v>263</v>
      </c>
      <c r="I59" s="222"/>
      <c r="J59" s="223"/>
    </row>
    <row r="60" spans="2:10">
      <c r="B60" s="301" t="s">
        <v>240</v>
      </c>
      <c r="C60" s="204" t="s">
        <v>241</v>
      </c>
      <c r="D60" s="204" t="s">
        <v>55</v>
      </c>
      <c r="E60" s="222" t="s">
        <v>264</v>
      </c>
      <c r="F60" s="204" t="s">
        <v>192</v>
      </c>
      <c r="G60" s="204">
        <v>1</v>
      </c>
      <c r="H60" s="204" t="s">
        <v>265</v>
      </c>
      <c r="I60" s="222"/>
      <c r="J60" s="223"/>
    </row>
    <row r="61" spans="2:10">
      <c r="B61" s="301" t="s">
        <v>240</v>
      </c>
      <c r="C61" s="204" t="s">
        <v>241</v>
      </c>
      <c r="D61" s="204" t="s">
        <v>55</v>
      </c>
      <c r="E61" s="222" t="s">
        <v>266</v>
      </c>
      <c r="F61" s="204" t="s">
        <v>192</v>
      </c>
      <c r="G61" s="204">
        <v>4</v>
      </c>
      <c r="H61" s="204"/>
      <c r="I61" s="222"/>
      <c r="J61" s="223"/>
    </row>
    <row r="62" spans="2:10">
      <c r="B62" s="301" t="s">
        <v>240</v>
      </c>
      <c r="C62" s="204" t="s">
        <v>241</v>
      </c>
      <c r="D62" s="204" t="s">
        <v>55</v>
      </c>
      <c r="E62" s="222" t="s">
        <v>267</v>
      </c>
      <c r="F62" s="204" t="s">
        <v>192</v>
      </c>
      <c r="G62" s="204">
        <v>1</v>
      </c>
      <c r="H62" s="204" t="s">
        <v>268</v>
      </c>
      <c r="I62" s="222"/>
      <c r="J62" s="223"/>
    </row>
    <row r="63" spans="2:10">
      <c r="B63" s="301" t="s">
        <v>240</v>
      </c>
      <c r="C63" s="204" t="s">
        <v>241</v>
      </c>
      <c r="D63" s="204" t="s">
        <v>55</v>
      </c>
      <c r="E63" s="222" t="s">
        <v>269</v>
      </c>
      <c r="F63" s="204" t="s">
        <v>192</v>
      </c>
      <c r="G63" s="204">
        <v>12</v>
      </c>
      <c r="H63" s="204"/>
      <c r="I63" s="222"/>
      <c r="J63" s="223"/>
    </row>
    <row r="64" spans="2:10">
      <c r="B64" s="301" t="s">
        <v>240</v>
      </c>
      <c r="C64" s="204" t="s">
        <v>241</v>
      </c>
      <c r="D64" s="204" t="s">
        <v>55</v>
      </c>
      <c r="E64" s="222" t="s">
        <v>270</v>
      </c>
      <c r="F64" s="204" t="s">
        <v>192</v>
      </c>
      <c r="G64" s="204">
        <v>1</v>
      </c>
      <c r="H64" s="204" t="s">
        <v>271</v>
      </c>
      <c r="I64" s="222"/>
      <c r="J64" s="223"/>
    </row>
    <row r="65" spans="2:10">
      <c r="B65" s="301" t="s">
        <v>240</v>
      </c>
      <c r="C65" s="204" t="s">
        <v>241</v>
      </c>
      <c r="D65" s="204" t="s">
        <v>55</v>
      </c>
      <c r="E65" s="222" t="s">
        <v>272</v>
      </c>
      <c r="F65" s="204" t="s">
        <v>192</v>
      </c>
      <c r="G65" s="204">
        <v>1</v>
      </c>
      <c r="H65" s="204" t="s">
        <v>271</v>
      </c>
      <c r="I65" s="222"/>
      <c r="J65" s="223"/>
    </row>
    <row r="66" spans="2:10">
      <c r="B66" s="301" t="s">
        <v>240</v>
      </c>
      <c r="C66" s="204" t="s">
        <v>241</v>
      </c>
      <c r="D66" s="204" t="s">
        <v>55</v>
      </c>
      <c r="E66" s="222" t="s">
        <v>273</v>
      </c>
      <c r="F66" s="204" t="s">
        <v>192</v>
      </c>
      <c r="G66" s="204">
        <v>1</v>
      </c>
      <c r="H66" s="204" t="s">
        <v>271</v>
      </c>
      <c r="I66" s="222"/>
      <c r="J66" s="223"/>
    </row>
    <row r="67" spans="2:10">
      <c r="B67" s="301" t="s">
        <v>240</v>
      </c>
      <c r="C67" s="204" t="s">
        <v>241</v>
      </c>
      <c r="D67" s="204" t="s">
        <v>55</v>
      </c>
      <c r="E67" s="222" t="s">
        <v>205</v>
      </c>
      <c r="F67" s="204" t="s">
        <v>192</v>
      </c>
      <c r="G67" s="204">
        <v>1</v>
      </c>
      <c r="H67" s="204" t="s">
        <v>271</v>
      </c>
      <c r="I67" s="222"/>
      <c r="J67" s="223"/>
    </row>
    <row r="68" spans="2:10">
      <c r="B68" s="301" t="s">
        <v>240</v>
      </c>
      <c r="C68" s="204" t="s">
        <v>241</v>
      </c>
      <c r="D68" s="204" t="s">
        <v>55</v>
      </c>
      <c r="E68" s="222" t="s">
        <v>274</v>
      </c>
      <c r="F68" s="204" t="s">
        <v>192</v>
      </c>
      <c r="G68" s="204">
        <v>1</v>
      </c>
      <c r="H68" s="204" t="s">
        <v>271</v>
      </c>
      <c r="I68" s="222"/>
      <c r="J68" s="223"/>
    </row>
    <row r="69" spans="2:10">
      <c r="B69" s="301" t="s">
        <v>240</v>
      </c>
      <c r="C69" s="204" t="s">
        <v>241</v>
      </c>
      <c r="D69" s="204" t="s">
        <v>55</v>
      </c>
      <c r="E69" s="222" t="s">
        <v>275</v>
      </c>
      <c r="F69" s="204" t="s">
        <v>192</v>
      </c>
      <c r="G69" s="204">
        <v>2</v>
      </c>
      <c r="H69" s="204" t="s">
        <v>276</v>
      </c>
      <c r="I69" s="222"/>
      <c r="J69" s="223"/>
    </row>
    <row r="70" spans="2:10" ht="60" customHeight="1">
      <c r="B70" s="301" t="s">
        <v>240</v>
      </c>
      <c r="C70" s="204" t="s">
        <v>241</v>
      </c>
      <c r="D70" s="204" t="s">
        <v>55</v>
      </c>
      <c r="E70" s="222" t="s">
        <v>277</v>
      </c>
      <c r="F70" s="204" t="s">
        <v>192</v>
      </c>
      <c r="G70" s="204">
        <v>4</v>
      </c>
      <c r="H70" s="218" t="s">
        <v>278</v>
      </c>
      <c r="I70" s="222"/>
      <c r="J70" s="223"/>
    </row>
    <row r="71" spans="2:10">
      <c r="B71" s="301" t="s">
        <v>240</v>
      </c>
      <c r="C71" s="204" t="s">
        <v>241</v>
      </c>
      <c r="D71" s="204" t="s">
        <v>55</v>
      </c>
      <c r="E71" s="222" t="s">
        <v>279</v>
      </c>
      <c r="F71" s="204" t="s">
        <v>192</v>
      </c>
      <c r="G71" s="204">
        <v>1</v>
      </c>
      <c r="H71" s="204" t="s">
        <v>271</v>
      </c>
      <c r="I71" s="222"/>
      <c r="J71" s="223"/>
    </row>
    <row r="72" spans="2:10">
      <c r="B72" s="301" t="s">
        <v>240</v>
      </c>
      <c r="C72" s="204" t="s">
        <v>241</v>
      </c>
      <c r="D72" s="204" t="s">
        <v>55</v>
      </c>
      <c r="E72" s="222" t="s">
        <v>280</v>
      </c>
      <c r="F72" s="204" t="s">
        <v>189</v>
      </c>
      <c r="G72" s="204">
        <v>1</v>
      </c>
      <c r="H72" s="204" t="s">
        <v>281</v>
      </c>
      <c r="I72" s="222"/>
      <c r="J72" s="223"/>
    </row>
    <row r="73" spans="2:10">
      <c r="B73" s="301" t="s">
        <v>240</v>
      </c>
      <c r="C73" s="204" t="s">
        <v>241</v>
      </c>
      <c r="D73" s="204" t="s">
        <v>55</v>
      </c>
      <c r="E73" s="222" t="s">
        <v>282</v>
      </c>
      <c r="F73" s="204" t="s">
        <v>189</v>
      </c>
      <c r="G73" s="204">
        <v>1</v>
      </c>
      <c r="H73" s="204" t="s">
        <v>283</v>
      </c>
      <c r="I73" s="222"/>
      <c r="J73" s="223"/>
    </row>
    <row r="74" spans="2:10">
      <c r="B74" s="301" t="s">
        <v>240</v>
      </c>
      <c r="C74" s="204" t="s">
        <v>241</v>
      </c>
      <c r="D74" s="204" t="s">
        <v>55</v>
      </c>
      <c r="E74" s="222" t="s">
        <v>284</v>
      </c>
      <c r="F74" s="204" t="s">
        <v>199</v>
      </c>
      <c r="G74" s="204">
        <v>8</v>
      </c>
      <c r="H74" s="204"/>
      <c r="I74" s="222"/>
      <c r="J74" s="223"/>
    </row>
    <row r="75" spans="2:10">
      <c r="B75" s="301" t="s">
        <v>240</v>
      </c>
      <c r="C75" s="204" t="s">
        <v>241</v>
      </c>
      <c r="D75" s="204" t="s">
        <v>55</v>
      </c>
      <c r="E75" s="222" t="s">
        <v>285</v>
      </c>
      <c r="F75" s="204" t="s">
        <v>192</v>
      </c>
      <c r="G75" s="204">
        <v>18</v>
      </c>
      <c r="H75" s="204"/>
      <c r="I75" s="222"/>
      <c r="J75" s="223"/>
    </row>
    <row r="76" spans="2:10">
      <c r="B76" s="301" t="s">
        <v>240</v>
      </c>
      <c r="C76" s="204" t="s">
        <v>241</v>
      </c>
      <c r="D76" s="204" t="s">
        <v>55</v>
      </c>
      <c r="E76" s="222" t="s">
        <v>286</v>
      </c>
      <c r="F76" s="204" t="s">
        <v>199</v>
      </c>
      <c r="G76" s="204">
        <v>8</v>
      </c>
      <c r="H76" s="204"/>
      <c r="I76" s="222"/>
      <c r="J76" s="223"/>
    </row>
    <row r="77" spans="2:10" ht="45" customHeight="1">
      <c r="B77" s="301" t="s">
        <v>287</v>
      </c>
      <c r="C77" s="204" t="s">
        <v>288</v>
      </c>
      <c r="D77" s="204" t="s">
        <v>68</v>
      </c>
      <c r="E77" s="222" t="s">
        <v>242</v>
      </c>
      <c r="F77" s="204" t="s">
        <v>192</v>
      </c>
      <c r="G77" s="204">
        <v>3</v>
      </c>
      <c r="H77" s="218" t="s">
        <v>289</v>
      </c>
      <c r="I77" s="222"/>
      <c r="J77" s="223">
        <v>46196</v>
      </c>
    </row>
    <row r="78" spans="2:10">
      <c r="B78" s="301" t="s">
        <v>287</v>
      </c>
      <c r="C78" s="204" t="s">
        <v>288</v>
      </c>
      <c r="D78" s="204" t="s">
        <v>68</v>
      </c>
      <c r="E78" s="222" t="s">
        <v>290</v>
      </c>
      <c r="F78" s="204" t="s">
        <v>199</v>
      </c>
      <c r="G78" s="204">
        <v>10</v>
      </c>
      <c r="H78" s="204"/>
      <c r="I78" s="222"/>
      <c r="J78" s="223">
        <v>46196</v>
      </c>
    </row>
    <row r="79" spans="2:10">
      <c r="B79" s="301" t="s">
        <v>287</v>
      </c>
      <c r="C79" s="204" t="s">
        <v>288</v>
      </c>
      <c r="D79" s="204" t="s">
        <v>68</v>
      </c>
      <c r="E79" s="222" t="s">
        <v>291</v>
      </c>
      <c r="F79" s="204" t="s">
        <v>192</v>
      </c>
      <c r="G79" s="204">
        <v>1</v>
      </c>
      <c r="H79" s="204" t="s">
        <v>292</v>
      </c>
      <c r="I79" s="222"/>
      <c r="J79" s="223">
        <v>46196</v>
      </c>
    </row>
    <row r="80" spans="2:10">
      <c r="B80" s="301" t="s">
        <v>287</v>
      </c>
      <c r="C80" s="204" t="s">
        <v>288</v>
      </c>
      <c r="D80" s="204" t="s">
        <v>68</v>
      </c>
      <c r="E80" s="222" t="s">
        <v>293</v>
      </c>
      <c r="F80" s="204" t="s">
        <v>192</v>
      </c>
      <c r="G80" s="204">
        <v>1</v>
      </c>
      <c r="H80" s="240" t="s">
        <v>294</v>
      </c>
      <c r="I80" s="222"/>
      <c r="J80" s="223">
        <v>46196</v>
      </c>
    </row>
    <row r="81" spans="2:10">
      <c r="B81" s="301" t="s">
        <v>287</v>
      </c>
      <c r="C81" s="204" t="s">
        <v>288</v>
      </c>
      <c r="D81" s="204" t="s">
        <v>68</v>
      </c>
      <c r="E81" s="222" t="s">
        <v>295</v>
      </c>
      <c r="F81" s="204" t="s">
        <v>296</v>
      </c>
      <c r="G81" s="204">
        <v>1</v>
      </c>
      <c r="H81" s="218"/>
      <c r="I81" s="222"/>
      <c r="J81" s="223">
        <v>46196</v>
      </c>
    </row>
    <row r="82" spans="2:10">
      <c r="B82" s="301" t="s">
        <v>287</v>
      </c>
      <c r="C82" s="204" t="s">
        <v>288</v>
      </c>
      <c r="D82" s="204" t="s">
        <v>68</v>
      </c>
      <c r="E82" s="222" t="s">
        <v>297</v>
      </c>
      <c r="F82" s="204" t="s">
        <v>296</v>
      </c>
      <c r="G82" s="204">
        <v>1</v>
      </c>
      <c r="H82" s="204"/>
      <c r="I82" s="222"/>
      <c r="J82" s="223">
        <v>46196</v>
      </c>
    </row>
    <row r="83" spans="2:10">
      <c r="B83" s="301" t="s">
        <v>287</v>
      </c>
      <c r="C83" s="204" t="s">
        <v>288</v>
      </c>
      <c r="D83" s="204" t="s">
        <v>68</v>
      </c>
      <c r="E83" s="222" t="s">
        <v>298</v>
      </c>
      <c r="F83" s="204" t="s">
        <v>199</v>
      </c>
      <c r="G83" s="204">
        <v>2</v>
      </c>
      <c r="H83" s="204"/>
      <c r="I83" s="222"/>
      <c r="J83" s="223">
        <v>46196</v>
      </c>
    </row>
    <row r="84" spans="2:10">
      <c r="B84" s="301" t="s">
        <v>287</v>
      </c>
      <c r="C84" s="204" t="s">
        <v>288</v>
      </c>
      <c r="D84" s="204" t="s">
        <v>68</v>
      </c>
      <c r="E84" s="222" t="s">
        <v>235</v>
      </c>
      <c r="F84" s="204" t="s">
        <v>192</v>
      </c>
      <c r="G84" s="204">
        <v>18</v>
      </c>
      <c r="H84" s="204"/>
      <c r="I84" s="222"/>
      <c r="J84" s="223">
        <v>46196</v>
      </c>
    </row>
    <row r="85" spans="2:10" ht="45" customHeight="1">
      <c r="B85" s="301" t="s">
        <v>287</v>
      </c>
      <c r="C85" s="204" t="s">
        <v>288</v>
      </c>
      <c r="D85" s="204" t="s">
        <v>68</v>
      </c>
      <c r="E85" s="222" t="s">
        <v>299</v>
      </c>
      <c r="F85" s="204" t="s">
        <v>192</v>
      </c>
      <c r="G85" s="204">
        <v>3</v>
      </c>
      <c r="H85" s="218" t="s">
        <v>300</v>
      </c>
      <c r="I85" s="222"/>
      <c r="J85" s="223">
        <v>46196</v>
      </c>
    </row>
    <row r="86" spans="2:10" ht="30" customHeight="1">
      <c r="B86" s="301" t="s">
        <v>287</v>
      </c>
      <c r="C86" s="204" t="s">
        <v>288</v>
      </c>
      <c r="D86" s="204" t="s">
        <v>68</v>
      </c>
      <c r="E86" s="222" t="s">
        <v>301</v>
      </c>
      <c r="F86" s="204" t="s">
        <v>192</v>
      </c>
      <c r="G86" s="204">
        <v>2</v>
      </c>
      <c r="H86" s="218" t="s">
        <v>302</v>
      </c>
      <c r="I86" s="222"/>
      <c r="J86" s="223">
        <v>46196</v>
      </c>
    </row>
    <row r="87" spans="2:10">
      <c r="B87" s="301" t="s">
        <v>287</v>
      </c>
      <c r="C87" s="204" t="s">
        <v>288</v>
      </c>
      <c r="D87" s="204" t="s">
        <v>68</v>
      </c>
      <c r="E87" s="222" t="s">
        <v>303</v>
      </c>
      <c r="F87" s="204" t="s">
        <v>199</v>
      </c>
      <c r="G87" s="204">
        <v>3</v>
      </c>
      <c r="H87" s="204"/>
      <c r="I87" s="222"/>
      <c r="J87" s="223">
        <v>46196</v>
      </c>
    </row>
    <row r="88" spans="2:10">
      <c r="B88" s="301" t="s">
        <v>287</v>
      </c>
      <c r="C88" s="204" t="s">
        <v>288</v>
      </c>
      <c r="D88" s="204" t="s">
        <v>68</v>
      </c>
      <c r="E88" s="222" t="s">
        <v>304</v>
      </c>
      <c r="F88" s="204" t="s">
        <v>199</v>
      </c>
      <c r="G88" s="204">
        <v>1</v>
      </c>
      <c r="H88" s="204"/>
      <c r="I88" s="222"/>
      <c r="J88" s="223">
        <v>46196</v>
      </c>
    </row>
    <row r="89" spans="2:10">
      <c r="B89" s="301" t="s">
        <v>287</v>
      </c>
      <c r="C89" s="204" t="s">
        <v>288</v>
      </c>
      <c r="D89" s="204" t="s">
        <v>68</v>
      </c>
      <c r="E89" s="222" t="s">
        <v>188</v>
      </c>
      <c r="F89" s="204" t="s">
        <v>296</v>
      </c>
      <c r="G89" s="204">
        <v>1</v>
      </c>
      <c r="H89" s="204"/>
      <c r="I89" s="222" t="s">
        <v>305</v>
      </c>
      <c r="J89" s="223">
        <v>46196</v>
      </c>
    </row>
    <row r="90" spans="2:10">
      <c r="B90" s="301" t="s">
        <v>287</v>
      </c>
      <c r="C90" s="204" t="s">
        <v>288</v>
      </c>
      <c r="D90" s="204" t="s">
        <v>68</v>
      </c>
      <c r="E90" s="222" t="s">
        <v>306</v>
      </c>
      <c r="F90" s="204" t="s">
        <v>192</v>
      </c>
      <c r="G90" s="204">
        <v>1</v>
      </c>
      <c r="H90" s="204"/>
      <c r="I90" s="222" t="s">
        <v>307</v>
      </c>
      <c r="J90" s="223">
        <v>46196</v>
      </c>
    </row>
    <row r="91" spans="2:10">
      <c r="B91" s="301" t="s">
        <v>287</v>
      </c>
      <c r="C91" s="204" t="s">
        <v>288</v>
      </c>
      <c r="D91" s="204" t="s">
        <v>68</v>
      </c>
      <c r="E91" s="222" t="s">
        <v>308</v>
      </c>
      <c r="F91" s="204" t="s">
        <v>192</v>
      </c>
      <c r="G91" s="204">
        <v>4</v>
      </c>
      <c r="H91" s="204"/>
      <c r="I91" s="222"/>
      <c r="J91" s="223">
        <v>46196</v>
      </c>
    </row>
    <row r="92" spans="2:10">
      <c r="B92" s="301" t="s">
        <v>287</v>
      </c>
      <c r="C92" s="204" t="s">
        <v>288</v>
      </c>
      <c r="D92" s="204" t="s">
        <v>68</v>
      </c>
      <c r="E92" s="222" t="s">
        <v>309</v>
      </c>
      <c r="F92" s="204" t="s">
        <v>192</v>
      </c>
      <c r="G92" s="204">
        <v>1</v>
      </c>
      <c r="H92" s="204"/>
      <c r="I92" s="222"/>
      <c r="J92" s="223">
        <v>46196</v>
      </c>
    </row>
    <row r="93" spans="2:10">
      <c r="B93" s="301" t="s">
        <v>287</v>
      </c>
      <c r="C93" s="204" t="s">
        <v>288</v>
      </c>
      <c r="D93" s="204" t="s">
        <v>68</v>
      </c>
      <c r="E93" s="222" t="s">
        <v>310</v>
      </c>
      <c r="F93" s="204" t="s">
        <v>192</v>
      </c>
      <c r="G93" s="204">
        <v>1</v>
      </c>
      <c r="H93" s="204"/>
      <c r="I93" s="222"/>
      <c r="J93" s="223">
        <v>46196</v>
      </c>
    </row>
    <row r="94" spans="2:10">
      <c r="B94" s="301" t="s">
        <v>287</v>
      </c>
      <c r="C94" s="204" t="s">
        <v>288</v>
      </c>
      <c r="D94" s="204" t="s">
        <v>68</v>
      </c>
      <c r="E94" s="222" t="s">
        <v>311</v>
      </c>
      <c r="F94" s="204" t="s">
        <v>192</v>
      </c>
      <c r="G94" s="204">
        <v>1</v>
      </c>
      <c r="H94" s="204"/>
      <c r="I94" s="222"/>
      <c r="J94" s="223">
        <v>46196</v>
      </c>
    </row>
    <row r="95" spans="2:10">
      <c r="B95" s="301" t="s">
        <v>287</v>
      </c>
      <c r="C95" s="204" t="s">
        <v>288</v>
      </c>
      <c r="D95" s="204" t="s">
        <v>68</v>
      </c>
      <c r="E95" s="222" t="s">
        <v>312</v>
      </c>
      <c r="F95" s="204" t="s">
        <v>192</v>
      </c>
      <c r="G95" s="204">
        <v>1</v>
      </c>
      <c r="H95" s="204"/>
      <c r="I95" s="222"/>
      <c r="J95" s="223">
        <v>46196</v>
      </c>
    </row>
    <row r="96" spans="2:10">
      <c r="B96" s="301" t="s">
        <v>287</v>
      </c>
      <c r="C96" s="204" t="s">
        <v>288</v>
      </c>
      <c r="D96" s="204" t="s">
        <v>68</v>
      </c>
      <c r="E96" s="222" t="s">
        <v>313</v>
      </c>
      <c r="F96" s="204" t="s">
        <v>192</v>
      </c>
      <c r="G96" s="204">
        <v>1</v>
      </c>
      <c r="H96" s="204"/>
      <c r="I96" s="222"/>
      <c r="J96" s="223">
        <v>46196</v>
      </c>
    </row>
    <row r="97" spans="2:10">
      <c r="B97" s="301" t="s">
        <v>287</v>
      </c>
      <c r="C97" s="204" t="s">
        <v>288</v>
      </c>
      <c r="D97" s="204" t="s">
        <v>55</v>
      </c>
      <c r="E97" s="222" t="s">
        <v>306</v>
      </c>
      <c r="F97" s="204" t="s">
        <v>296</v>
      </c>
      <c r="G97" s="204">
        <v>1</v>
      </c>
      <c r="H97" s="204"/>
      <c r="I97" s="222" t="s">
        <v>314</v>
      </c>
      <c r="J97" s="223">
        <v>46199</v>
      </c>
    </row>
    <row r="98" spans="2:10">
      <c r="B98" s="301" t="s">
        <v>287</v>
      </c>
      <c r="C98" s="204" t="s">
        <v>288</v>
      </c>
      <c r="D98" s="204" t="s">
        <v>55</v>
      </c>
      <c r="E98" s="222" t="s">
        <v>315</v>
      </c>
      <c r="F98" s="204" t="s">
        <v>192</v>
      </c>
      <c r="G98" s="204">
        <v>4</v>
      </c>
      <c r="H98" s="204"/>
      <c r="I98" s="222" t="s">
        <v>314</v>
      </c>
      <c r="J98" s="223">
        <v>46199</v>
      </c>
    </row>
    <row r="99" spans="2:10">
      <c r="B99" s="301" t="s">
        <v>287</v>
      </c>
      <c r="C99" s="204" t="s">
        <v>288</v>
      </c>
      <c r="D99" s="204" t="s">
        <v>55</v>
      </c>
      <c r="E99" s="222" t="s">
        <v>316</v>
      </c>
      <c r="F99" s="204" t="s">
        <v>192</v>
      </c>
      <c r="G99" s="204">
        <v>1</v>
      </c>
      <c r="H99" s="204"/>
      <c r="I99" s="222" t="s">
        <v>314</v>
      </c>
      <c r="J99" s="223">
        <v>46199</v>
      </c>
    </row>
    <row r="100" spans="2:10">
      <c r="B100" s="301" t="s">
        <v>287</v>
      </c>
      <c r="C100" s="204" t="s">
        <v>288</v>
      </c>
      <c r="D100" s="204" t="s">
        <v>55</v>
      </c>
      <c r="E100" s="222" t="s">
        <v>317</v>
      </c>
      <c r="F100" s="204" t="s">
        <v>199</v>
      </c>
      <c r="G100" s="204">
        <v>2</v>
      </c>
      <c r="H100" s="204"/>
      <c r="I100" s="222" t="s">
        <v>314</v>
      </c>
      <c r="J100" s="223">
        <v>46199</v>
      </c>
    </row>
    <row r="101" spans="2:10">
      <c r="B101" s="301" t="s">
        <v>287</v>
      </c>
      <c r="C101" s="204" t="s">
        <v>288</v>
      </c>
      <c r="D101" s="204" t="s">
        <v>55</v>
      </c>
      <c r="E101" s="222" t="s">
        <v>242</v>
      </c>
      <c r="F101" s="204" t="s">
        <v>192</v>
      </c>
      <c r="G101" s="204">
        <v>3</v>
      </c>
      <c r="H101" s="204"/>
      <c r="I101" s="222"/>
      <c r="J101" s="223"/>
    </row>
    <row r="102" spans="2:10">
      <c r="B102" s="301" t="s">
        <v>287</v>
      </c>
      <c r="C102" s="204" t="s">
        <v>288</v>
      </c>
      <c r="D102" s="204" t="s">
        <v>55</v>
      </c>
      <c r="E102" s="222" t="s">
        <v>318</v>
      </c>
      <c r="F102" s="204" t="s">
        <v>192</v>
      </c>
      <c r="G102" s="204">
        <v>2</v>
      </c>
      <c r="H102" s="204"/>
      <c r="I102" s="222"/>
      <c r="J102" s="223"/>
    </row>
    <row r="103" spans="2:10">
      <c r="B103" s="301" t="s">
        <v>287</v>
      </c>
      <c r="C103" s="204" t="s">
        <v>288</v>
      </c>
      <c r="D103" s="204" t="s">
        <v>55</v>
      </c>
      <c r="E103" s="222" t="s">
        <v>319</v>
      </c>
      <c r="F103" s="204" t="s">
        <v>192</v>
      </c>
      <c r="G103" s="204">
        <v>5</v>
      </c>
      <c r="H103" s="204"/>
      <c r="I103" s="222"/>
      <c r="J103" s="223"/>
    </row>
    <row r="104" spans="2:10">
      <c r="B104" s="301" t="s">
        <v>287</v>
      </c>
      <c r="C104" s="204" t="s">
        <v>288</v>
      </c>
      <c r="D104" s="204" t="s">
        <v>55</v>
      </c>
      <c r="E104" s="222" t="s">
        <v>228</v>
      </c>
      <c r="F104" s="204" t="s">
        <v>199</v>
      </c>
      <c r="G104" s="204">
        <v>2</v>
      </c>
      <c r="H104" s="204"/>
      <c r="I104" s="222"/>
      <c r="J104" s="223"/>
    </row>
    <row r="105" spans="2:10">
      <c r="B105" s="301" t="s">
        <v>287</v>
      </c>
      <c r="C105" s="204" t="s">
        <v>288</v>
      </c>
      <c r="D105" s="204" t="s">
        <v>55</v>
      </c>
      <c r="E105" s="222" t="s">
        <v>229</v>
      </c>
      <c r="F105" s="204" t="s">
        <v>199</v>
      </c>
      <c r="G105" s="204">
        <v>5</v>
      </c>
      <c r="H105" s="204"/>
      <c r="I105" s="222"/>
      <c r="J105" s="223"/>
    </row>
    <row r="106" spans="2:10">
      <c r="B106" s="301" t="s">
        <v>287</v>
      </c>
      <c r="C106" s="204" t="s">
        <v>288</v>
      </c>
      <c r="D106" s="204" t="s">
        <v>55</v>
      </c>
      <c r="E106" s="222" t="s">
        <v>320</v>
      </c>
      <c r="F106" s="204" t="s">
        <v>192</v>
      </c>
      <c r="G106" s="204">
        <v>18</v>
      </c>
      <c r="H106" s="204"/>
      <c r="I106" s="222"/>
      <c r="J106" s="223"/>
    </row>
    <row r="107" spans="2:10">
      <c r="B107" s="301" t="s">
        <v>287</v>
      </c>
      <c r="C107" s="204" t="s">
        <v>288</v>
      </c>
      <c r="D107" s="204" t="s">
        <v>55</v>
      </c>
      <c r="E107" s="222" t="s">
        <v>252</v>
      </c>
      <c r="F107" s="204" t="s">
        <v>192</v>
      </c>
      <c r="G107" s="204">
        <v>2</v>
      </c>
      <c r="H107" s="204"/>
      <c r="I107" s="222"/>
      <c r="J107" s="223"/>
    </row>
    <row r="108" spans="2:10">
      <c r="B108" s="301" t="s">
        <v>287</v>
      </c>
      <c r="C108" s="204" t="s">
        <v>288</v>
      </c>
      <c r="D108" s="204" t="s">
        <v>55</v>
      </c>
      <c r="E108" s="222" t="s">
        <v>321</v>
      </c>
      <c r="F108" s="204" t="s">
        <v>192</v>
      </c>
      <c r="G108" s="204">
        <v>1</v>
      </c>
      <c r="H108" s="240" t="s">
        <v>322</v>
      </c>
      <c r="I108" s="222"/>
      <c r="J108" s="223"/>
    </row>
    <row r="109" spans="2:10">
      <c r="B109" s="301" t="s">
        <v>287</v>
      </c>
      <c r="C109" s="204" t="s">
        <v>288</v>
      </c>
      <c r="D109" s="204" t="s">
        <v>55</v>
      </c>
      <c r="E109" s="222" t="s">
        <v>203</v>
      </c>
      <c r="F109" s="204" t="s">
        <v>192</v>
      </c>
      <c r="G109" s="204">
        <v>1</v>
      </c>
      <c r="H109" s="204"/>
      <c r="I109" s="222"/>
      <c r="J109" s="223"/>
    </row>
    <row r="110" spans="2:10">
      <c r="B110" s="301" t="s">
        <v>287</v>
      </c>
      <c r="C110" s="204" t="s">
        <v>288</v>
      </c>
      <c r="D110" s="204" t="s">
        <v>55</v>
      </c>
      <c r="E110" s="222" t="s">
        <v>204</v>
      </c>
      <c r="F110" s="204" t="s">
        <v>192</v>
      </c>
      <c r="G110" s="204">
        <v>1</v>
      </c>
      <c r="H110" s="204"/>
      <c r="I110" s="222"/>
      <c r="J110" s="223"/>
    </row>
    <row r="111" spans="2:10">
      <c r="B111" s="301" t="s">
        <v>287</v>
      </c>
      <c r="C111" s="204" t="s">
        <v>288</v>
      </c>
      <c r="D111" s="204" t="s">
        <v>55</v>
      </c>
      <c r="E111" s="222" t="s">
        <v>323</v>
      </c>
      <c r="F111" s="204" t="s">
        <v>192</v>
      </c>
      <c r="G111" s="204">
        <v>1</v>
      </c>
      <c r="H111" s="204"/>
      <c r="I111" s="222"/>
      <c r="J111" s="223"/>
    </row>
    <row r="112" spans="2:10">
      <c r="B112" s="301" t="s">
        <v>287</v>
      </c>
      <c r="C112" s="204" t="s">
        <v>288</v>
      </c>
      <c r="D112" s="204" t="s">
        <v>55</v>
      </c>
      <c r="E112" s="222" t="s">
        <v>207</v>
      </c>
      <c r="F112" s="204" t="s">
        <v>192</v>
      </c>
      <c r="G112" s="204">
        <v>1</v>
      </c>
      <c r="H112" s="204"/>
      <c r="I112" s="222"/>
      <c r="J112" s="223"/>
    </row>
    <row r="113" spans="2:10">
      <c r="B113" s="301" t="s">
        <v>287</v>
      </c>
      <c r="C113" s="204" t="s">
        <v>288</v>
      </c>
      <c r="D113" s="204" t="s">
        <v>55</v>
      </c>
      <c r="E113" s="222" t="s">
        <v>324</v>
      </c>
      <c r="F113" s="204" t="s">
        <v>192</v>
      </c>
      <c r="G113" s="204">
        <v>1</v>
      </c>
      <c r="H113" s="204"/>
      <c r="I113" s="222"/>
      <c r="J113" s="223"/>
    </row>
    <row r="114" spans="2:10">
      <c r="B114" s="301" t="s">
        <v>287</v>
      </c>
      <c r="C114" s="204" t="s">
        <v>288</v>
      </c>
      <c r="D114" s="204" t="s">
        <v>55</v>
      </c>
      <c r="E114" s="222" t="s">
        <v>325</v>
      </c>
      <c r="F114" s="204" t="s">
        <v>192</v>
      </c>
      <c r="G114" s="204">
        <v>1</v>
      </c>
      <c r="H114" s="204"/>
      <c r="I114" s="222"/>
      <c r="J114" s="223"/>
    </row>
    <row r="115" spans="2:10" ht="45" customHeight="1">
      <c r="B115" s="301" t="s">
        <v>287</v>
      </c>
      <c r="C115" s="204" t="s">
        <v>288</v>
      </c>
      <c r="D115" s="204" t="s">
        <v>55</v>
      </c>
      <c r="E115" s="222" t="s">
        <v>293</v>
      </c>
      <c r="F115" s="204" t="s">
        <v>192</v>
      </c>
      <c r="G115" s="204">
        <v>3</v>
      </c>
      <c r="H115" s="241" t="s">
        <v>326</v>
      </c>
      <c r="I115" s="222"/>
      <c r="J115" s="223"/>
    </row>
    <row r="116" spans="2:10">
      <c r="B116" s="301" t="s">
        <v>287</v>
      </c>
      <c r="C116" s="204" t="s">
        <v>288</v>
      </c>
      <c r="D116" s="204" t="s">
        <v>55</v>
      </c>
      <c r="E116" s="222" t="s">
        <v>327</v>
      </c>
      <c r="F116" s="204" t="s">
        <v>192</v>
      </c>
      <c r="G116" s="204">
        <v>1</v>
      </c>
      <c r="H116" s="204"/>
      <c r="I116" s="222"/>
      <c r="J116" s="223"/>
    </row>
    <row r="117" spans="2:10">
      <c r="B117" s="285" t="s">
        <v>328</v>
      </c>
      <c r="C117" s="10" t="s">
        <v>329</v>
      </c>
      <c r="D117" s="204" t="s">
        <v>330</v>
      </c>
      <c r="E117" s="222" t="s">
        <v>331</v>
      </c>
      <c r="F117" s="204" t="s">
        <v>192</v>
      </c>
      <c r="G117" s="204">
        <v>3</v>
      </c>
      <c r="H117" s="204"/>
      <c r="I117" s="222"/>
      <c r="J117" s="223"/>
    </row>
    <row r="118" spans="2:10">
      <c r="B118" s="285" t="s">
        <v>332</v>
      </c>
      <c r="C118" s="10" t="s">
        <v>329</v>
      </c>
      <c r="D118" s="204" t="s">
        <v>330</v>
      </c>
      <c r="E118" s="222" t="s">
        <v>333</v>
      </c>
      <c r="F118" s="204" t="s">
        <v>192</v>
      </c>
      <c r="G118" s="204">
        <v>2</v>
      </c>
      <c r="H118" s="241"/>
      <c r="I118" s="222"/>
      <c r="J118" s="223"/>
    </row>
    <row r="119" spans="2:10">
      <c r="B119" s="285" t="s">
        <v>334</v>
      </c>
      <c r="C119" s="10" t="s">
        <v>329</v>
      </c>
      <c r="D119" s="204" t="s">
        <v>330</v>
      </c>
      <c r="E119" s="222" t="s">
        <v>335</v>
      </c>
      <c r="F119" s="204" t="s">
        <v>192</v>
      </c>
      <c r="G119" s="204">
        <v>3</v>
      </c>
      <c r="H119" s="204"/>
      <c r="I119" s="222"/>
      <c r="J119" s="223"/>
    </row>
    <row r="120" spans="2:10">
      <c r="B120" s="285" t="s">
        <v>336</v>
      </c>
      <c r="C120" s="10" t="s">
        <v>329</v>
      </c>
      <c r="D120" s="204" t="s">
        <v>330</v>
      </c>
      <c r="E120" s="222" t="s">
        <v>337</v>
      </c>
      <c r="F120" s="204" t="s">
        <v>192</v>
      </c>
      <c r="G120" s="204">
        <v>3</v>
      </c>
      <c r="H120" s="204"/>
      <c r="I120" s="222"/>
      <c r="J120" s="223"/>
    </row>
    <row r="121" spans="2:10">
      <c r="B121" s="285" t="s">
        <v>338</v>
      </c>
      <c r="C121" s="10" t="s">
        <v>329</v>
      </c>
      <c r="D121" s="204" t="s">
        <v>330</v>
      </c>
      <c r="E121" s="222" t="s">
        <v>339</v>
      </c>
      <c r="F121" s="204" t="s">
        <v>192</v>
      </c>
      <c r="G121" s="204">
        <v>3</v>
      </c>
      <c r="H121" s="204"/>
      <c r="I121" s="222"/>
      <c r="J121" s="223"/>
    </row>
    <row r="122" spans="2:10">
      <c r="B122" s="285" t="s">
        <v>340</v>
      </c>
      <c r="C122" s="10" t="s">
        <v>329</v>
      </c>
      <c r="D122" s="204" t="s">
        <v>330</v>
      </c>
      <c r="E122" s="222" t="s">
        <v>341</v>
      </c>
      <c r="F122" s="204" t="s">
        <v>192</v>
      </c>
      <c r="G122" s="204">
        <v>6</v>
      </c>
      <c r="H122" s="204"/>
      <c r="I122" s="222"/>
      <c r="J122" s="223"/>
    </row>
    <row r="123" spans="2:10">
      <c r="B123" s="285" t="s">
        <v>342</v>
      </c>
      <c r="C123" s="10" t="s">
        <v>329</v>
      </c>
      <c r="D123" s="204" t="s">
        <v>330</v>
      </c>
      <c r="E123" s="222" t="s">
        <v>343</v>
      </c>
      <c r="F123" s="204" t="s">
        <v>192</v>
      </c>
      <c r="G123" s="204">
        <v>6</v>
      </c>
      <c r="H123" s="204"/>
      <c r="I123" s="222"/>
      <c r="J123" s="223"/>
    </row>
    <row r="124" spans="2:10">
      <c r="B124" s="285" t="s">
        <v>344</v>
      </c>
      <c r="C124" s="10" t="s">
        <v>329</v>
      </c>
      <c r="D124" s="204" t="s">
        <v>330</v>
      </c>
      <c r="E124" s="222" t="s">
        <v>345</v>
      </c>
      <c r="F124" s="204" t="s">
        <v>192</v>
      </c>
      <c r="G124" s="204">
        <v>1</v>
      </c>
      <c r="H124" s="204"/>
      <c r="I124" s="222"/>
      <c r="J124" s="223"/>
    </row>
    <row r="125" spans="2:10">
      <c r="B125" s="285" t="s">
        <v>346</v>
      </c>
      <c r="C125" s="10" t="s">
        <v>329</v>
      </c>
      <c r="D125" s="204" t="s">
        <v>330</v>
      </c>
      <c r="E125" s="222" t="s">
        <v>347</v>
      </c>
      <c r="F125" s="204" t="s">
        <v>192</v>
      </c>
      <c r="G125" s="204">
        <v>1</v>
      </c>
      <c r="H125" s="204"/>
      <c r="I125" s="222"/>
      <c r="J125" s="223"/>
    </row>
    <row r="126" spans="2:10">
      <c r="B126" s="285" t="s">
        <v>348</v>
      </c>
      <c r="C126" s="10" t="s">
        <v>329</v>
      </c>
      <c r="D126" s="204" t="s">
        <v>330</v>
      </c>
      <c r="E126" s="222" t="s">
        <v>349</v>
      </c>
      <c r="F126" s="204" t="s">
        <v>192</v>
      </c>
      <c r="G126" s="204">
        <v>1</v>
      </c>
      <c r="H126" s="204"/>
      <c r="I126" s="222"/>
      <c r="J126" s="223"/>
    </row>
    <row r="127" spans="2:10">
      <c r="B127" s="285" t="s">
        <v>350</v>
      </c>
      <c r="C127" s="10" t="s">
        <v>329</v>
      </c>
      <c r="D127" s="204" t="s">
        <v>330</v>
      </c>
      <c r="E127" s="222" t="s">
        <v>351</v>
      </c>
      <c r="F127" s="204" t="s">
        <v>199</v>
      </c>
      <c r="G127" s="204">
        <v>10</v>
      </c>
      <c r="H127" s="204"/>
      <c r="I127" s="222"/>
      <c r="J127" s="223"/>
    </row>
    <row r="128" spans="2:10">
      <c r="B128" s="285" t="s">
        <v>352</v>
      </c>
      <c r="C128" s="10" t="s">
        <v>329</v>
      </c>
      <c r="D128" s="204" t="s">
        <v>330</v>
      </c>
      <c r="E128" s="222" t="s">
        <v>353</v>
      </c>
      <c r="F128" s="204" t="s">
        <v>296</v>
      </c>
      <c r="G128" s="204">
        <v>1</v>
      </c>
      <c r="H128" s="204"/>
      <c r="I128" s="222"/>
      <c r="J128" s="223"/>
    </row>
    <row r="129" spans="2:10">
      <c r="B129" s="285" t="s">
        <v>354</v>
      </c>
      <c r="C129" s="10" t="s">
        <v>329</v>
      </c>
      <c r="D129" s="204" t="s">
        <v>330</v>
      </c>
      <c r="E129" s="222" t="s">
        <v>355</v>
      </c>
      <c r="F129" s="204" t="s">
        <v>192</v>
      </c>
      <c r="G129" s="204">
        <v>1</v>
      </c>
      <c r="H129" s="204"/>
      <c r="I129" s="222"/>
      <c r="J129" s="223"/>
    </row>
    <row r="130" spans="2:10">
      <c r="B130" s="285" t="s">
        <v>356</v>
      </c>
      <c r="C130" s="10" t="s">
        <v>329</v>
      </c>
      <c r="D130" s="204" t="s">
        <v>330</v>
      </c>
      <c r="E130" s="222" t="s">
        <v>357</v>
      </c>
      <c r="F130" s="204" t="s">
        <v>192</v>
      </c>
      <c r="G130" s="204">
        <v>2</v>
      </c>
      <c r="H130" s="204"/>
      <c r="I130" s="222"/>
      <c r="J130" s="223"/>
    </row>
    <row r="131" spans="2:10">
      <c r="B131" s="285" t="s">
        <v>358</v>
      </c>
      <c r="C131" s="10" t="s">
        <v>329</v>
      </c>
      <c r="D131" s="204" t="s">
        <v>330</v>
      </c>
      <c r="E131" s="222" t="s">
        <v>359</v>
      </c>
      <c r="F131" s="204" t="s">
        <v>192</v>
      </c>
      <c r="G131" s="204">
        <v>1</v>
      </c>
      <c r="H131" s="204"/>
      <c r="I131" s="222"/>
      <c r="J131" s="223"/>
    </row>
    <row r="132" spans="2:10">
      <c r="B132" s="285" t="s">
        <v>360</v>
      </c>
      <c r="C132" s="10" t="s">
        <v>329</v>
      </c>
      <c r="D132" s="204" t="s">
        <v>330</v>
      </c>
      <c r="E132" s="222" t="s">
        <v>361</v>
      </c>
      <c r="F132" s="204" t="s">
        <v>192</v>
      </c>
      <c r="G132" s="204">
        <v>1</v>
      </c>
      <c r="H132" s="204"/>
      <c r="I132" s="222"/>
      <c r="J132" s="223"/>
    </row>
    <row r="133" spans="2:10">
      <c r="B133" s="285" t="s">
        <v>362</v>
      </c>
      <c r="C133" s="10" t="s">
        <v>329</v>
      </c>
      <c r="D133" s="204" t="s">
        <v>330</v>
      </c>
      <c r="E133" s="222" t="s">
        <v>363</v>
      </c>
      <c r="F133" s="204" t="s">
        <v>192</v>
      </c>
      <c r="G133" s="204">
        <v>1</v>
      </c>
      <c r="H133" s="204"/>
      <c r="I133" s="222"/>
      <c r="J133" s="223"/>
    </row>
    <row r="134" spans="2:10">
      <c r="B134" s="285" t="s">
        <v>364</v>
      </c>
      <c r="C134" s="10" t="s">
        <v>329</v>
      </c>
      <c r="D134" s="204" t="s">
        <v>330</v>
      </c>
      <c r="E134" s="222" t="s">
        <v>365</v>
      </c>
      <c r="F134" s="204" t="s">
        <v>192</v>
      </c>
      <c r="G134" s="204">
        <v>1</v>
      </c>
      <c r="H134" s="204"/>
      <c r="I134" s="222"/>
      <c r="J134" s="223"/>
    </row>
    <row r="135" spans="2:10">
      <c r="B135" s="285" t="s">
        <v>366</v>
      </c>
      <c r="C135" s="10" t="s">
        <v>329</v>
      </c>
      <c r="D135" s="204" t="s">
        <v>330</v>
      </c>
      <c r="E135" s="222" t="s">
        <v>367</v>
      </c>
      <c r="F135" s="204" t="s">
        <v>192</v>
      </c>
      <c r="G135" s="204">
        <v>2</v>
      </c>
      <c r="H135" s="204"/>
      <c r="I135" s="222"/>
      <c r="J135" s="223"/>
    </row>
    <row r="136" spans="2:10">
      <c r="B136" s="285" t="s">
        <v>368</v>
      </c>
      <c r="C136" s="10" t="s">
        <v>329</v>
      </c>
      <c r="D136" s="204" t="s">
        <v>330</v>
      </c>
      <c r="E136" s="222" t="s">
        <v>369</v>
      </c>
      <c r="F136" s="204" t="s">
        <v>192</v>
      </c>
      <c r="G136" s="204">
        <v>1</v>
      </c>
      <c r="H136" s="204"/>
      <c r="I136" s="222"/>
      <c r="J136" s="223"/>
    </row>
    <row r="137" spans="2:10">
      <c r="B137" s="285" t="s">
        <v>370</v>
      </c>
      <c r="C137" s="10" t="s">
        <v>329</v>
      </c>
      <c r="D137" s="204" t="s">
        <v>330</v>
      </c>
      <c r="E137" s="222" t="s">
        <v>371</v>
      </c>
      <c r="F137" s="204" t="s">
        <v>192</v>
      </c>
      <c r="G137" s="204">
        <v>12</v>
      </c>
      <c r="H137" s="204"/>
      <c r="I137" s="222"/>
      <c r="J137" s="223"/>
    </row>
    <row r="138" spans="2:10">
      <c r="B138" s="285" t="s">
        <v>372</v>
      </c>
      <c r="C138" s="10" t="s">
        <v>329</v>
      </c>
      <c r="D138" s="204" t="s">
        <v>330</v>
      </c>
      <c r="E138" s="222" t="s">
        <v>373</v>
      </c>
      <c r="F138" s="204" t="s">
        <v>192</v>
      </c>
      <c r="G138" s="204">
        <v>1</v>
      </c>
      <c r="H138" s="204"/>
      <c r="I138" s="222"/>
      <c r="J138" s="223"/>
    </row>
    <row r="139" spans="2:10">
      <c r="B139" s="285" t="s">
        <v>374</v>
      </c>
      <c r="C139" s="10" t="s">
        <v>329</v>
      </c>
      <c r="D139" s="204" t="s">
        <v>330</v>
      </c>
      <c r="E139" s="222" t="s">
        <v>375</v>
      </c>
      <c r="F139" s="204" t="s">
        <v>192</v>
      </c>
      <c r="G139" s="204">
        <v>1</v>
      </c>
      <c r="H139" s="204"/>
      <c r="I139" s="222"/>
      <c r="J139" s="223"/>
    </row>
    <row r="140" spans="2:10">
      <c r="B140" s="285" t="s">
        <v>376</v>
      </c>
      <c r="C140" s="10" t="s">
        <v>329</v>
      </c>
      <c r="D140" s="204" t="s">
        <v>330</v>
      </c>
      <c r="E140" s="222" t="s">
        <v>377</v>
      </c>
      <c r="F140" s="204" t="s">
        <v>192</v>
      </c>
      <c r="G140" s="204">
        <v>1</v>
      </c>
      <c r="H140" s="204"/>
      <c r="I140" s="222"/>
      <c r="J140" s="223"/>
    </row>
    <row r="141" spans="2:10">
      <c r="B141" s="285" t="s">
        <v>378</v>
      </c>
      <c r="C141" s="10" t="s">
        <v>329</v>
      </c>
      <c r="D141" s="204" t="s">
        <v>330</v>
      </c>
      <c r="E141" s="222" t="s">
        <v>379</v>
      </c>
      <c r="F141" s="204" t="s">
        <v>192</v>
      </c>
      <c r="G141" s="204">
        <v>1</v>
      </c>
      <c r="H141" s="204"/>
      <c r="I141" s="222"/>
      <c r="J141" s="223"/>
    </row>
    <row r="142" spans="2:10">
      <c r="B142" s="285" t="s">
        <v>380</v>
      </c>
      <c r="C142" s="10" t="s">
        <v>329</v>
      </c>
      <c r="D142" s="204" t="s">
        <v>330</v>
      </c>
      <c r="E142" s="222" t="s">
        <v>381</v>
      </c>
      <c r="F142" s="204" t="s">
        <v>192</v>
      </c>
      <c r="G142" s="204">
        <v>1</v>
      </c>
      <c r="H142" s="204"/>
      <c r="I142" s="222"/>
      <c r="J142" s="223"/>
    </row>
    <row r="143" spans="2:10">
      <c r="B143" s="285" t="s">
        <v>382</v>
      </c>
      <c r="C143" s="10" t="s">
        <v>329</v>
      </c>
      <c r="D143" s="204" t="s">
        <v>330</v>
      </c>
      <c r="E143" s="222" t="s">
        <v>383</v>
      </c>
      <c r="F143" s="204" t="s">
        <v>199</v>
      </c>
      <c r="G143" s="204">
        <v>35</v>
      </c>
      <c r="H143" s="204"/>
      <c r="I143" s="222"/>
      <c r="J143" s="223"/>
    </row>
    <row r="144" spans="2:10">
      <c r="B144" s="285" t="s">
        <v>384</v>
      </c>
      <c r="C144" s="10" t="s">
        <v>329</v>
      </c>
      <c r="D144" s="204" t="s">
        <v>330</v>
      </c>
      <c r="E144" s="222" t="s">
        <v>385</v>
      </c>
      <c r="F144" s="204" t="s">
        <v>386</v>
      </c>
      <c r="G144" s="204">
        <v>35</v>
      </c>
      <c r="H144" s="204"/>
      <c r="I144" s="222"/>
      <c r="J144" s="223"/>
    </row>
    <row r="145" spans="2:10">
      <c r="B145" s="285" t="s">
        <v>387</v>
      </c>
      <c r="C145" s="10" t="s">
        <v>329</v>
      </c>
      <c r="D145" s="204" t="s">
        <v>330</v>
      </c>
      <c r="E145" s="222" t="s">
        <v>388</v>
      </c>
      <c r="F145" s="204" t="s">
        <v>192</v>
      </c>
      <c r="G145" s="204">
        <v>2</v>
      </c>
      <c r="H145" s="204"/>
      <c r="I145" s="222"/>
      <c r="J145" s="223"/>
    </row>
    <row r="146" spans="2:10">
      <c r="B146" s="285" t="s">
        <v>389</v>
      </c>
      <c r="C146" s="10" t="s">
        <v>329</v>
      </c>
      <c r="D146" s="204" t="s">
        <v>330</v>
      </c>
      <c r="E146" s="222" t="s">
        <v>390</v>
      </c>
      <c r="F146" s="204" t="s">
        <v>192</v>
      </c>
      <c r="G146" s="204">
        <v>1</v>
      </c>
      <c r="H146" s="204"/>
      <c r="I146" s="222"/>
      <c r="J146" s="223"/>
    </row>
    <row r="147" spans="2:10">
      <c r="B147" s="285" t="s">
        <v>391</v>
      </c>
      <c r="C147" s="10" t="s">
        <v>329</v>
      </c>
      <c r="D147" s="204" t="s">
        <v>330</v>
      </c>
      <c r="E147" s="222" t="s">
        <v>392</v>
      </c>
      <c r="F147" s="204" t="s">
        <v>192</v>
      </c>
      <c r="G147" s="204">
        <v>2</v>
      </c>
      <c r="H147" s="204"/>
      <c r="I147" s="222"/>
      <c r="J147" s="223"/>
    </row>
    <row r="148" spans="2:10">
      <c r="B148" s="285" t="s">
        <v>393</v>
      </c>
      <c r="C148" s="10" t="s">
        <v>329</v>
      </c>
      <c r="D148" s="204" t="s">
        <v>330</v>
      </c>
      <c r="E148" s="222" t="s">
        <v>394</v>
      </c>
      <c r="F148" s="204" t="s">
        <v>192</v>
      </c>
      <c r="G148" s="204">
        <v>1</v>
      </c>
      <c r="H148" s="204"/>
      <c r="I148" s="222"/>
      <c r="J148" s="223"/>
    </row>
    <row r="149" spans="2:10">
      <c r="B149" s="285" t="s">
        <v>395</v>
      </c>
      <c r="C149" s="10" t="s">
        <v>329</v>
      </c>
      <c r="D149" s="204" t="s">
        <v>330</v>
      </c>
      <c r="E149" s="222" t="s">
        <v>396</v>
      </c>
      <c r="F149" s="204" t="s">
        <v>192</v>
      </c>
      <c r="G149" s="204">
        <v>1</v>
      </c>
      <c r="H149" s="204"/>
      <c r="I149" s="222"/>
      <c r="J149" s="223"/>
    </row>
    <row r="150" spans="2:10">
      <c r="B150" s="285" t="s">
        <v>397</v>
      </c>
      <c r="C150" s="10" t="s">
        <v>329</v>
      </c>
      <c r="D150" s="204" t="s">
        <v>330</v>
      </c>
      <c r="E150" s="222" t="s">
        <v>398</v>
      </c>
      <c r="F150" s="204" t="s">
        <v>192</v>
      </c>
      <c r="G150" s="204">
        <v>27</v>
      </c>
      <c r="H150" s="204"/>
      <c r="I150" s="222"/>
      <c r="J150" s="223"/>
    </row>
    <row r="151" spans="2:10">
      <c r="B151" s="285" t="s">
        <v>399</v>
      </c>
      <c r="C151" s="10" t="s">
        <v>329</v>
      </c>
      <c r="D151" s="204" t="s">
        <v>330</v>
      </c>
      <c r="E151" s="222" t="s">
        <v>400</v>
      </c>
      <c r="F151" s="204" t="s">
        <v>192</v>
      </c>
      <c r="G151" s="204">
        <v>12</v>
      </c>
      <c r="H151" s="204"/>
      <c r="I151" s="222"/>
      <c r="J151" s="223"/>
    </row>
    <row r="152" spans="2:10">
      <c r="B152" s="285" t="s">
        <v>401</v>
      </c>
      <c r="C152" s="10" t="s">
        <v>329</v>
      </c>
      <c r="D152" s="204" t="s">
        <v>330</v>
      </c>
      <c r="E152" s="222" t="s">
        <v>402</v>
      </c>
      <c r="F152" s="204" t="s">
        <v>192</v>
      </c>
      <c r="G152" s="204">
        <v>6</v>
      </c>
      <c r="H152" s="204"/>
      <c r="I152" s="222"/>
    </row>
    <row r="153" spans="2:10">
      <c r="B153" s="285" t="s">
        <v>403</v>
      </c>
      <c r="C153" s="10" t="s">
        <v>329</v>
      </c>
      <c r="D153" s="204" t="s">
        <v>404</v>
      </c>
      <c r="E153" s="222" t="s">
        <v>405</v>
      </c>
      <c r="F153" s="204" t="s">
        <v>192</v>
      </c>
      <c r="G153" s="204">
        <v>1</v>
      </c>
      <c r="H153" s="204"/>
      <c r="I153" s="222"/>
    </row>
    <row r="154" spans="2:10">
      <c r="B154" s="285" t="s">
        <v>406</v>
      </c>
      <c r="C154" s="10" t="s">
        <v>329</v>
      </c>
      <c r="D154" s="204" t="s">
        <v>404</v>
      </c>
      <c r="E154" s="222" t="s">
        <v>407</v>
      </c>
      <c r="F154" s="204" t="s">
        <v>192</v>
      </c>
      <c r="G154" s="204">
        <v>1</v>
      </c>
      <c r="H154" s="204"/>
      <c r="I154" s="222"/>
    </row>
    <row r="155" spans="2:10">
      <c r="B155" s="285" t="s">
        <v>408</v>
      </c>
      <c r="C155" s="10" t="s">
        <v>329</v>
      </c>
      <c r="D155" s="204" t="s">
        <v>404</v>
      </c>
      <c r="E155" s="222" t="s">
        <v>409</v>
      </c>
      <c r="F155" s="204" t="s">
        <v>192</v>
      </c>
      <c r="G155" s="204">
        <v>2</v>
      </c>
      <c r="H155" s="204"/>
      <c r="I155" s="222"/>
    </row>
    <row r="156" spans="2:10">
      <c r="B156" s="285" t="s">
        <v>410</v>
      </c>
      <c r="C156" s="10" t="s">
        <v>329</v>
      </c>
      <c r="D156" s="204" t="s">
        <v>404</v>
      </c>
      <c r="E156" s="222" t="s">
        <v>411</v>
      </c>
      <c r="F156" s="204" t="s">
        <v>192</v>
      </c>
      <c r="G156" s="204">
        <v>1</v>
      </c>
      <c r="H156" s="204"/>
      <c r="I156" s="222"/>
    </row>
    <row r="157" spans="2:10">
      <c r="B157" s="285" t="s">
        <v>412</v>
      </c>
      <c r="C157" s="10" t="s">
        <v>329</v>
      </c>
      <c r="D157" s="204" t="s">
        <v>404</v>
      </c>
      <c r="E157" s="222" t="s">
        <v>413</v>
      </c>
      <c r="F157" s="204" t="s">
        <v>192</v>
      </c>
      <c r="G157" s="204">
        <v>1</v>
      </c>
      <c r="H157" s="204"/>
      <c r="I157" s="222"/>
    </row>
    <row r="158" spans="2:10">
      <c r="B158" s="285" t="s">
        <v>414</v>
      </c>
      <c r="C158" s="10" t="s">
        <v>329</v>
      </c>
      <c r="D158" s="204" t="s">
        <v>404</v>
      </c>
      <c r="E158" s="222" t="s">
        <v>415</v>
      </c>
      <c r="F158" s="204" t="s">
        <v>192</v>
      </c>
      <c r="G158" s="204">
        <v>8</v>
      </c>
      <c r="H158" s="204"/>
      <c r="I158" s="222"/>
    </row>
    <row r="159" spans="2:10">
      <c r="B159" s="285" t="s">
        <v>416</v>
      </c>
      <c r="C159" s="10" t="s">
        <v>329</v>
      </c>
      <c r="D159" s="204" t="s">
        <v>404</v>
      </c>
      <c r="E159" s="222" t="s">
        <v>417</v>
      </c>
      <c r="F159" s="204" t="s">
        <v>192</v>
      </c>
      <c r="G159" s="204">
        <v>8</v>
      </c>
      <c r="H159" s="204"/>
      <c r="I159" s="222"/>
    </row>
    <row r="160" spans="2:10">
      <c r="B160" s="285" t="s">
        <v>418</v>
      </c>
      <c r="C160" s="10" t="s">
        <v>329</v>
      </c>
      <c r="D160" s="204" t="s">
        <v>404</v>
      </c>
      <c r="E160" s="222" t="s">
        <v>419</v>
      </c>
      <c r="F160" s="204" t="s">
        <v>192</v>
      </c>
      <c r="G160" s="204">
        <v>12</v>
      </c>
      <c r="H160" s="204"/>
      <c r="I160" s="222"/>
    </row>
    <row r="161" spans="2:9">
      <c r="B161" s="285" t="s">
        <v>420</v>
      </c>
      <c r="C161" s="10" t="s">
        <v>329</v>
      </c>
      <c r="D161" s="204" t="s">
        <v>404</v>
      </c>
      <c r="E161" s="222" t="s">
        <v>421</v>
      </c>
      <c r="F161" s="204" t="s">
        <v>192</v>
      </c>
      <c r="G161" s="204">
        <v>1</v>
      </c>
      <c r="H161" s="204"/>
      <c r="I161" s="222"/>
    </row>
    <row r="162" spans="2:9">
      <c r="B162" s="285" t="s">
        <v>422</v>
      </c>
      <c r="C162" s="10" t="s">
        <v>329</v>
      </c>
      <c r="D162" s="204" t="s">
        <v>404</v>
      </c>
      <c r="E162" s="222" t="s">
        <v>423</v>
      </c>
      <c r="F162" s="204" t="s">
        <v>192</v>
      </c>
      <c r="G162" s="204">
        <v>4</v>
      </c>
      <c r="H162" s="204"/>
      <c r="I162" s="222"/>
    </row>
    <row r="163" spans="2:9">
      <c r="B163" s="285" t="s">
        <v>424</v>
      </c>
      <c r="C163" s="10" t="s">
        <v>329</v>
      </c>
      <c r="D163" s="204" t="s">
        <v>404</v>
      </c>
      <c r="E163" s="222" t="s">
        <v>425</v>
      </c>
      <c r="F163" s="204" t="s">
        <v>192</v>
      </c>
      <c r="G163" s="204">
        <v>10</v>
      </c>
      <c r="H163" s="204"/>
      <c r="I163" s="222"/>
    </row>
    <row r="164" spans="2:9">
      <c r="B164" s="285" t="s">
        <v>426</v>
      </c>
      <c r="C164" s="10" t="s">
        <v>329</v>
      </c>
      <c r="D164" s="204" t="s">
        <v>404</v>
      </c>
      <c r="E164" s="222" t="s">
        <v>427</v>
      </c>
      <c r="F164" s="204" t="s">
        <v>192</v>
      </c>
      <c r="G164" s="204">
        <v>1</v>
      </c>
      <c r="H164" s="204"/>
      <c r="I164" s="222"/>
    </row>
    <row r="165" spans="2:9">
      <c r="B165" s="285" t="s">
        <v>428</v>
      </c>
      <c r="C165" s="10" t="s">
        <v>329</v>
      </c>
      <c r="D165" s="204" t="s">
        <v>404</v>
      </c>
      <c r="E165" s="222" t="s">
        <v>429</v>
      </c>
      <c r="F165" s="204" t="s">
        <v>192</v>
      </c>
      <c r="G165" s="204">
        <v>1</v>
      </c>
      <c r="H165" s="204"/>
      <c r="I165" s="222"/>
    </row>
    <row r="166" spans="2:9">
      <c r="B166" s="285" t="s">
        <v>430</v>
      </c>
      <c r="C166" s="10" t="s">
        <v>329</v>
      </c>
      <c r="D166" s="204" t="s">
        <v>404</v>
      </c>
      <c r="E166" s="222" t="s">
        <v>431</v>
      </c>
      <c r="F166" s="204" t="s">
        <v>192</v>
      </c>
      <c r="G166" s="204">
        <v>1</v>
      </c>
      <c r="H166" s="204"/>
      <c r="I166" s="222"/>
    </row>
    <row r="167" spans="2:9">
      <c r="B167" s="285" t="s">
        <v>432</v>
      </c>
      <c r="C167" s="10" t="s">
        <v>329</v>
      </c>
      <c r="D167" s="204" t="s">
        <v>404</v>
      </c>
      <c r="E167" s="222" t="s">
        <v>433</v>
      </c>
      <c r="F167" s="204" t="s">
        <v>192</v>
      </c>
      <c r="G167" s="204">
        <v>1</v>
      </c>
      <c r="H167" s="204"/>
      <c r="I167" s="222"/>
    </row>
    <row r="168" spans="2:9">
      <c r="B168" s="285" t="s">
        <v>434</v>
      </c>
      <c r="C168" s="10" t="s">
        <v>329</v>
      </c>
      <c r="D168" s="204" t="s">
        <v>404</v>
      </c>
      <c r="E168" s="222" t="s">
        <v>435</v>
      </c>
      <c r="F168" s="204" t="s">
        <v>192</v>
      </c>
      <c r="G168" s="204">
        <v>2</v>
      </c>
      <c r="H168" s="204"/>
      <c r="I168" s="222"/>
    </row>
    <row r="169" spans="2:9">
      <c r="B169" s="285" t="s">
        <v>436</v>
      </c>
      <c r="C169" s="10" t="s">
        <v>329</v>
      </c>
      <c r="D169" s="204" t="s">
        <v>404</v>
      </c>
      <c r="E169" s="222" t="s">
        <v>437</v>
      </c>
      <c r="F169" s="204" t="s">
        <v>192</v>
      </c>
      <c r="G169" s="204">
        <v>2</v>
      </c>
      <c r="H169" s="204"/>
      <c r="I169" s="222"/>
    </row>
    <row r="170" spans="2:9">
      <c r="B170" s="285" t="s">
        <v>438</v>
      </c>
      <c r="C170" s="10" t="s">
        <v>329</v>
      </c>
      <c r="D170" s="204" t="s">
        <v>404</v>
      </c>
      <c r="E170" s="222" t="s">
        <v>439</v>
      </c>
      <c r="F170" s="204" t="s">
        <v>192</v>
      </c>
      <c r="G170" s="204">
        <v>4</v>
      </c>
      <c r="H170" s="204"/>
      <c r="I170" s="222"/>
    </row>
    <row r="171" spans="2:9">
      <c r="B171" s="285" t="s">
        <v>440</v>
      </c>
      <c r="C171" s="10" t="s">
        <v>329</v>
      </c>
      <c r="D171" s="204" t="s">
        <v>404</v>
      </c>
      <c r="E171" s="222" t="s">
        <v>441</v>
      </c>
      <c r="F171" s="204" t="s">
        <v>192</v>
      </c>
      <c r="G171" s="204">
        <v>6</v>
      </c>
      <c r="H171" s="204"/>
      <c r="I171" s="222"/>
    </row>
    <row r="172" spans="2:9">
      <c r="B172" s="285" t="s">
        <v>442</v>
      </c>
      <c r="C172" s="10" t="s">
        <v>329</v>
      </c>
      <c r="D172" s="204" t="s">
        <v>404</v>
      </c>
      <c r="E172" s="222" t="s">
        <v>443</v>
      </c>
      <c r="F172" s="204" t="s">
        <v>192</v>
      </c>
      <c r="G172" s="204">
        <v>1</v>
      </c>
      <c r="H172" s="204"/>
      <c r="I172" s="222"/>
    </row>
    <row r="173" spans="2:9">
      <c r="B173" s="285" t="s">
        <v>444</v>
      </c>
      <c r="C173" s="10" t="s">
        <v>329</v>
      </c>
      <c r="D173" s="204" t="s">
        <v>404</v>
      </c>
      <c r="E173" s="222" t="s">
        <v>445</v>
      </c>
      <c r="F173" s="204" t="s">
        <v>192</v>
      </c>
      <c r="G173" s="204">
        <v>1</v>
      </c>
      <c r="H173" s="204"/>
      <c r="I173" s="222"/>
    </row>
    <row r="174" spans="2:9">
      <c r="B174" s="285" t="s">
        <v>446</v>
      </c>
      <c r="C174" s="10" t="s">
        <v>329</v>
      </c>
      <c r="D174" s="204" t="s">
        <v>404</v>
      </c>
      <c r="E174" s="222" t="s">
        <v>447</v>
      </c>
      <c r="F174" s="204" t="s">
        <v>192</v>
      </c>
      <c r="G174" s="204">
        <v>1</v>
      </c>
      <c r="H174" s="204"/>
      <c r="I174" s="222"/>
    </row>
    <row r="175" spans="2:9">
      <c r="B175" s="285" t="s">
        <v>448</v>
      </c>
      <c r="C175" s="10" t="s">
        <v>329</v>
      </c>
      <c r="D175" s="204" t="s">
        <v>404</v>
      </c>
      <c r="E175" s="222" t="s">
        <v>449</v>
      </c>
      <c r="F175" s="204" t="s">
        <v>192</v>
      </c>
      <c r="G175" s="204">
        <v>1</v>
      </c>
      <c r="H175" s="204"/>
      <c r="I175" s="222"/>
    </row>
    <row r="176" spans="2:9">
      <c r="B176" s="285" t="s">
        <v>450</v>
      </c>
      <c r="C176" s="10" t="s">
        <v>329</v>
      </c>
      <c r="D176" s="204" t="s">
        <v>404</v>
      </c>
      <c r="E176" s="222" t="s">
        <v>451</v>
      </c>
      <c r="F176" s="204" t="s">
        <v>199</v>
      </c>
      <c r="G176" s="204">
        <v>5</v>
      </c>
      <c r="H176" s="204"/>
      <c r="I176" s="222"/>
    </row>
    <row r="177" spans="2:9">
      <c r="B177" s="285" t="s">
        <v>452</v>
      </c>
      <c r="C177" s="10" t="s">
        <v>329</v>
      </c>
      <c r="D177" s="204" t="s">
        <v>404</v>
      </c>
      <c r="E177" s="222" t="s">
        <v>453</v>
      </c>
      <c r="F177" s="204" t="s">
        <v>192</v>
      </c>
      <c r="G177" s="204">
        <v>5</v>
      </c>
      <c r="H177" s="204"/>
      <c r="I177" s="222"/>
    </row>
    <row r="178" spans="2:9">
      <c r="B178" s="285" t="s">
        <v>454</v>
      </c>
      <c r="C178" s="10" t="s">
        <v>329</v>
      </c>
      <c r="D178" s="204" t="s">
        <v>404</v>
      </c>
      <c r="E178" s="222" t="s">
        <v>455</v>
      </c>
      <c r="F178" s="204" t="s">
        <v>192</v>
      </c>
      <c r="G178" s="204">
        <v>20</v>
      </c>
      <c r="H178" s="204"/>
      <c r="I178" s="222"/>
    </row>
    <row r="179" spans="2:9">
      <c r="B179" s="285" t="s">
        <v>456</v>
      </c>
      <c r="C179" s="10" t="s">
        <v>329</v>
      </c>
      <c r="D179" s="204" t="s">
        <v>404</v>
      </c>
      <c r="E179" s="222" t="s">
        <v>457</v>
      </c>
      <c r="F179" s="204" t="s">
        <v>192</v>
      </c>
      <c r="G179" s="204">
        <v>5</v>
      </c>
      <c r="H179" s="204"/>
      <c r="I179" s="222"/>
    </row>
    <row r="180" spans="2:9">
      <c r="B180" s="285" t="s">
        <v>458</v>
      </c>
      <c r="C180" s="10" t="s">
        <v>329</v>
      </c>
      <c r="D180" s="204" t="s">
        <v>404</v>
      </c>
      <c r="E180" s="222" t="s">
        <v>459</v>
      </c>
      <c r="F180" s="204" t="s">
        <v>192</v>
      </c>
      <c r="G180" s="204">
        <v>3</v>
      </c>
      <c r="H180" s="204"/>
      <c r="I180" s="222"/>
    </row>
    <row r="181" spans="2:9">
      <c r="B181" s="285" t="s">
        <v>460</v>
      </c>
      <c r="C181" s="10" t="s">
        <v>329</v>
      </c>
      <c r="D181" s="204" t="s">
        <v>404</v>
      </c>
      <c r="E181" s="222" t="s">
        <v>461</v>
      </c>
      <c r="F181" s="204" t="s">
        <v>192</v>
      </c>
      <c r="G181" s="204">
        <v>4</v>
      </c>
      <c r="H181" s="204"/>
      <c r="I181" s="222"/>
    </row>
    <row r="182" spans="2:9">
      <c r="B182" s="285" t="s">
        <v>462</v>
      </c>
      <c r="C182" s="10" t="s">
        <v>329</v>
      </c>
      <c r="D182" s="204" t="s">
        <v>404</v>
      </c>
      <c r="E182" s="222" t="s">
        <v>463</v>
      </c>
      <c r="F182" s="204" t="s">
        <v>192</v>
      </c>
      <c r="G182" s="204">
        <v>4</v>
      </c>
      <c r="H182" s="204"/>
      <c r="I182" s="222"/>
    </row>
    <row r="183" spans="2:9">
      <c r="B183" s="285" t="s">
        <v>464</v>
      </c>
      <c r="C183" s="10" t="s">
        <v>465</v>
      </c>
      <c r="D183" s="204" t="s">
        <v>55</v>
      </c>
      <c r="E183" s="222" t="s">
        <v>466</v>
      </c>
      <c r="F183" s="204" t="s">
        <v>192</v>
      </c>
      <c r="G183" s="204">
        <v>1</v>
      </c>
      <c r="H183" s="190" t="s">
        <v>467</v>
      </c>
      <c r="I183" s="222"/>
    </row>
    <row r="184" spans="2:9">
      <c r="B184" s="285" t="s">
        <v>468</v>
      </c>
      <c r="C184" s="10" t="s">
        <v>465</v>
      </c>
      <c r="D184" s="204" t="s">
        <v>55</v>
      </c>
      <c r="E184" s="8" t="s">
        <v>466</v>
      </c>
      <c r="F184" s="204" t="s">
        <v>192</v>
      </c>
      <c r="G184" s="204">
        <v>1</v>
      </c>
      <c r="H184" s="190" t="s">
        <v>469</v>
      </c>
      <c r="I184" s="222"/>
    </row>
    <row r="185" spans="2:9" ht="90" customHeight="1">
      <c r="B185" s="285" t="s">
        <v>470</v>
      </c>
      <c r="C185" s="10" t="s">
        <v>465</v>
      </c>
      <c r="D185" s="204" t="s">
        <v>55</v>
      </c>
      <c r="E185" s="222" t="s">
        <v>471</v>
      </c>
      <c r="F185" s="204" t="s">
        <v>192</v>
      </c>
      <c r="G185" s="204">
        <v>6</v>
      </c>
      <c r="H185" s="157" t="s">
        <v>472</v>
      </c>
      <c r="I185" s="222"/>
    </row>
    <row r="186" spans="2:9">
      <c r="B186" s="285" t="s">
        <v>473</v>
      </c>
      <c r="C186" s="10" t="s">
        <v>465</v>
      </c>
      <c r="D186" s="204" t="s">
        <v>55</v>
      </c>
      <c r="E186" s="8" t="s">
        <v>474</v>
      </c>
      <c r="F186" s="204" t="s">
        <v>192</v>
      </c>
      <c r="G186" s="204">
        <v>1</v>
      </c>
      <c r="H186" s="240" t="s">
        <v>475</v>
      </c>
      <c r="I186" s="222"/>
    </row>
    <row r="187" spans="2:9">
      <c r="B187" s="285" t="s">
        <v>476</v>
      </c>
      <c r="C187" s="10" t="s">
        <v>465</v>
      </c>
      <c r="D187" s="204" t="s">
        <v>55</v>
      </c>
      <c r="E187" s="222" t="s">
        <v>477</v>
      </c>
      <c r="F187" s="204" t="s">
        <v>192</v>
      </c>
      <c r="G187" s="204">
        <v>1</v>
      </c>
      <c r="H187" s="170"/>
      <c r="I187" s="222"/>
    </row>
    <row r="188" spans="2:9">
      <c r="B188" s="285" t="s">
        <v>478</v>
      </c>
      <c r="C188" s="10" t="s">
        <v>465</v>
      </c>
      <c r="D188" s="204" t="s">
        <v>55</v>
      </c>
      <c r="E188" s="222" t="s">
        <v>479</v>
      </c>
      <c r="F188" s="204" t="s">
        <v>192</v>
      </c>
      <c r="G188" s="204">
        <v>1</v>
      </c>
      <c r="H188" s="240" t="s">
        <v>480</v>
      </c>
      <c r="I188" s="222"/>
    </row>
    <row r="189" spans="2:9">
      <c r="B189" s="285" t="s">
        <v>481</v>
      </c>
      <c r="C189" s="10" t="s">
        <v>465</v>
      </c>
      <c r="D189" s="204" t="s">
        <v>55</v>
      </c>
      <c r="E189" s="8" t="s">
        <v>482</v>
      </c>
      <c r="F189" s="204" t="s">
        <v>192</v>
      </c>
      <c r="G189" s="204">
        <v>1</v>
      </c>
      <c r="H189" s="240" t="s">
        <v>483</v>
      </c>
      <c r="I189" s="222"/>
    </row>
    <row r="190" spans="2:9">
      <c r="B190" s="285" t="s">
        <v>484</v>
      </c>
      <c r="C190" s="10" t="s">
        <v>465</v>
      </c>
      <c r="D190" s="204" t="s">
        <v>55</v>
      </c>
      <c r="E190" s="8" t="s">
        <v>485</v>
      </c>
      <c r="F190" s="204" t="s">
        <v>192</v>
      </c>
      <c r="G190" s="204">
        <v>1</v>
      </c>
      <c r="H190" s="240" t="s">
        <v>486</v>
      </c>
      <c r="I190" s="222"/>
    </row>
    <row r="191" spans="2:9">
      <c r="B191" s="285" t="s">
        <v>487</v>
      </c>
      <c r="C191" s="10" t="s">
        <v>465</v>
      </c>
      <c r="D191" s="204" t="s">
        <v>55</v>
      </c>
      <c r="E191" s="222" t="s">
        <v>488</v>
      </c>
      <c r="F191" s="204" t="s">
        <v>192</v>
      </c>
      <c r="G191" s="204">
        <v>1</v>
      </c>
      <c r="H191" s="204" t="s">
        <v>489</v>
      </c>
      <c r="I191" s="222"/>
    </row>
    <row r="192" spans="2:9">
      <c r="B192" s="285" t="s">
        <v>490</v>
      </c>
      <c r="C192" s="10" t="s">
        <v>465</v>
      </c>
      <c r="D192" s="204" t="s">
        <v>55</v>
      </c>
      <c r="E192" s="222" t="s">
        <v>491</v>
      </c>
      <c r="F192" s="204" t="s">
        <v>192</v>
      </c>
      <c r="G192" s="204">
        <v>1</v>
      </c>
      <c r="H192" s="190" t="s">
        <v>492</v>
      </c>
      <c r="I192" s="222"/>
    </row>
    <row r="193" spans="2:9">
      <c r="B193" s="285" t="s">
        <v>493</v>
      </c>
      <c r="C193" s="10" t="s">
        <v>465</v>
      </c>
      <c r="D193" s="204" t="s">
        <v>55</v>
      </c>
      <c r="E193" s="8" t="s">
        <v>494</v>
      </c>
      <c r="F193" s="204" t="s">
        <v>192</v>
      </c>
      <c r="G193" s="204">
        <v>11</v>
      </c>
      <c r="H193" s="204"/>
      <c r="I193" s="222"/>
    </row>
    <row r="194" spans="2:9">
      <c r="B194" s="285" t="s">
        <v>495</v>
      </c>
      <c r="C194" s="10" t="s">
        <v>465</v>
      </c>
      <c r="D194" s="204" t="s">
        <v>55</v>
      </c>
      <c r="E194" s="8" t="s">
        <v>496</v>
      </c>
      <c r="F194" s="204" t="s">
        <v>192</v>
      </c>
      <c r="G194" s="204">
        <v>14</v>
      </c>
      <c r="H194" s="204"/>
      <c r="I194" s="222"/>
    </row>
    <row r="195" spans="2:9">
      <c r="B195" s="285" t="s">
        <v>497</v>
      </c>
      <c r="C195" s="10" t="s">
        <v>465</v>
      </c>
      <c r="D195" s="204" t="s">
        <v>55</v>
      </c>
      <c r="E195" s="222" t="s">
        <v>498</v>
      </c>
      <c r="F195" s="204" t="s">
        <v>192</v>
      </c>
      <c r="G195" s="204">
        <v>1</v>
      </c>
      <c r="H195" s="170" t="s">
        <v>499</v>
      </c>
      <c r="I195" s="222"/>
    </row>
    <row r="196" spans="2:9">
      <c r="B196" s="285" t="s">
        <v>500</v>
      </c>
      <c r="C196" s="10" t="s">
        <v>465</v>
      </c>
      <c r="D196" s="204" t="s">
        <v>55</v>
      </c>
      <c r="E196" s="8" t="s">
        <v>501</v>
      </c>
      <c r="F196" s="204" t="s">
        <v>192</v>
      </c>
      <c r="G196" s="204">
        <v>1</v>
      </c>
      <c r="H196" s="240" t="s">
        <v>502</v>
      </c>
      <c r="I196" s="222"/>
    </row>
    <row r="197" spans="2:9">
      <c r="B197" s="285" t="s">
        <v>503</v>
      </c>
      <c r="C197" s="10" t="s">
        <v>465</v>
      </c>
      <c r="D197" s="204" t="s">
        <v>55</v>
      </c>
      <c r="E197" s="222" t="s">
        <v>504</v>
      </c>
      <c r="F197" s="204" t="s">
        <v>192</v>
      </c>
      <c r="G197" s="204">
        <v>1</v>
      </c>
      <c r="H197" s="204"/>
      <c r="I197" s="222"/>
    </row>
    <row r="198" spans="2:9" ht="45" customHeight="1">
      <c r="B198" s="285" t="s">
        <v>505</v>
      </c>
      <c r="C198" s="10" t="s">
        <v>465</v>
      </c>
      <c r="D198" s="204" t="s">
        <v>55</v>
      </c>
      <c r="E198" s="222" t="s">
        <v>506</v>
      </c>
      <c r="F198" s="204" t="s">
        <v>192</v>
      </c>
      <c r="G198" s="204">
        <v>5</v>
      </c>
      <c r="H198" s="218" t="s">
        <v>507</v>
      </c>
      <c r="I198" s="222"/>
    </row>
    <row r="199" spans="2:9" ht="30" customHeight="1">
      <c r="B199" s="285" t="s">
        <v>508</v>
      </c>
      <c r="C199" s="10" t="s">
        <v>465</v>
      </c>
      <c r="D199" s="204" t="s">
        <v>55</v>
      </c>
      <c r="E199" s="222" t="s">
        <v>509</v>
      </c>
      <c r="F199" s="204" t="s">
        <v>192</v>
      </c>
      <c r="G199" s="204">
        <v>2</v>
      </c>
      <c r="H199" s="218" t="s">
        <v>510</v>
      </c>
      <c r="I199" s="222"/>
    </row>
    <row r="200" spans="2:9" ht="45" customHeight="1">
      <c r="B200" s="285" t="s">
        <v>511</v>
      </c>
      <c r="C200" s="10" t="s">
        <v>465</v>
      </c>
      <c r="D200" s="204" t="s">
        <v>55</v>
      </c>
      <c r="E200" s="222" t="s">
        <v>512</v>
      </c>
      <c r="F200" s="204" t="s">
        <v>192</v>
      </c>
      <c r="G200" s="204">
        <v>3</v>
      </c>
      <c r="H200" s="218" t="s">
        <v>513</v>
      </c>
      <c r="I200" s="222"/>
    </row>
    <row r="201" spans="2:9">
      <c r="B201" s="285" t="s">
        <v>514</v>
      </c>
      <c r="C201" s="10" t="s">
        <v>465</v>
      </c>
      <c r="D201" s="204" t="s">
        <v>55</v>
      </c>
      <c r="E201" s="8" t="s">
        <v>515</v>
      </c>
      <c r="F201" s="204" t="s">
        <v>192</v>
      </c>
      <c r="G201" s="204">
        <v>1</v>
      </c>
      <c r="H201" s="204"/>
      <c r="I201" s="222"/>
    </row>
    <row r="202" spans="2:9">
      <c r="B202" s="285" t="s">
        <v>516</v>
      </c>
      <c r="C202" s="10" t="s">
        <v>465</v>
      </c>
      <c r="D202" s="204" t="s">
        <v>55</v>
      </c>
      <c r="E202" s="8" t="s">
        <v>517</v>
      </c>
      <c r="F202" s="204" t="s">
        <v>192</v>
      </c>
      <c r="G202" s="204">
        <v>1</v>
      </c>
      <c r="H202" s="204"/>
      <c r="I202" s="222"/>
    </row>
    <row r="203" spans="2:9">
      <c r="B203" s="285" t="s">
        <v>518</v>
      </c>
      <c r="C203" s="10" t="s">
        <v>465</v>
      </c>
      <c r="D203" s="204" t="s">
        <v>55</v>
      </c>
      <c r="E203" s="8" t="s">
        <v>519</v>
      </c>
      <c r="F203" s="204" t="s">
        <v>192</v>
      </c>
      <c r="G203" s="204">
        <v>11</v>
      </c>
      <c r="H203" s="204"/>
      <c r="I203" s="222"/>
    </row>
    <row r="204" spans="2:9">
      <c r="B204" s="285" t="s">
        <v>520</v>
      </c>
      <c r="C204" s="10" t="s">
        <v>465</v>
      </c>
      <c r="D204" s="204" t="s">
        <v>55</v>
      </c>
      <c r="E204" s="8" t="s">
        <v>521</v>
      </c>
      <c r="F204" s="204" t="s">
        <v>192</v>
      </c>
      <c r="G204" s="204">
        <v>8</v>
      </c>
      <c r="H204" s="204"/>
      <c r="I204" s="222"/>
    </row>
    <row r="205" spans="2:9">
      <c r="B205" s="285" t="s">
        <v>522</v>
      </c>
      <c r="C205" s="10" t="s">
        <v>465</v>
      </c>
      <c r="D205" s="204" t="s">
        <v>55</v>
      </c>
      <c r="E205" s="222" t="s">
        <v>523</v>
      </c>
      <c r="F205" s="204" t="s">
        <v>192</v>
      </c>
      <c r="G205" s="204">
        <v>1</v>
      </c>
      <c r="H205" s="204"/>
      <c r="I205" s="222"/>
    </row>
    <row r="206" spans="2:9">
      <c r="B206" s="285" t="s">
        <v>524</v>
      </c>
      <c r="C206" s="10" t="s">
        <v>465</v>
      </c>
      <c r="D206" s="204" t="s">
        <v>55</v>
      </c>
      <c r="E206" s="222" t="s">
        <v>525</v>
      </c>
      <c r="F206" s="204" t="s">
        <v>192</v>
      </c>
      <c r="G206" s="204">
        <v>1</v>
      </c>
      <c r="H206" s="204"/>
      <c r="I206" s="222"/>
    </row>
    <row r="207" spans="2:9">
      <c r="B207" s="285" t="s">
        <v>526</v>
      </c>
      <c r="C207" s="10" t="s">
        <v>465</v>
      </c>
      <c r="D207" s="204" t="s">
        <v>55</v>
      </c>
      <c r="E207" s="8" t="s">
        <v>527</v>
      </c>
      <c r="F207" s="204" t="s">
        <v>192</v>
      </c>
      <c r="G207" s="204">
        <v>1</v>
      </c>
      <c r="H207" s="159"/>
      <c r="I207" s="222"/>
    </row>
    <row r="208" spans="2:9">
      <c r="B208" s="285" t="s">
        <v>528</v>
      </c>
      <c r="C208" s="10" t="s">
        <v>465</v>
      </c>
      <c r="D208" s="204" t="s">
        <v>55</v>
      </c>
      <c r="E208" s="8" t="s">
        <v>529</v>
      </c>
      <c r="F208" s="204" t="s">
        <v>192</v>
      </c>
      <c r="G208" s="204">
        <v>3</v>
      </c>
      <c r="H208" s="204"/>
      <c r="I208" s="222"/>
    </row>
    <row r="209" spans="2:9" ht="45" customHeight="1">
      <c r="B209" s="285" t="s">
        <v>530</v>
      </c>
      <c r="C209" s="10" t="s">
        <v>465</v>
      </c>
      <c r="D209" s="204" t="s">
        <v>55</v>
      </c>
      <c r="E209" s="222" t="s">
        <v>531</v>
      </c>
      <c r="F209" s="204" t="s">
        <v>192</v>
      </c>
      <c r="G209" s="204">
        <v>3</v>
      </c>
      <c r="H209" s="159" t="s">
        <v>532</v>
      </c>
      <c r="I209" s="222"/>
    </row>
    <row r="210" spans="2:9">
      <c r="B210" s="285" t="s">
        <v>533</v>
      </c>
      <c r="C210" s="10" t="s">
        <v>465</v>
      </c>
      <c r="D210" s="204" t="s">
        <v>55</v>
      </c>
      <c r="E210" s="8" t="s">
        <v>515</v>
      </c>
      <c r="F210" s="204" t="s">
        <v>192</v>
      </c>
      <c r="G210" s="204">
        <v>1</v>
      </c>
      <c r="H210" s="204"/>
      <c r="I210" s="222"/>
    </row>
    <row r="211" spans="2:9">
      <c r="B211" s="285" t="s">
        <v>534</v>
      </c>
      <c r="C211" s="10" t="s">
        <v>465</v>
      </c>
      <c r="D211" s="204" t="s">
        <v>55</v>
      </c>
      <c r="E211" s="8" t="s">
        <v>535</v>
      </c>
      <c r="F211" s="204" t="s">
        <v>192</v>
      </c>
      <c r="G211" s="204">
        <v>1</v>
      </c>
      <c r="H211" s="204"/>
      <c r="I211" s="222"/>
    </row>
    <row r="212" spans="2:9">
      <c r="B212" s="285" t="s">
        <v>536</v>
      </c>
      <c r="C212" s="10" t="s">
        <v>465</v>
      </c>
      <c r="D212" s="204" t="s">
        <v>55</v>
      </c>
      <c r="E212" s="8" t="s">
        <v>523</v>
      </c>
      <c r="F212" s="204" t="s">
        <v>199</v>
      </c>
      <c r="G212" s="204">
        <v>5</v>
      </c>
      <c r="H212" s="204"/>
      <c r="I212" s="222"/>
    </row>
    <row r="213" spans="2:9">
      <c r="B213" s="285" t="s">
        <v>537</v>
      </c>
      <c r="C213" s="10" t="s">
        <v>465</v>
      </c>
      <c r="D213" s="204" t="s">
        <v>55</v>
      </c>
      <c r="E213" s="8" t="s">
        <v>521</v>
      </c>
      <c r="F213" s="204" t="s">
        <v>199</v>
      </c>
      <c r="G213" s="204">
        <v>60</v>
      </c>
      <c r="H213" s="204"/>
      <c r="I213" s="222"/>
    </row>
    <row r="214" spans="2:9">
      <c r="B214" s="285" t="s">
        <v>538</v>
      </c>
      <c r="C214" s="10" t="s">
        <v>465</v>
      </c>
      <c r="D214" s="204" t="s">
        <v>55</v>
      </c>
      <c r="E214" s="8" t="s">
        <v>519</v>
      </c>
      <c r="F214" s="204" t="s">
        <v>199</v>
      </c>
      <c r="G214" s="204">
        <v>150</v>
      </c>
      <c r="H214" s="204"/>
      <c r="I214" s="222"/>
    </row>
    <row r="215" spans="2:9" ht="150" customHeight="1">
      <c r="B215" s="285" t="s">
        <v>539</v>
      </c>
      <c r="C215" s="10" t="s">
        <v>465</v>
      </c>
      <c r="D215" s="204" t="s">
        <v>55</v>
      </c>
      <c r="E215" s="222" t="s">
        <v>540</v>
      </c>
      <c r="F215" s="204" t="s">
        <v>192</v>
      </c>
      <c r="G215" s="204">
        <v>12</v>
      </c>
      <c r="H215" s="159" t="s">
        <v>541</v>
      </c>
      <c r="I215" s="222"/>
    </row>
    <row r="216" spans="2:9" ht="45" customHeight="1">
      <c r="B216" s="285" t="s">
        <v>542</v>
      </c>
      <c r="C216" s="10" t="s">
        <v>465</v>
      </c>
      <c r="D216" s="204" t="s">
        <v>55</v>
      </c>
      <c r="E216" s="8" t="s">
        <v>543</v>
      </c>
      <c r="F216" s="204" t="s">
        <v>192</v>
      </c>
      <c r="G216" s="204">
        <v>3</v>
      </c>
      <c r="H216" s="159" t="s">
        <v>544</v>
      </c>
      <c r="I216" s="222"/>
    </row>
    <row r="217" spans="2:9">
      <c r="B217" s="285" t="s">
        <v>545</v>
      </c>
      <c r="C217" s="10" t="s">
        <v>465</v>
      </c>
      <c r="D217" s="204" t="s">
        <v>55</v>
      </c>
      <c r="E217" s="8" t="s">
        <v>474</v>
      </c>
      <c r="F217" s="204" t="s">
        <v>192</v>
      </c>
      <c r="G217" s="204">
        <v>1</v>
      </c>
      <c r="H217" s="153" t="s">
        <v>546</v>
      </c>
      <c r="I217" s="222"/>
    </row>
    <row r="218" spans="2:9">
      <c r="B218" s="285" t="s">
        <v>547</v>
      </c>
      <c r="C218" s="10" t="s">
        <v>465</v>
      </c>
      <c r="D218" s="204" t="s">
        <v>55</v>
      </c>
      <c r="E218" s="8" t="s">
        <v>548</v>
      </c>
      <c r="F218" s="204" t="s">
        <v>192</v>
      </c>
      <c r="G218" s="204">
        <v>1</v>
      </c>
      <c r="H218" s="251" t="s">
        <v>549</v>
      </c>
      <c r="I218" s="222"/>
    </row>
    <row r="219" spans="2:9">
      <c r="B219" s="285" t="s">
        <v>550</v>
      </c>
      <c r="C219" s="10" t="s">
        <v>465</v>
      </c>
      <c r="D219" s="204" t="s">
        <v>55</v>
      </c>
      <c r="E219" s="222" t="s">
        <v>212</v>
      </c>
      <c r="F219" s="204" t="s">
        <v>192</v>
      </c>
      <c r="G219" s="204">
        <v>1</v>
      </c>
      <c r="H219" s="8"/>
      <c r="I219" s="222"/>
    </row>
    <row r="220" spans="2:9">
      <c r="B220" s="285" t="s">
        <v>551</v>
      </c>
      <c r="C220" s="10" t="s">
        <v>465</v>
      </c>
      <c r="D220" s="204" t="s">
        <v>55</v>
      </c>
      <c r="E220" s="222" t="s">
        <v>552</v>
      </c>
      <c r="F220" s="204" t="s">
        <v>192</v>
      </c>
      <c r="G220" s="204">
        <v>1</v>
      </c>
      <c r="H220" s="8" t="s">
        <v>553</v>
      </c>
      <c r="I220" s="222"/>
    </row>
    <row r="221" spans="2:9">
      <c r="B221" s="285" t="s">
        <v>554</v>
      </c>
      <c r="C221" s="10" t="s">
        <v>465</v>
      </c>
      <c r="D221" s="204" t="s">
        <v>55</v>
      </c>
      <c r="E221" s="222" t="s">
        <v>285</v>
      </c>
      <c r="F221" s="204" t="s">
        <v>192</v>
      </c>
      <c r="G221" s="204">
        <v>12</v>
      </c>
      <c r="H221" s="204"/>
      <c r="I221" s="222"/>
    </row>
    <row r="222" spans="2:9">
      <c r="B222" s="285" t="s">
        <v>555</v>
      </c>
      <c r="C222" s="10" t="s">
        <v>465</v>
      </c>
      <c r="D222" s="204" t="s">
        <v>55</v>
      </c>
      <c r="E222" s="222" t="s">
        <v>556</v>
      </c>
      <c r="F222" s="204" t="s">
        <v>192</v>
      </c>
      <c r="G222" s="204">
        <v>7</v>
      </c>
      <c r="H222" s="204"/>
      <c r="I222" s="222"/>
    </row>
    <row r="223" spans="2:9">
      <c r="B223" s="285" t="s">
        <v>557</v>
      </c>
      <c r="C223" s="10" t="s">
        <v>558</v>
      </c>
      <c r="D223" s="204" t="s">
        <v>404</v>
      </c>
      <c r="E223" s="222" t="s">
        <v>559</v>
      </c>
      <c r="F223" s="204" t="s">
        <v>192</v>
      </c>
      <c r="G223" s="204">
        <v>1</v>
      </c>
      <c r="H223" s="204"/>
      <c r="I223" s="222"/>
    </row>
    <row r="224" spans="2:9">
      <c r="B224" s="285" t="s">
        <v>560</v>
      </c>
      <c r="C224" s="10" t="s">
        <v>558</v>
      </c>
      <c r="D224" s="204" t="s">
        <v>404</v>
      </c>
      <c r="E224" s="222" t="s">
        <v>561</v>
      </c>
      <c r="F224" s="204" t="s">
        <v>192</v>
      </c>
      <c r="G224" s="204">
        <v>1</v>
      </c>
      <c r="H224" s="204" t="s">
        <v>562</v>
      </c>
      <c r="I224" s="222"/>
    </row>
    <row r="225" spans="2:9">
      <c r="B225" s="285" t="s">
        <v>563</v>
      </c>
      <c r="C225" s="10" t="s">
        <v>558</v>
      </c>
      <c r="D225" s="204" t="s">
        <v>404</v>
      </c>
      <c r="E225" s="222" t="s">
        <v>564</v>
      </c>
      <c r="F225" s="204" t="s">
        <v>192</v>
      </c>
      <c r="G225" s="204">
        <v>1</v>
      </c>
      <c r="H225" s="204"/>
      <c r="I225" s="222"/>
    </row>
    <row r="226" spans="2:9">
      <c r="B226" s="285" t="s">
        <v>565</v>
      </c>
      <c r="C226" s="10" t="s">
        <v>558</v>
      </c>
      <c r="D226" s="204" t="s">
        <v>404</v>
      </c>
      <c r="E226" s="222" t="s">
        <v>566</v>
      </c>
      <c r="F226" s="204" t="s">
        <v>192</v>
      </c>
      <c r="G226" s="204">
        <v>1</v>
      </c>
      <c r="H226" s="204"/>
      <c r="I226" s="222"/>
    </row>
    <row r="227" spans="2:9">
      <c r="B227" s="285" t="s">
        <v>567</v>
      </c>
      <c r="C227" s="10" t="s">
        <v>568</v>
      </c>
      <c r="D227" s="204" t="s">
        <v>404</v>
      </c>
      <c r="E227" s="222" t="s">
        <v>559</v>
      </c>
      <c r="F227" s="204" t="s">
        <v>189</v>
      </c>
      <c r="G227" s="204">
        <v>1</v>
      </c>
      <c r="H227" s="204"/>
      <c r="I227" s="222"/>
    </row>
    <row r="228" spans="2:9">
      <c r="B228" s="285" t="s">
        <v>569</v>
      </c>
      <c r="C228" s="10" t="s">
        <v>568</v>
      </c>
      <c r="D228" s="204" t="s">
        <v>404</v>
      </c>
      <c r="E228" s="222" t="s">
        <v>570</v>
      </c>
      <c r="F228" s="204" t="s">
        <v>189</v>
      </c>
      <c r="G228" s="204">
        <v>1</v>
      </c>
      <c r="H228" s="204"/>
      <c r="I228" s="222"/>
    </row>
    <row r="229" spans="2:9">
      <c r="B229" s="285" t="s">
        <v>571</v>
      </c>
      <c r="C229" s="10" t="s">
        <v>568</v>
      </c>
      <c r="D229" s="204" t="s">
        <v>404</v>
      </c>
      <c r="E229" s="222" t="s">
        <v>319</v>
      </c>
      <c r="F229" s="204" t="s">
        <v>192</v>
      </c>
      <c r="G229" s="204">
        <v>6</v>
      </c>
      <c r="H229" s="204"/>
      <c r="I229" s="222"/>
    </row>
    <row r="230" spans="2:9">
      <c r="B230" s="285" t="s">
        <v>572</v>
      </c>
      <c r="C230" s="10" t="s">
        <v>568</v>
      </c>
      <c r="D230" s="204" t="s">
        <v>404</v>
      </c>
      <c r="E230" s="222" t="s">
        <v>290</v>
      </c>
      <c r="F230" s="204" t="s">
        <v>192</v>
      </c>
      <c r="G230" s="204">
        <v>6</v>
      </c>
      <c r="H230" s="204"/>
      <c r="I230" s="222"/>
    </row>
    <row r="231" spans="2:9">
      <c r="B231" s="285" t="s">
        <v>573</v>
      </c>
      <c r="C231" s="10" t="s">
        <v>568</v>
      </c>
      <c r="D231" s="204" t="s">
        <v>404</v>
      </c>
      <c r="E231" s="222" t="s">
        <v>574</v>
      </c>
      <c r="F231" s="204" t="s">
        <v>192</v>
      </c>
      <c r="G231" s="204">
        <v>6</v>
      </c>
      <c r="H231" s="204"/>
      <c r="I231" s="222"/>
    </row>
    <row r="232" spans="2:9">
      <c r="B232" s="285" t="s">
        <v>575</v>
      </c>
      <c r="C232" s="10" t="s">
        <v>568</v>
      </c>
      <c r="D232" s="204" t="s">
        <v>404</v>
      </c>
      <c r="E232" s="222" t="s">
        <v>576</v>
      </c>
      <c r="F232" s="204" t="s">
        <v>192</v>
      </c>
      <c r="G232" s="204">
        <v>1</v>
      </c>
      <c r="H232" s="204"/>
      <c r="I232" s="222"/>
    </row>
    <row r="233" spans="2:9">
      <c r="B233" s="285" t="s">
        <v>577</v>
      </c>
      <c r="C233" s="10" t="s">
        <v>568</v>
      </c>
      <c r="D233" s="204" t="s">
        <v>404</v>
      </c>
      <c r="E233" s="222" t="s">
        <v>578</v>
      </c>
      <c r="F233" s="204" t="s">
        <v>192</v>
      </c>
      <c r="G233" s="204">
        <v>12</v>
      </c>
      <c r="H233" s="204"/>
      <c r="I233" s="222"/>
    </row>
    <row r="234" spans="2:9">
      <c r="B234" s="285" t="s">
        <v>579</v>
      </c>
      <c r="C234" s="10" t="s">
        <v>568</v>
      </c>
      <c r="D234" s="204" t="s">
        <v>404</v>
      </c>
      <c r="E234" s="222" t="s">
        <v>580</v>
      </c>
      <c r="F234" s="204" t="s">
        <v>192</v>
      </c>
      <c r="G234" s="204">
        <v>1</v>
      </c>
      <c r="H234" s="204"/>
      <c r="I234" s="222"/>
    </row>
    <row r="235" spans="2:9">
      <c r="B235" s="285" t="s">
        <v>581</v>
      </c>
      <c r="C235" s="10" t="s">
        <v>568</v>
      </c>
      <c r="D235" s="204" t="s">
        <v>404</v>
      </c>
      <c r="E235" s="222" t="s">
        <v>582</v>
      </c>
      <c r="F235" s="204" t="s">
        <v>192</v>
      </c>
      <c r="G235" s="204">
        <v>1</v>
      </c>
      <c r="H235" s="204"/>
      <c r="I235" s="222"/>
    </row>
    <row r="236" spans="2:9">
      <c r="B236" s="285" t="s">
        <v>583</v>
      </c>
      <c r="C236" s="10" t="s">
        <v>568</v>
      </c>
      <c r="D236" s="204" t="s">
        <v>404</v>
      </c>
      <c r="E236" s="222" t="s">
        <v>584</v>
      </c>
      <c r="F236" s="204" t="s">
        <v>192</v>
      </c>
      <c r="G236" s="204">
        <v>2</v>
      </c>
      <c r="H236" s="204"/>
      <c r="I236" s="222"/>
    </row>
    <row r="237" spans="2:9">
      <c r="B237" s="285" t="s">
        <v>585</v>
      </c>
      <c r="C237" s="10" t="s">
        <v>568</v>
      </c>
      <c r="D237" s="204" t="s">
        <v>404</v>
      </c>
      <c r="E237" s="222" t="s">
        <v>586</v>
      </c>
      <c r="F237" s="204" t="s">
        <v>192</v>
      </c>
      <c r="G237" s="204">
        <v>1</v>
      </c>
      <c r="H237" s="204"/>
      <c r="I237" s="222"/>
    </row>
    <row r="238" spans="2:9">
      <c r="B238" s="285" t="s">
        <v>587</v>
      </c>
      <c r="C238" s="10" t="s">
        <v>568</v>
      </c>
      <c r="D238" s="204" t="s">
        <v>404</v>
      </c>
      <c r="E238" s="222" t="s">
        <v>588</v>
      </c>
      <c r="F238" s="204" t="s">
        <v>192</v>
      </c>
      <c r="G238" s="204">
        <v>1</v>
      </c>
      <c r="H238" s="204"/>
      <c r="I238" s="222"/>
    </row>
    <row r="239" spans="2:9">
      <c r="B239" s="285" t="s">
        <v>589</v>
      </c>
      <c r="C239" s="10" t="s">
        <v>568</v>
      </c>
      <c r="D239" s="204" t="s">
        <v>404</v>
      </c>
      <c r="E239" s="222" t="s">
        <v>590</v>
      </c>
      <c r="F239" s="204" t="s">
        <v>192</v>
      </c>
      <c r="G239" s="204">
        <v>3</v>
      </c>
      <c r="H239" s="204"/>
      <c r="I239" s="222"/>
    </row>
    <row r="240" spans="2:9">
      <c r="B240" s="285" t="s">
        <v>591</v>
      </c>
      <c r="C240" s="10" t="s">
        <v>568</v>
      </c>
      <c r="D240" s="204" t="s">
        <v>404</v>
      </c>
      <c r="E240" s="222" t="s">
        <v>592</v>
      </c>
      <c r="F240" s="204" t="s">
        <v>192</v>
      </c>
      <c r="G240" s="204">
        <v>1</v>
      </c>
      <c r="H240" s="204"/>
      <c r="I240" s="222"/>
    </row>
    <row r="241" spans="2:9">
      <c r="B241" s="285" t="s">
        <v>593</v>
      </c>
      <c r="C241" s="10" t="s">
        <v>568</v>
      </c>
      <c r="D241" s="204" t="s">
        <v>404</v>
      </c>
      <c r="E241" s="222" t="s">
        <v>594</v>
      </c>
      <c r="F241" s="204" t="s">
        <v>192</v>
      </c>
      <c r="G241" s="204">
        <v>1</v>
      </c>
      <c r="H241" s="204"/>
      <c r="I241" s="222"/>
    </row>
    <row r="242" spans="2:9">
      <c r="B242" s="285" t="s">
        <v>595</v>
      </c>
      <c r="C242" s="10" t="s">
        <v>568</v>
      </c>
      <c r="D242" s="204" t="s">
        <v>404</v>
      </c>
      <c r="E242" s="222" t="s">
        <v>596</v>
      </c>
      <c r="F242" s="204" t="s">
        <v>192</v>
      </c>
      <c r="G242" s="204">
        <v>1</v>
      </c>
      <c r="H242" s="204"/>
      <c r="I242" s="222"/>
    </row>
    <row r="243" spans="2:9">
      <c r="B243" s="285" t="s">
        <v>597</v>
      </c>
      <c r="C243" s="10" t="s">
        <v>568</v>
      </c>
      <c r="D243" s="204" t="s">
        <v>404</v>
      </c>
      <c r="E243" s="222" t="s">
        <v>598</v>
      </c>
      <c r="F243" s="204" t="s">
        <v>192</v>
      </c>
      <c r="G243" s="204">
        <v>1</v>
      </c>
      <c r="H243" s="204"/>
      <c r="I243" s="222"/>
    </row>
    <row r="244" spans="2:9">
      <c r="B244" s="285" t="s">
        <v>599</v>
      </c>
      <c r="C244" s="10" t="s">
        <v>568</v>
      </c>
      <c r="D244" s="204" t="s">
        <v>404</v>
      </c>
      <c r="E244" s="222" t="s">
        <v>600</v>
      </c>
      <c r="F244" s="204" t="s">
        <v>192</v>
      </c>
      <c r="G244" s="204">
        <v>1</v>
      </c>
      <c r="H244" s="204"/>
      <c r="I244" s="222"/>
    </row>
    <row r="245" spans="2:9">
      <c r="B245" s="285" t="s">
        <v>601</v>
      </c>
      <c r="C245" s="10" t="s">
        <v>568</v>
      </c>
      <c r="D245" s="204" t="s">
        <v>404</v>
      </c>
      <c r="E245" s="222" t="s">
        <v>602</v>
      </c>
      <c r="F245" s="204" t="s">
        <v>192</v>
      </c>
      <c r="G245" s="204">
        <v>1</v>
      </c>
      <c r="H245" s="204"/>
      <c r="I245" s="222"/>
    </row>
    <row r="246" spans="2:9">
      <c r="B246" s="285" t="s">
        <v>603</v>
      </c>
      <c r="C246" s="10" t="s">
        <v>568</v>
      </c>
      <c r="D246" s="204" t="s">
        <v>404</v>
      </c>
      <c r="E246" s="222" t="s">
        <v>604</v>
      </c>
      <c r="F246" s="204" t="s">
        <v>192</v>
      </c>
      <c r="G246" s="204">
        <v>4</v>
      </c>
      <c r="H246" s="204"/>
      <c r="I246" s="222"/>
    </row>
    <row r="247" spans="2:9">
      <c r="B247" s="285" t="s">
        <v>605</v>
      </c>
      <c r="C247" s="10" t="s">
        <v>568</v>
      </c>
      <c r="D247" s="204" t="s">
        <v>404</v>
      </c>
      <c r="E247" s="222" t="s">
        <v>606</v>
      </c>
      <c r="F247" s="204" t="s">
        <v>192</v>
      </c>
      <c r="G247" s="204">
        <v>1</v>
      </c>
      <c r="H247" s="204"/>
      <c r="I247" s="222"/>
    </row>
    <row r="248" spans="2:9">
      <c r="B248" s="285" t="s">
        <v>607</v>
      </c>
      <c r="C248" s="10" t="s">
        <v>568</v>
      </c>
      <c r="D248" s="204" t="s">
        <v>404</v>
      </c>
      <c r="E248" s="222" t="s">
        <v>477</v>
      </c>
      <c r="F248" s="204" t="s">
        <v>192</v>
      </c>
      <c r="G248" s="204">
        <v>1</v>
      </c>
      <c r="H248" s="204"/>
      <c r="I248" s="222"/>
    </row>
    <row r="249" spans="2:9">
      <c r="B249" s="285" t="s">
        <v>608</v>
      </c>
      <c r="C249" s="10" t="s">
        <v>568</v>
      </c>
      <c r="D249" s="204" t="s">
        <v>404</v>
      </c>
      <c r="E249" s="222" t="s">
        <v>609</v>
      </c>
      <c r="F249" s="204" t="s">
        <v>192</v>
      </c>
      <c r="G249" s="204">
        <v>1</v>
      </c>
      <c r="H249" s="204"/>
      <c r="I249" s="222"/>
    </row>
    <row r="250" spans="2:9">
      <c r="B250" s="285" t="s">
        <v>610</v>
      </c>
      <c r="C250" s="10" t="s">
        <v>568</v>
      </c>
      <c r="D250" s="204" t="s">
        <v>404</v>
      </c>
      <c r="E250" s="222" t="s">
        <v>611</v>
      </c>
      <c r="F250" s="204" t="s">
        <v>192</v>
      </c>
      <c r="G250" s="204">
        <v>1</v>
      </c>
      <c r="H250" s="204"/>
      <c r="I250" s="222"/>
    </row>
    <row r="251" spans="2:9">
      <c r="B251" s="285" t="s">
        <v>612</v>
      </c>
      <c r="C251" s="10" t="s">
        <v>613</v>
      </c>
      <c r="D251" s="204" t="s">
        <v>404</v>
      </c>
      <c r="E251" s="222" t="s">
        <v>319</v>
      </c>
      <c r="F251" s="204" t="s">
        <v>192</v>
      </c>
      <c r="G251" s="204">
        <v>5</v>
      </c>
      <c r="H251" s="204"/>
      <c r="I251" s="222"/>
    </row>
    <row r="252" spans="2:9">
      <c r="B252" s="285" t="s">
        <v>614</v>
      </c>
      <c r="C252" s="10" t="s">
        <v>613</v>
      </c>
      <c r="D252" s="204" t="s">
        <v>404</v>
      </c>
      <c r="E252" s="222" t="s">
        <v>519</v>
      </c>
      <c r="F252" s="204" t="s">
        <v>199</v>
      </c>
      <c r="G252" s="204">
        <v>5</v>
      </c>
      <c r="H252" s="204"/>
      <c r="I252" s="222"/>
    </row>
    <row r="253" spans="2:9">
      <c r="B253" s="285" t="s">
        <v>615</v>
      </c>
      <c r="C253" s="10" t="s">
        <v>613</v>
      </c>
      <c r="D253" s="204" t="s">
        <v>404</v>
      </c>
      <c r="E253" s="222" t="s">
        <v>284</v>
      </c>
      <c r="F253" s="204" t="s">
        <v>199</v>
      </c>
      <c r="G253" s="204">
        <v>5</v>
      </c>
      <c r="H253" s="204"/>
      <c r="I253" s="222"/>
    </row>
    <row r="254" spans="2:9">
      <c r="B254" s="285" t="s">
        <v>616</v>
      </c>
      <c r="C254" s="10" t="s">
        <v>613</v>
      </c>
      <c r="D254" s="204" t="s">
        <v>404</v>
      </c>
      <c r="E254" s="222" t="s">
        <v>617</v>
      </c>
      <c r="F254" s="204" t="s">
        <v>192</v>
      </c>
      <c r="G254" s="204">
        <v>2</v>
      </c>
      <c r="H254" s="204"/>
      <c r="I254" s="222"/>
    </row>
    <row r="255" spans="2:9">
      <c r="B255" s="285" t="s">
        <v>618</v>
      </c>
      <c r="C255" s="10" t="s">
        <v>613</v>
      </c>
      <c r="D255" s="204" t="s">
        <v>404</v>
      </c>
      <c r="E255" s="222" t="s">
        <v>619</v>
      </c>
      <c r="F255" s="204" t="s">
        <v>192</v>
      </c>
      <c r="G255" s="204">
        <v>1</v>
      </c>
      <c r="H255" s="204"/>
      <c r="I255" s="222"/>
    </row>
    <row r="256" spans="2:9">
      <c r="B256" s="285" t="s">
        <v>620</v>
      </c>
      <c r="C256" s="10" t="s">
        <v>613</v>
      </c>
      <c r="D256" s="204" t="s">
        <v>404</v>
      </c>
      <c r="E256" s="222" t="s">
        <v>621</v>
      </c>
      <c r="F256" s="204" t="s">
        <v>192</v>
      </c>
      <c r="G256" s="204">
        <v>1</v>
      </c>
      <c r="H256" s="204"/>
      <c r="I256" s="222"/>
    </row>
    <row r="257" spans="2:9">
      <c r="B257" s="285" t="s">
        <v>622</v>
      </c>
      <c r="C257" s="10" t="s">
        <v>613</v>
      </c>
      <c r="D257" s="204" t="s">
        <v>404</v>
      </c>
      <c r="E257" s="222" t="s">
        <v>623</v>
      </c>
      <c r="F257" s="204" t="s">
        <v>192</v>
      </c>
      <c r="G257" s="204">
        <v>3</v>
      </c>
      <c r="H257" s="204"/>
      <c r="I257" s="222"/>
    </row>
    <row r="258" spans="2:9">
      <c r="B258" s="285" t="s">
        <v>624</v>
      </c>
      <c r="C258" s="10" t="s">
        <v>613</v>
      </c>
      <c r="D258" s="204" t="s">
        <v>404</v>
      </c>
      <c r="E258" s="222" t="s">
        <v>625</v>
      </c>
      <c r="F258" s="204" t="s">
        <v>192</v>
      </c>
      <c r="G258" s="204">
        <v>1</v>
      </c>
      <c r="H258" s="204"/>
      <c r="I258" s="222"/>
    </row>
    <row r="259" spans="2:9">
      <c r="B259" s="285" t="s">
        <v>626</v>
      </c>
      <c r="C259" s="10" t="s">
        <v>613</v>
      </c>
      <c r="D259" s="204" t="s">
        <v>404</v>
      </c>
      <c r="E259" s="222" t="s">
        <v>627</v>
      </c>
      <c r="F259" s="204" t="s">
        <v>192</v>
      </c>
      <c r="G259" s="204">
        <v>2</v>
      </c>
      <c r="H259" s="204"/>
      <c r="I259" s="222"/>
    </row>
    <row r="260" spans="2:9">
      <c r="B260" s="285" t="s">
        <v>628</v>
      </c>
      <c r="C260" s="10" t="s">
        <v>613</v>
      </c>
      <c r="D260" s="204" t="s">
        <v>404</v>
      </c>
      <c r="E260" s="222" t="s">
        <v>629</v>
      </c>
      <c r="F260" s="204" t="s">
        <v>192</v>
      </c>
      <c r="G260" s="204">
        <v>1</v>
      </c>
      <c r="H260" s="204"/>
      <c r="I260" s="222"/>
    </row>
    <row r="261" spans="2:9">
      <c r="B261" s="285" t="s">
        <v>630</v>
      </c>
      <c r="C261" s="10" t="s">
        <v>613</v>
      </c>
      <c r="D261" s="204" t="s">
        <v>404</v>
      </c>
      <c r="E261" s="222" t="s">
        <v>631</v>
      </c>
      <c r="F261" s="204" t="s">
        <v>192</v>
      </c>
      <c r="G261" s="204">
        <v>1</v>
      </c>
      <c r="H261" s="204"/>
      <c r="I261" s="222"/>
    </row>
    <row r="262" spans="2:9">
      <c r="B262" s="285" t="s">
        <v>632</v>
      </c>
      <c r="C262" s="10" t="s">
        <v>613</v>
      </c>
      <c r="D262" s="204" t="s">
        <v>404</v>
      </c>
      <c r="E262" s="222" t="s">
        <v>633</v>
      </c>
      <c r="F262" s="204" t="s">
        <v>192</v>
      </c>
      <c r="G262" s="204">
        <v>1</v>
      </c>
      <c r="H262" s="204"/>
      <c r="I262" s="222"/>
    </row>
    <row r="263" spans="2:9">
      <c r="B263" s="285" t="s">
        <v>634</v>
      </c>
      <c r="C263" s="10" t="s">
        <v>613</v>
      </c>
      <c r="D263" s="204" t="s">
        <v>404</v>
      </c>
      <c r="E263" s="222" t="s">
        <v>635</v>
      </c>
      <c r="F263" s="204" t="s">
        <v>192</v>
      </c>
      <c r="G263" s="204">
        <v>1</v>
      </c>
      <c r="H263" s="204"/>
      <c r="I263" s="222"/>
    </row>
    <row r="264" spans="2:9">
      <c r="B264" s="285" t="s">
        <v>636</v>
      </c>
      <c r="C264" s="10" t="s">
        <v>613</v>
      </c>
      <c r="D264" s="204" t="s">
        <v>404</v>
      </c>
      <c r="E264" s="222" t="s">
        <v>637</v>
      </c>
      <c r="F264" s="204" t="s">
        <v>192</v>
      </c>
      <c r="G264" s="204">
        <v>1</v>
      </c>
      <c r="H264" s="204"/>
      <c r="I264" s="222"/>
    </row>
    <row r="265" spans="2:9">
      <c r="B265" s="285" t="s">
        <v>638</v>
      </c>
      <c r="C265" s="10" t="s">
        <v>613</v>
      </c>
      <c r="D265" s="204" t="s">
        <v>404</v>
      </c>
      <c r="E265" s="222" t="s">
        <v>596</v>
      </c>
      <c r="F265" s="204" t="s">
        <v>192</v>
      </c>
      <c r="G265" s="204">
        <v>1</v>
      </c>
      <c r="H265" s="204"/>
      <c r="I265" s="222"/>
    </row>
    <row r="266" spans="2:9">
      <c r="B266" s="285" t="s">
        <v>639</v>
      </c>
      <c r="C266" s="10" t="s">
        <v>613</v>
      </c>
      <c r="D266" s="204" t="s">
        <v>404</v>
      </c>
      <c r="E266" s="222" t="s">
        <v>640</v>
      </c>
      <c r="F266" s="204" t="s">
        <v>192</v>
      </c>
      <c r="G266" s="204">
        <v>1</v>
      </c>
      <c r="H266" s="204"/>
      <c r="I266" s="222"/>
    </row>
    <row r="267" spans="2:9">
      <c r="B267" s="285" t="s">
        <v>641</v>
      </c>
      <c r="C267" s="10" t="s">
        <v>613</v>
      </c>
      <c r="D267" s="204" t="s">
        <v>404</v>
      </c>
      <c r="E267" s="222" t="s">
        <v>642</v>
      </c>
      <c r="F267" s="204" t="s">
        <v>192</v>
      </c>
      <c r="G267" s="204">
        <v>4</v>
      </c>
      <c r="H267" s="204"/>
      <c r="I267" s="222"/>
    </row>
    <row r="268" spans="2:9">
      <c r="B268" s="285" t="s">
        <v>643</v>
      </c>
      <c r="C268" s="10" t="s">
        <v>613</v>
      </c>
      <c r="D268" s="204" t="s">
        <v>404</v>
      </c>
      <c r="E268" s="222" t="s">
        <v>644</v>
      </c>
      <c r="F268" s="204" t="s">
        <v>192</v>
      </c>
      <c r="G268" s="204">
        <v>1</v>
      </c>
      <c r="H268" s="204"/>
      <c r="I268" s="222"/>
    </row>
    <row r="269" spans="2:9">
      <c r="B269" s="285" t="s">
        <v>645</v>
      </c>
      <c r="C269" s="10" t="s">
        <v>613</v>
      </c>
      <c r="D269" s="204" t="s">
        <v>404</v>
      </c>
      <c r="E269" s="222" t="s">
        <v>477</v>
      </c>
      <c r="F269" s="204" t="s">
        <v>192</v>
      </c>
      <c r="G269" s="204">
        <v>1</v>
      </c>
      <c r="H269" s="204"/>
      <c r="I269" s="222"/>
    </row>
    <row r="270" spans="2:9">
      <c r="B270" s="285" t="s">
        <v>646</v>
      </c>
      <c r="C270" s="10" t="s">
        <v>613</v>
      </c>
      <c r="D270" s="204" t="s">
        <v>404</v>
      </c>
      <c r="E270" s="222" t="s">
        <v>647</v>
      </c>
      <c r="F270" s="204" t="s">
        <v>192</v>
      </c>
      <c r="G270" s="204">
        <v>1</v>
      </c>
      <c r="H270" s="204"/>
      <c r="I270" s="222"/>
    </row>
    <row r="271" spans="2:9">
      <c r="B271" s="285" t="s">
        <v>648</v>
      </c>
      <c r="C271" s="10" t="s">
        <v>649</v>
      </c>
      <c r="D271" s="204" t="s">
        <v>55</v>
      </c>
      <c r="E271" s="222" t="s">
        <v>457</v>
      </c>
      <c r="F271" s="204" t="s">
        <v>192</v>
      </c>
      <c r="G271" s="204">
        <v>3</v>
      </c>
      <c r="H271" s="204"/>
      <c r="I271" s="222"/>
    </row>
    <row r="272" spans="2:9">
      <c r="B272" s="285" t="s">
        <v>650</v>
      </c>
      <c r="C272" s="10" t="s">
        <v>649</v>
      </c>
      <c r="D272" s="204" t="s">
        <v>55</v>
      </c>
      <c r="E272" s="222" t="s">
        <v>651</v>
      </c>
      <c r="F272" s="204" t="s">
        <v>192</v>
      </c>
      <c r="G272" s="204">
        <v>1</v>
      </c>
      <c r="H272" s="204" t="s">
        <v>652</v>
      </c>
      <c r="I272" s="222"/>
    </row>
    <row r="273" spans="2:9">
      <c r="B273" s="285" t="s">
        <v>653</v>
      </c>
      <c r="C273" s="10" t="s">
        <v>649</v>
      </c>
      <c r="D273" s="204" t="s">
        <v>55</v>
      </c>
      <c r="E273" s="222" t="s">
        <v>654</v>
      </c>
      <c r="F273" s="204" t="s">
        <v>192</v>
      </c>
      <c r="G273" s="204">
        <v>1</v>
      </c>
      <c r="H273" s="204" t="s">
        <v>655</v>
      </c>
      <c r="I273" s="222"/>
    </row>
    <row r="274" spans="2:9" ht="45" customHeight="1">
      <c r="B274" s="285" t="s">
        <v>656</v>
      </c>
      <c r="C274" s="10" t="s">
        <v>649</v>
      </c>
      <c r="D274" s="204" t="s">
        <v>55</v>
      </c>
      <c r="E274" s="222" t="s">
        <v>657</v>
      </c>
      <c r="F274" s="204" t="s">
        <v>192</v>
      </c>
      <c r="G274" s="204">
        <v>3</v>
      </c>
      <c r="H274" s="218" t="s">
        <v>658</v>
      </c>
      <c r="I274" s="222"/>
    </row>
    <row r="275" spans="2:9" ht="45" customHeight="1">
      <c r="B275" s="285" t="s">
        <v>659</v>
      </c>
      <c r="C275" s="10" t="s">
        <v>649</v>
      </c>
      <c r="D275" s="204" t="s">
        <v>55</v>
      </c>
      <c r="E275" s="222" t="s">
        <v>660</v>
      </c>
      <c r="F275" s="204" t="s">
        <v>192</v>
      </c>
      <c r="G275" s="204">
        <v>3</v>
      </c>
      <c r="H275" s="218" t="s">
        <v>661</v>
      </c>
      <c r="I275" s="222"/>
    </row>
    <row r="276" spans="2:9">
      <c r="B276" s="285" t="s">
        <v>662</v>
      </c>
      <c r="C276" s="10" t="s">
        <v>649</v>
      </c>
      <c r="D276" s="204" t="s">
        <v>55</v>
      </c>
      <c r="E276" s="222" t="s">
        <v>663</v>
      </c>
      <c r="F276" s="204" t="s">
        <v>192</v>
      </c>
      <c r="G276" s="204"/>
      <c r="H276" s="222" t="s">
        <v>664</v>
      </c>
      <c r="I276" s="222"/>
    </row>
    <row r="277" spans="2:9" ht="45" customHeight="1">
      <c r="B277" s="285" t="s">
        <v>665</v>
      </c>
      <c r="C277" s="10" t="s">
        <v>649</v>
      </c>
      <c r="D277" s="204" t="s">
        <v>55</v>
      </c>
      <c r="E277" s="222" t="s">
        <v>666</v>
      </c>
      <c r="F277" s="204" t="s">
        <v>192</v>
      </c>
      <c r="G277" s="204">
        <v>3</v>
      </c>
      <c r="H277" s="252" t="s">
        <v>667</v>
      </c>
      <c r="I277" s="222"/>
    </row>
    <row r="278" spans="2:9">
      <c r="B278" s="285" t="s">
        <v>668</v>
      </c>
      <c r="C278" s="10" t="s">
        <v>649</v>
      </c>
      <c r="D278" s="204" t="s">
        <v>55</v>
      </c>
      <c r="E278" s="222" t="s">
        <v>413</v>
      </c>
      <c r="F278" s="204" t="s">
        <v>192</v>
      </c>
      <c r="G278" s="204">
        <v>1</v>
      </c>
      <c r="H278" s="222" t="s">
        <v>669</v>
      </c>
      <c r="I278" s="222"/>
    </row>
    <row r="279" spans="2:9">
      <c r="B279" s="285" t="s">
        <v>670</v>
      </c>
      <c r="C279" s="10" t="s">
        <v>649</v>
      </c>
      <c r="D279" s="204" t="s">
        <v>55</v>
      </c>
      <c r="E279" s="8" t="s">
        <v>671</v>
      </c>
      <c r="F279" s="204" t="s">
        <v>192</v>
      </c>
      <c r="G279" s="204">
        <v>1</v>
      </c>
      <c r="H279" s="8" t="s">
        <v>672</v>
      </c>
      <c r="I279" s="222"/>
    </row>
    <row r="280" spans="2:9" ht="30" customHeight="1">
      <c r="B280" s="285" t="s">
        <v>673</v>
      </c>
      <c r="C280" s="10" t="s">
        <v>649</v>
      </c>
      <c r="D280" s="204" t="s">
        <v>55</v>
      </c>
      <c r="E280" s="222" t="s">
        <v>674</v>
      </c>
      <c r="F280" s="204" t="s">
        <v>192</v>
      </c>
      <c r="G280" s="204">
        <v>2</v>
      </c>
      <c r="H280" s="218" t="s">
        <v>675</v>
      </c>
      <c r="I280" s="222"/>
    </row>
    <row r="281" spans="2:9">
      <c r="B281" s="285" t="s">
        <v>676</v>
      </c>
      <c r="C281" s="10" t="s">
        <v>649</v>
      </c>
      <c r="D281" s="204" t="s">
        <v>55</v>
      </c>
      <c r="E281" s="222" t="s">
        <v>677</v>
      </c>
      <c r="F281" s="204" t="s">
        <v>192</v>
      </c>
      <c r="G281" s="204">
        <v>1</v>
      </c>
      <c r="H281" s="8" t="s">
        <v>678</v>
      </c>
      <c r="I281" s="222"/>
    </row>
    <row r="282" spans="2:9">
      <c r="B282" s="285" t="s">
        <v>679</v>
      </c>
      <c r="C282" s="10" t="s">
        <v>649</v>
      </c>
      <c r="D282" s="204" t="s">
        <v>55</v>
      </c>
      <c r="E282" s="222" t="s">
        <v>680</v>
      </c>
      <c r="F282" s="204" t="s">
        <v>192</v>
      </c>
      <c r="G282" s="204">
        <v>1</v>
      </c>
      <c r="H282" s="204">
        <v>6568</v>
      </c>
      <c r="I282" s="222"/>
    </row>
    <row r="283" spans="2:9">
      <c r="B283" s="285" t="s">
        <v>681</v>
      </c>
      <c r="C283" s="10" t="s">
        <v>649</v>
      </c>
      <c r="D283" s="204" t="s">
        <v>55</v>
      </c>
      <c r="E283" s="222" t="s">
        <v>682</v>
      </c>
      <c r="F283" s="204" t="s">
        <v>192</v>
      </c>
      <c r="G283" s="204">
        <v>1</v>
      </c>
      <c r="H283" s="204"/>
      <c r="I283" s="222"/>
    </row>
    <row r="284" spans="2:9">
      <c r="B284" s="285" t="s">
        <v>683</v>
      </c>
      <c r="C284" s="10" t="s">
        <v>684</v>
      </c>
      <c r="D284" s="204"/>
      <c r="E284" s="222" t="s">
        <v>685</v>
      </c>
      <c r="F284" s="204" t="s">
        <v>192</v>
      </c>
      <c r="G284" s="204">
        <v>1</v>
      </c>
      <c r="H284" s="204"/>
      <c r="I284" s="222"/>
    </row>
    <row r="285" spans="2:9">
      <c r="B285" s="285" t="s">
        <v>686</v>
      </c>
      <c r="C285" s="10" t="s">
        <v>684</v>
      </c>
      <c r="D285" s="204"/>
      <c r="E285" s="222" t="s">
        <v>687</v>
      </c>
      <c r="F285" s="204" t="s">
        <v>192</v>
      </c>
      <c r="G285" s="204">
        <v>1</v>
      </c>
      <c r="H285" s="204"/>
      <c r="I285" s="222"/>
    </row>
    <row r="286" spans="2:9">
      <c r="B286" s="285" t="s">
        <v>688</v>
      </c>
      <c r="C286" s="10" t="s">
        <v>684</v>
      </c>
      <c r="D286" s="204"/>
      <c r="E286" s="257" t="s">
        <v>689</v>
      </c>
      <c r="F286" s="204" t="s">
        <v>192</v>
      </c>
      <c r="G286" s="204">
        <v>1</v>
      </c>
      <c r="H286" s="253" t="s">
        <v>690</v>
      </c>
      <c r="I286" s="222" t="s">
        <v>691</v>
      </c>
    </row>
    <row r="287" spans="2:9">
      <c r="B287" s="285" t="s">
        <v>692</v>
      </c>
      <c r="C287" s="10" t="s">
        <v>684</v>
      </c>
      <c r="D287" s="204"/>
      <c r="E287" s="257" t="s">
        <v>693</v>
      </c>
      <c r="F287" s="204" t="s">
        <v>192</v>
      </c>
      <c r="G287" s="204">
        <v>1</v>
      </c>
      <c r="H287" s="253" t="s">
        <v>694</v>
      </c>
      <c r="I287" s="222" t="s">
        <v>691</v>
      </c>
    </row>
    <row r="288" spans="2:9">
      <c r="B288" s="285" t="s">
        <v>695</v>
      </c>
      <c r="C288" s="10" t="s">
        <v>684</v>
      </c>
      <c r="D288" s="204"/>
      <c r="E288" s="257" t="s">
        <v>696</v>
      </c>
      <c r="F288" s="204" t="s">
        <v>192</v>
      </c>
      <c r="G288" s="204">
        <v>1</v>
      </c>
      <c r="H288" s="254"/>
      <c r="I288" s="222"/>
    </row>
    <row r="289" spans="2:9">
      <c r="B289" s="285" t="s">
        <v>697</v>
      </c>
      <c r="C289" s="10" t="s">
        <v>684</v>
      </c>
      <c r="D289" s="204"/>
      <c r="E289" s="257" t="s">
        <v>698</v>
      </c>
      <c r="F289" s="204" t="s">
        <v>192</v>
      </c>
      <c r="G289" s="204">
        <v>1</v>
      </c>
      <c r="H289" s="253" t="s">
        <v>699</v>
      </c>
      <c r="I289" s="222" t="s">
        <v>691</v>
      </c>
    </row>
    <row r="290" spans="2:9">
      <c r="B290" s="285" t="s">
        <v>700</v>
      </c>
      <c r="C290" s="10" t="s">
        <v>684</v>
      </c>
      <c r="D290" s="204"/>
      <c r="E290" s="257" t="s">
        <v>701</v>
      </c>
      <c r="F290" s="204" t="s">
        <v>192</v>
      </c>
      <c r="G290" s="204">
        <v>1</v>
      </c>
      <c r="H290" s="253" t="s">
        <v>702</v>
      </c>
      <c r="I290" s="222" t="s">
        <v>691</v>
      </c>
    </row>
    <row r="291" spans="2:9">
      <c r="B291" s="285" t="s">
        <v>703</v>
      </c>
      <c r="C291" s="10" t="s">
        <v>684</v>
      </c>
      <c r="D291" s="204"/>
      <c r="E291" s="257" t="s">
        <v>701</v>
      </c>
      <c r="F291" s="204" t="s">
        <v>192</v>
      </c>
      <c r="G291" s="204">
        <v>1</v>
      </c>
      <c r="H291" s="255" t="s">
        <v>704</v>
      </c>
      <c r="I291" s="222" t="s">
        <v>691</v>
      </c>
    </row>
    <row r="292" spans="2:9">
      <c r="B292" s="285" t="s">
        <v>705</v>
      </c>
      <c r="C292" s="10" t="s">
        <v>684</v>
      </c>
      <c r="D292" s="204"/>
      <c r="E292" s="257" t="s">
        <v>706</v>
      </c>
      <c r="F292" s="204" t="s">
        <v>192</v>
      </c>
      <c r="G292" s="204">
        <v>1</v>
      </c>
      <c r="H292" s="255" t="s">
        <v>707</v>
      </c>
      <c r="I292" s="222" t="s">
        <v>691</v>
      </c>
    </row>
    <row r="293" spans="2:9">
      <c r="B293" s="285" t="s">
        <v>708</v>
      </c>
      <c r="C293" s="10" t="s">
        <v>684</v>
      </c>
      <c r="D293" s="204"/>
      <c r="E293" s="258" t="s">
        <v>709</v>
      </c>
      <c r="F293" s="204" t="s">
        <v>192</v>
      </c>
      <c r="G293" s="204">
        <v>1</v>
      </c>
      <c r="H293" s="255" t="s">
        <v>710</v>
      </c>
      <c r="I293" s="222" t="s">
        <v>691</v>
      </c>
    </row>
    <row r="294" spans="2:9">
      <c r="B294" s="285" t="s">
        <v>711</v>
      </c>
      <c r="C294" s="10" t="s">
        <v>684</v>
      </c>
      <c r="D294" s="204"/>
      <c r="E294" s="257" t="s">
        <v>712</v>
      </c>
      <c r="F294" s="204" t="s">
        <v>192</v>
      </c>
      <c r="G294" s="204">
        <v>1</v>
      </c>
      <c r="H294" s="255" t="s">
        <v>713</v>
      </c>
      <c r="I294" s="222" t="s">
        <v>691</v>
      </c>
    </row>
    <row r="295" spans="2:9">
      <c r="B295" s="285" t="s">
        <v>714</v>
      </c>
      <c r="C295" s="10" t="s">
        <v>684</v>
      </c>
      <c r="D295" s="204"/>
      <c r="E295" s="257" t="s">
        <v>706</v>
      </c>
      <c r="F295" s="204" t="s">
        <v>192</v>
      </c>
      <c r="G295" s="204">
        <v>1</v>
      </c>
      <c r="H295" s="253" t="s">
        <v>715</v>
      </c>
      <c r="I295" s="222" t="s">
        <v>691</v>
      </c>
    </row>
    <row r="296" spans="2:9">
      <c r="B296" s="285" t="s">
        <v>716</v>
      </c>
      <c r="C296" s="10" t="s">
        <v>684</v>
      </c>
      <c r="D296" s="204"/>
      <c r="E296" s="257" t="s">
        <v>701</v>
      </c>
      <c r="F296" s="204" t="s">
        <v>192</v>
      </c>
      <c r="G296" s="204">
        <v>1</v>
      </c>
      <c r="H296" s="253" t="s">
        <v>717</v>
      </c>
      <c r="I296" s="222" t="s">
        <v>691</v>
      </c>
    </row>
    <row r="297" spans="2:9">
      <c r="B297" s="285" t="s">
        <v>718</v>
      </c>
      <c r="C297" s="10" t="s">
        <v>684</v>
      </c>
      <c r="D297" s="204"/>
      <c r="E297" s="257" t="s">
        <v>719</v>
      </c>
      <c r="F297" s="204" t="s">
        <v>192</v>
      </c>
      <c r="G297" s="204">
        <v>1</v>
      </c>
      <c r="H297" s="253" t="s">
        <v>720</v>
      </c>
      <c r="I297" s="222"/>
    </row>
    <row r="298" spans="2:9">
      <c r="B298" s="285" t="s">
        <v>721</v>
      </c>
      <c r="C298" s="10" t="s">
        <v>684</v>
      </c>
      <c r="D298" s="204"/>
      <c r="E298" s="257" t="s">
        <v>722</v>
      </c>
      <c r="F298" s="204" t="s">
        <v>192</v>
      </c>
      <c r="G298" s="204">
        <v>1</v>
      </c>
      <c r="H298" s="204"/>
      <c r="I298" s="222"/>
    </row>
    <row r="299" spans="2:9">
      <c r="B299" s="285" t="s">
        <v>723</v>
      </c>
      <c r="C299" s="10" t="s">
        <v>684</v>
      </c>
      <c r="D299" s="204"/>
      <c r="E299" s="257" t="s">
        <v>724</v>
      </c>
      <c r="F299" s="204" t="s">
        <v>192</v>
      </c>
      <c r="G299" s="204">
        <v>1</v>
      </c>
      <c r="H299" s="253" t="s">
        <v>725</v>
      </c>
      <c r="I299" s="222"/>
    </row>
    <row r="300" spans="2:9">
      <c r="B300" s="285" t="s">
        <v>726</v>
      </c>
      <c r="C300" s="10" t="s">
        <v>684</v>
      </c>
      <c r="D300" s="204"/>
      <c r="E300" s="257" t="s">
        <v>727</v>
      </c>
      <c r="F300" s="204" t="s">
        <v>192</v>
      </c>
      <c r="G300" s="204">
        <v>1</v>
      </c>
      <c r="H300" s="256">
        <v>17002040033</v>
      </c>
      <c r="I300" s="222"/>
    </row>
    <row r="301" spans="2:9">
      <c r="B301" s="285" t="s">
        <v>728</v>
      </c>
      <c r="C301" s="10" t="s">
        <v>684</v>
      </c>
      <c r="D301" s="204"/>
      <c r="E301" s="257" t="s">
        <v>724</v>
      </c>
      <c r="F301" s="204" t="s">
        <v>192</v>
      </c>
      <c r="G301" s="204">
        <v>1</v>
      </c>
      <c r="H301" s="253"/>
      <c r="I301" s="222"/>
    </row>
    <row r="302" spans="2:9">
      <c r="B302" s="285" t="s">
        <v>729</v>
      </c>
      <c r="C302" s="10" t="s">
        <v>684</v>
      </c>
      <c r="D302" s="204"/>
      <c r="E302" s="257" t="s">
        <v>730</v>
      </c>
      <c r="F302" s="204" t="s">
        <v>192</v>
      </c>
      <c r="G302" s="204">
        <v>1</v>
      </c>
      <c r="H302" s="253"/>
      <c r="I302" s="222"/>
    </row>
    <row r="303" spans="2:9">
      <c r="B303" s="285" t="s">
        <v>731</v>
      </c>
      <c r="C303" s="10" t="s">
        <v>684</v>
      </c>
      <c r="D303" s="204"/>
      <c r="E303" s="257" t="s">
        <v>732</v>
      </c>
      <c r="F303" s="204" t="s">
        <v>192</v>
      </c>
      <c r="G303" s="204">
        <v>1</v>
      </c>
      <c r="H303" s="253"/>
      <c r="I303" s="222"/>
    </row>
    <row r="304" spans="2:9">
      <c r="B304" s="285" t="s">
        <v>733</v>
      </c>
      <c r="C304" s="10" t="s">
        <v>684</v>
      </c>
      <c r="D304" s="204"/>
      <c r="E304" s="257" t="s">
        <v>734</v>
      </c>
      <c r="F304" s="204" t="s">
        <v>192</v>
      </c>
      <c r="G304" s="204">
        <v>1</v>
      </c>
      <c r="H304" s="253">
        <v>1152</v>
      </c>
      <c r="I304" s="222"/>
    </row>
    <row r="305" spans="2:9">
      <c r="B305" s="285" t="s">
        <v>735</v>
      </c>
      <c r="C305" s="10" t="s">
        <v>684</v>
      </c>
      <c r="D305" s="204"/>
      <c r="E305" s="257" t="s">
        <v>736</v>
      </c>
      <c r="F305" s="204" t="s">
        <v>192</v>
      </c>
      <c r="G305" s="204">
        <v>1</v>
      </c>
      <c r="H305" s="253">
        <v>18745</v>
      </c>
      <c r="I305" s="222"/>
    </row>
    <row r="306" spans="2:9">
      <c r="B306" s="285" t="s">
        <v>737</v>
      </c>
      <c r="C306" s="10" t="s">
        <v>684</v>
      </c>
      <c r="D306" s="204"/>
      <c r="E306" s="257" t="s">
        <v>738</v>
      </c>
      <c r="F306" s="204" t="s">
        <v>192</v>
      </c>
      <c r="G306" s="204">
        <v>1</v>
      </c>
      <c r="H306" s="204"/>
      <c r="I306" s="222"/>
    </row>
    <row r="307" spans="2:9">
      <c r="B307" s="285" t="s">
        <v>739</v>
      </c>
      <c r="C307" s="10" t="s">
        <v>684</v>
      </c>
      <c r="D307" s="204"/>
      <c r="E307" s="257" t="s">
        <v>736</v>
      </c>
      <c r="F307" s="204" t="s">
        <v>192</v>
      </c>
      <c r="G307" s="204">
        <v>1</v>
      </c>
      <c r="H307" s="253">
        <v>18628</v>
      </c>
      <c r="I307" s="222"/>
    </row>
    <row r="308" spans="2:9">
      <c r="B308" s="285" t="s">
        <v>740</v>
      </c>
      <c r="C308" s="10" t="s">
        <v>684</v>
      </c>
      <c r="D308" s="204"/>
      <c r="E308" s="257" t="s">
        <v>741</v>
      </c>
      <c r="F308" s="204" t="s">
        <v>192</v>
      </c>
      <c r="G308" s="204">
        <v>1</v>
      </c>
      <c r="H308" s="204"/>
      <c r="I308" s="222"/>
    </row>
    <row r="309" spans="2:9">
      <c r="B309" s="285" t="s">
        <v>742</v>
      </c>
      <c r="C309" s="10" t="s">
        <v>684</v>
      </c>
      <c r="D309" s="204"/>
      <c r="E309" s="257" t="s">
        <v>743</v>
      </c>
      <c r="F309" s="204" t="s">
        <v>192</v>
      </c>
      <c r="G309" s="204">
        <v>1</v>
      </c>
      <c r="H309" s="204"/>
      <c r="I309" s="222"/>
    </row>
    <row r="310" spans="2:9">
      <c r="B310" s="285" t="s">
        <v>744</v>
      </c>
      <c r="C310" s="10" t="s">
        <v>684</v>
      </c>
      <c r="D310" s="204"/>
      <c r="E310" s="257" t="s">
        <v>734</v>
      </c>
      <c r="F310" s="204" t="s">
        <v>192</v>
      </c>
      <c r="G310" s="204">
        <v>1</v>
      </c>
      <c r="H310" s="253">
        <v>97546</v>
      </c>
      <c r="I310" s="222"/>
    </row>
    <row r="311" spans="2:9">
      <c r="B311" s="285" t="s">
        <v>745</v>
      </c>
      <c r="C311" s="10" t="s">
        <v>684</v>
      </c>
      <c r="D311" s="204"/>
      <c r="E311" s="257" t="s">
        <v>746</v>
      </c>
      <c r="F311" s="204" t="s">
        <v>192</v>
      </c>
      <c r="G311" s="204">
        <v>1</v>
      </c>
      <c r="H311" s="204"/>
      <c r="I311" s="222"/>
    </row>
    <row r="312" spans="2:9">
      <c r="B312" s="285" t="s">
        <v>747</v>
      </c>
      <c r="C312" s="10" t="s">
        <v>684</v>
      </c>
      <c r="D312" s="204"/>
      <c r="E312" s="257" t="s">
        <v>746</v>
      </c>
      <c r="F312" s="204" t="s">
        <v>192</v>
      </c>
      <c r="G312" s="204">
        <v>1</v>
      </c>
      <c r="H312" s="204"/>
      <c r="I312" s="222"/>
    </row>
    <row r="313" spans="2:9">
      <c r="B313" s="285" t="s">
        <v>748</v>
      </c>
      <c r="C313" s="10" t="s">
        <v>684</v>
      </c>
      <c r="D313" s="204"/>
      <c r="E313" s="257" t="s">
        <v>749</v>
      </c>
      <c r="F313" s="204" t="s">
        <v>192</v>
      </c>
      <c r="G313" s="204">
        <v>1</v>
      </c>
      <c r="H313" s="253" t="s">
        <v>750</v>
      </c>
      <c r="I313" s="222"/>
    </row>
    <row r="314" spans="2:9">
      <c r="B314" s="285" t="s">
        <v>751</v>
      </c>
      <c r="C314" s="10" t="s">
        <v>684</v>
      </c>
      <c r="D314" s="204"/>
      <c r="E314" s="257" t="s">
        <v>752</v>
      </c>
      <c r="F314" s="204" t="s">
        <v>192</v>
      </c>
      <c r="G314" s="204">
        <v>1</v>
      </c>
      <c r="H314" s="253" t="s">
        <v>753</v>
      </c>
      <c r="I314" s="222"/>
    </row>
    <row r="315" spans="2:9">
      <c r="B315" s="285" t="s">
        <v>754</v>
      </c>
      <c r="C315" s="10" t="s">
        <v>684</v>
      </c>
      <c r="D315" s="204"/>
      <c r="E315" s="257" t="s">
        <v>755</v>
      </c>
      <c r="F315" s="204" t="s">
        <v>192</v>
      </c>
      <c r="G315" s="204">
        <v>1</v>
      </c>
      <c r="H315" s="253"/>
      <c r="I315" s="222"/>
    </row>
    <row r="316" spans="2:9">
      <c r="B316" s="285" t="s">
        <v>756</v>
      </c>
      <c r="C316" s="10" t="s">
        <v>684</v>
      </c>
      <c r="D316" s="204"/>
      <c r="E316" s="257" t="s">
        <v>757</v>
      </c>
      <c r="F316" s="204" t="s">
        <v>192</v>
      </c>
      <c r="G316" s="204">
        <v>1</v>
      </c>
      <c r="H316" s="204"/>
      <c r="I316" s="222"/>
    </row>
    <row r="317" spans="2:9">
      <c r="B317" s="285" t="s">
        <v>758</v>
      </c>
      <c r="C317" s="10" t="s">
        <v>684</v>
      </c>
      <c r="D317" s="204"/>
      <c r="E317" s="257" t="s">
        <v>759</v>
      </c>
      <c r="F317" s="204" t="s">
        <v>192</v>
      </c>
      <c r="G317" s="204">
        <v>1</v>
      </c>
      <c r="H317" s="204"/>
      <c r="I317" s="222"/>
    </row>
    <row r="318" spans="2:9">
      <c r="B318" s="285" t="s">
        <v>760</v>
      </c>
      <c r="C318" s="10" t="s">
        <v>684</v>
      </c>
      <c r="D318" s="204"/>
      <c r="E318" s="257" t="s">
        <v>761</v>
      </c>
      <c r="F318" s="204" t="s">
        <v>192</v>
      </c>
      <c r="G318" s="204">
        <v>4</v>
      </c>
      <c r="H318" s="204"/>
      <c r="I318" s="222"/>
    </row>
    <row r="319" spans="2:9">
      <c r="B319" s="285" t="s">
        <v>762</v>
      </c>
      <c r="C319" s="10" t="s">
        <v>684</v>
      </c>
      <c r="D319" s="204"/>
      <c r="E319" s="257" t="s">
        <v>763</v>
      </c>
      <c r="F319" s="204" t="s">
        <v>192</v>
      </c>
      <c r="G319" s="204">
        <v>1</v>
      </c>
      <c r="H319" s="218"/>
      <c r="I319" s="222"/>
    </row>
    <row r="320" spans="2:9">
      <c r="B320" s="285" t="s">
        <v>764</v>
      </c>
      <c r="C320" s="10" t="s">
        <v>684</v>
      </c>
      <c r="D320" s="204"/>
      <c r="E320" s="259" t="s">
        <v>765</v>
      </c>
      <c r="F320" s="204" t="s">
        <v>192</v>
      </c>
      <c r="G320" s="204">
        <v>1</v>
      </c>
      <c r="H320" s="218"/>
      <c r="I320" s="222"/>
    </row>
    <row r="321" spans="2:9">
      <c r="B321" s="285" t="s">
        <v>766</v>
      </c>
      <c r="C321" s="10" t="s">
        <v>767</v>
      </c>
      <c r="D321" s="204" t="s">
        <v>68</v>
      </c>
      <c r="E321" s="8" t="s">
        <v>768</v>
      </c>
      <c r="F321" s="204" t="s">
        <v>192</v>
      </c>
      <c r="G321" s="204">
        <v>3</v>
      </c>
      <c r="H321" s="204"/>
      <c r="I321" s="222"/>
    </row>
    <row r="322" spans="2:9">
      <c r="B322" s="285" t="s">
        <v>769</v>
      </c>
      <c r="C322" s="10" t="s">
        <v>767</v>
      </c>
      <c r="D322" s="204" t="s">
        <v>68</v>
      </c>
      <c r="E322" s="8" t="s">
        <v>457</v>
      </c>
      <c r="F322" s="204" t="s">
        <v>192</v>
      </c>
      <c r="G322" s="204">
        <v>3</v>
      </c>
      <c r="H322" s="204"/>
      <c r="I322" s="222"/>
    </row>
    <row r="323" spans="2:9">
      <c r="B323" s="285" t="s">
        <v>770</v>
      </c>
      <c r="C323" s="10" t="s">
        <v>767</v>
      </c>
      <c r="D323" s="204" t="s">
        <v>68</v>
      </c>
      <c r="E323" s="8" t="s">
        <v>771</v>
      </c>
      <c r="F323" s="204" t="s">
        <v>192</v>
      </c>
      <c r="G323" s="204">
        <v>3</v>
      </c>
      <c r="H323" s="204"/>
      <c r="I323" s="222"/>
    </row>
    <row r="324" spans="2:9">
      <c r="B324" s="285" t="s">
        <v>772</v>
      </c>
      <c r="C324" s="10" t="s">
        <v>767</v>
      </c>
      <c r="D324" s="204" t="s">
        <v>68</v>
      </c>
      <c r="E324" s="8" t="s">
        <v>301</v>
      </c>
      <c r="F324" s="204" t="s">
        <v>192</v>
      </c>
      <c r="G324" s="204">
        <v>2</v>
      </c>
      <c r="H324" s="204"/>
      <c r="I324" s="222"/>
    </row>
    <row r="325" spans="2:9">
      <c r="B325" s="285" t="s">
        <v>773</v>
      </c>
      <c r="C325" s="10" t="s">
        <v>767</v>
      </c>
      <c r="D325" s="204" t="s">
        <v>68</v>
      </c>
      <c r="E325" s="222" t="s">
        <v>774</v>
      </c>
      <c r="F325" s="204" t="s">
        <v>192</v>
      </c>
      <c r="G325" s="204">
        <v>1</v>
      </c>
      <c r="H325" s="204"/>
      <c r="I325" s="222"/>
    </row>
    <row r="326" spans="2:9">
      <c r="B326" s="285" t="s">
        <v>775</v>
      </c>
      <c r="C326" s="10" t="s">
        <v>767</v>
      </c>
      <c r="D326" s="204" t="s">
        <v>68</v>
      </c>
      <c r="E326" s="222" t="s">
        <v>776</v>
      </c>
      <c r="F326" s="204" t="s">
        <v>192</v>
      </c>
      <c r="G326" s="204">
        <v>2</v>
      </c>
      <c r="H326" s="204"/>
      <c r="I326" s="222"/>
    </row>
    <row r="327" spans="2:9">
      <c r="B327" s="285" t="s">
        <v>777</v>
      </c>
      <c r="C327" s="10" t="s">
        <v>767</v>
      </c>
      <c r="D327" s="204" t="s">
        <v>68</v>
      </c>
      <c r="E327" s="222" t="s">
        <v>778</v>
      </c>
      <c r="F327" s="204" t="s">
        <v>192</v>
      </c>
      <c r="G327" s="204">
        <v>1</v>
      </c>
      <c r="H327" s="204"/>
      <c r="I327" s="222"/>
    </row>
    <row r="328" spans="2:9">
      <c r="B328" s="285" t="s">
        <v>779</v>
      </c>
      <c r="C328" s="10" t="s">
        <v>767</v>
      </c>
      <c r="D328" s="204" t="s">
        <v>68</v>
      </c>
      <c r="E328" s="222" t="s">
        <v>780</v>
      </c>
      <c r="F328" s="204" t="s">
        <v>192</v>
      </c>
      <c r="G328" s="204">
        <v>3</v>
      </c>
      <c r="H328" s="204"/>
      <c r="I328" s="222"/>
    </row>
    <row r="329" spans="2:9">
      <c r="B329" s="285" t="s">
        <v>781</v>
      </c>
      <c r="C329" s="10" t="s">
        <v>767</v>
      </c>
      <c r="D329" s="204" t="s">
        <v>68</v>
      </c>
      <c r="E329" s="222" t="s">
        <v>782</v>
      </c>
      <c r="F329" s="204" t="s">
        <v>192</v>
      </c>
      <c r="G329" s="204">
        <v>1</v>
      </c>
      <c r="H329" s="204"/>
      <c r="I329" s="222"/>
    </row>
    <row r="330" spans="2:9">
      <c r="B330" s="285" t="s">
        <v>783</v>
      </c>
      <c r="C330" s="10" t="s">
        <v>767</v>
      </c>
      <c r="D330" s="204" t="s">
        <v>68</v>
      </c>
      <c r="E330" s="222" t="s">
        <v>784</v>
      </c>
      <c r="F330" s="204" t="s">
        <v>192</v>
      </c>
      <c r="G330" s="204">
        <v>1</v>
      </c>
      <c r="H330" s="204"/>
      <c r="I330" s="222"/>
    </row>
    <row r="331" spans="2:9">
      <c r="B331" s="285" t="s">
        <v>785</v>
      </c>
      <c r="C331" s="10" t="s">
        <v>767</v>
      </c>
      <c r="D331" s="204" t="s">
        <v>68</v>
      </c>
      <c r="E331" s="222" t="s">
        <v>786</v>
      </c>
      <c r="F331" s="204" t="s">
        <v>192</v>
      </c>
      <c r="G331" s="204">
        <v>1</v>
      </c>
      <c r="H331" s="204"/>
      <c r="I331" s="222"/>
    </row>
    <row r="332" spans="2:9">
      <c r="B332" s="285" t="s">
        <v>787</v>
      </c>
      <c r="C332" s="10" t="s">
        <v>767</v>
      </c>
      <c r="D332" s="204" t="s">
        <v>68</v>
      </c>
      <c r="E332" s="222" t="s">
        <v>564</v>
      </c>
      <c r="F332" s="204" t="s">
        <v>192</v>
      </c>
      <c r="G332" s="204">
        <v>6</v>
      </c>
      <c r="H332" s="204"/>
      <c r="I332" s="222"/>
    </row>
    <row r="333" spans="2:9">
      <c r="B333" s="285" t="s">
        <v>788</v>
      </c>
      <c r="C333" s="10" t="s">
        <v>767</v>
      </c>
      <c r="D333" s="204" t="s">
        <v>68</v>
      </c>
      <c r="E333" s="222" t="s">
        <v>789</v>
      </c>
      <c r="F333" s="204" t="s">
        <v>192</v>
      </c>
      <c r="G333" s="204">
        <v>8</v>
      </c>
      <c r="H333" s="204"/>
      <c r="I333" s="222"/>
    </row>
    <row r="334" spans="2:9">
      <c r="B334" s="285" t="s">
        <v>790</v>
      </c>
      <c r="C334" s="10" t="s">
        <v>767</v>
      </c>
      <c r="D334" s="204" t="s">
        <v>68</v>
      </c>
      <c r="E334" s="222" t="s">
        <v>791</v>
      </c>
      <c r="F334" s="204" t="s">
        <v>192</v>
      </c>
      <c r="G334" s="204">
        <v>5</v>
      </c>
      <c r="H334" s="204"/>
      <c r="I334" s="222"/>
    </row>
    <row r="335" spans="2:9">
      <c r="B335" s="285" t="s">
        <v>792</v>
      </c>
      <c r="C335" s="10" t="s">
        <v>767</v>
      </c>
      <c r="D335" s="204" t="s">
        <v>68</v>
      </c>
      <c r="E335" s="222" t="s">
        <v>284</v>
      </c>
      <c r="F335" s="204" t="s">
        <v>192</v>
      </c>
      <c r="G335" s="204">
        <v>4</v>
      </c>
      <c r="H335" s="204"/>
      <c r="I335" s="222"/>
    </row>
    <row r="336" spans="2:9">
      <c r="B336" s="285" t="s">
        <v>793</v>
      </c>
      <c r="C336" s="10" t="s">
        <v>767</v>
      </c>
      <c r="D336" s="204" t="s">
        <v>68</v>
      </c>
      <c r="E336" s="222" t="s">
        <v>794</v>
      </c>
      <c r="F336" s="204" t="s">
        <v>192</v>
      </c>
      <c r="G336" s="204">
        <v>1</v>
      </c>
      <c r="H336" s="204"/>
      <c r="I336" s="222"/>
    </row>
    <row r="337" spans="2:9">
      <c r="B337" s="285" t="s">
        <v>795</v>
      </c>
      <c r="C337" s="10" t="s">
        <v>767</v>
      </c>
      <c r="D337" s="204" t="s">
        <v>68</v>
      </c>
      <c r="E337" s="222" t="s">
        <v>796</v>
      </c>
      <c r="F337" s="204" t="s">
        <v>192</v>
      </c>
      <c r="G337" s="204">
        <v>3</v>
      </c>
      <c r="H337" s="204"/>
      <c r="I337" s="222"/>
    </row>
    <row r="338" spans="2:9">
      <c r="B338" s="285" t="s">
        <v>797</v>
      </c>
      <c r="C338" s="10" t="s">
        <v>767</v>
      </c>
      <c r="D338" s="204" t="s">
        <v>798</v>
      </c>
      <c r="E338" s="222" t="s">
        <v>799</v>
      </c>
      <c r="F338" s="204" t="s">
        <v>192</v>
      </c>
      <c r="G338" s="204">
        <v>6</v>
      </c>
      <c r="H338" s="204"/>
      <c r="I338" s="222"/>
    </row>
    <row r="339" spans="2:9">
      <c r="B339" s="285" t="s">
        <v>800</v>
      </c>
      <c r="C339" s="10" t="s">
        <v>767</v>
      </c>
      <c r="D339" s="204" t="s">
        <v>798</v>
      </c>
      <c r="E339" s="222" t="s">
        <v>801</v>
      </c>
      <c r="F339" s="204" t="s">
        <v>192</v>
      </c>
      <c r="G339" s="204">
        <v>6</v>
      </c>
      <c r="H339" s="204"/>
      <c r="I339" s="222"/>
    </row>
    <row r="340" spans="2:9">
      <c r="B340" s="285" t="s">
        <v>802</v>
      </c>
      <c r="C340" s="10" t="s">
        <v>767</v>
      </c>
      <c r="D340" s="204" t="s">
        <v>798</v>
      </c>
      <c r="E340" s="222" t="s">
        <v>457</v>
      </c>
      <c r="F340" s="204" t="s">
        <v>192</v>
      </c>
      <c r="G340" s="204">
        <v>3</v>
      </c>
      <c r="H340" s="204"/>
      <c r="I340" s="222"/>
    </row>
    <row r="341" spans="2:9">
      <c r="B341" s="285" t="s">
        <v>803</v>
      </c>
      <c r="C341" s="10" t="s">
        <v>767</v>
      </c>
      <c r="D341" s="204" t="s">
        <v>798</v>
      </c>
      <c r="E341" s="222" t="s">
        <v>768</v>
      </c>
      <c r="F341" s="204" t="s">
        <v>192</v>
      </c>
      <c r="G341" s="204">
        <v>2</v>
      </c>
      <c r="H341" s="204"/>
      <c r="I341" s="222"/>
    </row>
    <row r="342" spans="2:9">
      <c r="B342" s="285" t="s">
        <v>804</v>
      </c>
      <c r="C342" s="10" t="s">
        <v>767</v>
      </c>
      <c r="D342" s="204" t="s">
        <v>798</v>
      </c>
      <c r="E342" s="222" t="s">
        <v>805</v>
      </c>
      <c r="F342" s="204" t="s">
        <v>192</v>
      </c>
      <c r="G342" s="204">
        <v>2</v>
      </c>
      <c r="H342" s="204"/>
      <c r="I342" s="222"/>
    </row>
    <row r="343" spans="2:9">
      <c r="B343" s="285" t="s">
        <v>806</v>
      </c>
      <c r="C343" s="10" t="s">
        <v>767</v>
      </c>
      <c r="D343" s="204" t="s">
        <v>798</v>
      </c>
      <c r="E343" s="222" t="s">
        <v>807</v>
      </c>
      <c r="F343" s="204" t="s">
        <v>192</v>
      </c>
      <c r="G343" s="204">
        <v>2</v>
      </c>
      <c r="H343" s="204"/>
      <c r="I343" s="222"/>
    </row>
    <row r="344" spans="2:9">
      <c r="B344" s="285" t="s">
        <v>808</v>
      </c>
      <c r="C344" s="10" t="s">
        <v>767</v>
      </c>
      <c r="D344" s="204" t="s">
        <v>798</v>
      </c>
      <c r="E344" s="222" t="s">
        <v>809</v>
      </c>
      <c r="F344" s="204" t="s">
        <v>192</v>
      </c>
      <c r="G344" s="204">
        <v>1</v>
      </c>
      <c r="H344" s="204"/>
      <c r="I344" s="222"/>
    </row>
    <row r="345" spans="2:9">
      <c r="B345" s="285" t="s">
        <v>810</v>
      </c>
      <c r="C345" s="10" t="s">
        <v>767</v>
      </c>
      <c r="D345" s="204" t="s">
        <v>798</v>
      </c>
      <c r="E345" s="222" t="s">
        <v>774</v>
      </c>
      <c r="F345" s="204" t="s">
        <v>192</v>
      </c>
      <c r="G345" s="204">
        <v>1</v>
      </c>
      <c r="H345" s="204"/>
      <c r="I345" s="222"/>
    </row>
    <row r="346" spans="2:9">
      <c r="B346" s="285" t="s">
        <v>811</v>
      </c>
      <c r="C346" s="10" t="s">
        <v>767</v>
      </c>
      <c r="D346" s="204" t="s">
        <v>798</v>
      </c>
      <c r="E346" s="222" t="s">
        <v>590</v>
      </c>
      <c r="F346" s="204" t="s">
        <v>192</v>
      </c>
      <c r="G346" s="204">
        <v>1</v>
      </c>
      <c r="H346" s="204"/>
      <c r="I346" s="222"/>
    </row>
    <row r="347" spans="2:9">
      <c r="B347" s="285" t="s">
        <v>812</v>
      </c>
      <c r="C347" s="10" t="s">
        <v>767</v>
      </c>
      <c r="D347" s="204" t="s">
        <v>798</v>
      </c>
      <c r="E347" s="222" t="s">
        <v>778</v>
      </c>
      <c r="F347" s="204" t="s">
        <v>192</v>
      </c>
      <c r="G347" s="204">
        <v>1</v>
      </c>
      <c r="H347" s="204"/>
      <c r="I347" s="222"/>
    </row>
    <row r="348" spans="2:9">
      <c r="B348" s="285" t="s">
        <v>813</v>
      </c>
      <c r="C348" s="10" t="s">
        <v>767</v>
      </c>
      <c r="D348" s="204" t="s">
        <v>798</v>
      </c>
      <c r="E348" s="222" t="s">
        <v>814</v>
      </c>
      <c r="F348" s="204" t="s">
        <v>192</v>
      </c>
      <c r="G348" s="204">
        <v>1</v>
      </c>
      <c r="H348" s="204"/>
      <c r="I348" s="222"/>
    </row>
    <row r="349" spans="2:9">
      <c r="B349" s="285" t="s">
        <v>815</v>
      </c>
      <c r="C349" s="10" t="s">
        <v>767</v>
      </c>
      <c r="D349" s="204" t="s">
        <v>798</v>
      </c>
      <c r="E349" s="222" t="s">
        <v>816</v>
      </c>
      <c r="F349" s="204" t="s">
        <v>192</v>
      </c>
      <c r="G349" s="204">
        <v>1</v>
      </c>
      <c r="H349" s="204"/>
      <c r="I349" s="222"/>
    </row>
    <row r="350" spans="2:9">
      <c r="B350" s="285" t="s">
        <v>817</v>
      </c>
      <c r="C350" s="10" t="s">
        <v>767</v>
      </c>
      <c r="D350" s="204" t="s">
        <v>798</v>
      </c>
      <c r="E350" s="222" t="s">
        <v>818</v>
      </c>
      <c r="F350" s="204" t="s">
        <v>192</v>
      </c>
      <c r="G350" s="204">
        <v>1</v>
      </c>
      <c r="H350" s="204"/>
      <c r="I350" s="222"/>
    </row>
    <row r="351" spans="2:9">
      <c r="B351" s="285" t="s">
        <v>819</v>
      </c>
      <c r="C351" s="10" t="s">
        <v>767</v>
      </c>
      <c r="D351" s="204" t="s">
        <v>798</v>
      </c>
      <c r="E351" s="222" t="s">
        <v>820</v>
      </c>
      <c r="F351" s="204" t="s">
        <v>192</v>
      </c>
      <c r="G351" s="204">
        <v>3</v>
      </c>
      <c r="H351" s="204"/>
      <c r="I351" s="222"/>
    </row>
    <row r="352" spans="2:9">
      <c r="B352" s="285" t="s">
        <v>821</v>
      </c>
      <c r="C352" s="10" t="s">
        <v>822</v>
      </c>
      <c r="D352" s="204" t="s">
        <v>55</v>
      </c>
      <c r="E352" s="222" t="s">
        <v>457</v>
      </c>
      <c r="F352" s="204" t="s">
        <v>192</v>
      </c>
      <c r="G352" s="204">
        <v>3</v>
      </c>
      <c r="H352" s="204"/>
      <c r="I352" s="222"/>
    </row>
    <row r="353" spans="2:9">
      <c r="B353" s="285" t="s">
        <v>823</v>
      </c>
      <c r="C353" s="10" t="s">
        <v>822</v>
      </c>
      <c r="D353" s="204" t="s">
        <v>55</v>
      </c>
      <c r="E353" s="222" t="s">
        <v>319</v>
      </c>
      <c r="F353" s="204" t="s">
        <v>192</v>
      </c>
      <c r="G353" s="204">
        <v>6</v>
      </c>
      <c r="H353" s="204"/>
      <c r="I353" s="222"/>
    </row>
    <row r="354" spans="2:9">
      <c r="B354" s="285" t="s">
        <v>824</v>
      </c>
      <c r="C354" s="10" t="s">
        <v>822</v>
      </c>
      <c r="D354" s="204" t="s">
        <v>55</v>
      </c>
      <c r="E354" s="222" t="s">
        <v>825</v>
      </c>
      <c r="F354" s="204" t="s">
        <v>192</v>
      </c>
      <c r="G354" s="204">
        <v>3</v>
      </c>
      <c r="H354" s="204"/>
      <c r="I354" s="222"/>
    </row>
    <row r="355" spans="2:9">
      <c r="B355" s="285" t="s">
        <v>826</v>
      </c>
      <c r="C355" s="10" t="s">
        <v>822</v>
      </c>
      <c r="D355" s="204" t="s">
        <v>55</v>
      </c>
      <c r="E355" s="222" t="s">
        <v>827</v>
      </c>
      <c r="F355" s="204" t="s">
        <v>192</v>
      </c>
      <c r="G355" s="204">
        <v>8</v>
      </c>
      <c r="H355" s="204"/>
      <c r="I355" s="222"/>
    </row>
    <row r="356" spans="2:9">
      <c r="B356" s="285" t="s">
        <v>828</v>
      </c>
      <c r="C356" s="10" t="s">
        <v>822</v>
      </c>
      <c r="D356" s="204" t="s">
        <v>55</v>
      </c>
      <c r="E356" s="222" t="s">
        <v>519</v>
      </c>
      <c r="F356" s="204" t="s">
        <v>192</v>
      </c>
      <c r="G356" s="204">
        <v>8</v>
      </c>
      <c r="H356" s="204"/>
      <c r="I356" s="222"/>
    </row>
    <row r="357" spans="2:9">
      <c r="B357" s="285" t="s">
        <v>829</v>
      </c>
      <c r="C357" s="10" t="s">
        <v>822</v>
      </c>
      <c r="D357" s="204" t="s">
        <v>55</v>
      </c>
      <c r="E357" s="222" t="s">
        <v>830</v>
      </c>
      <c r="F357" s="204" t="s">
        <v>192</v>
      </c>
      <c r="G357" s="204">
        <v>1</v>
      </c>
      <c r="H357" s="204"/>
      <c r="I357" s="222"/>
    </row>
    <row r="358" spans="2:9">
      <c r="B358" s="285" t="s">
        <v>831</v>
      </c>
      <c r="C358" s="10" t="s">
        <v>822</v>
      </c>
      <c r="D358" s="204" t="s">
        <v>55</v>
      </c>
      <c r="E358" s="222" t="s">
        <v>832</v>
      </c>
      <c r="F358" s="204" t="s">
        <v>192</v>
      </c>
      <c r="G358" s="204">
        <v>1</v>
      </c>
      <c r="H358" s="204"/>
      <c r="I358" s="222"/>
    </row>
    <row r="359" spans="2:9">
      <c r="B359" s="285" t="s">
        <v>833</v>
      </c>
      <c r="C359" s="10" t="s">
        <v>822</v>
      </c>
      <c r="D359" s="204" t="s">
        <v>55</v>
      </c>
      <c r="E359" s="222" t="s">
        <v>834</v>
      </c>
      <c r="F359" s="204" t="s">
        <v>192</v>
      </c>
      <c r="G359" s="204">
        <v>1</v>
      </c>
      <c r="H359" s="204"/>
      <c r="I359" s="222"/>
    </row>
    <row r="360" spans="2:9">
      <c r="B360" s="285" t="s">
        <v>835</v>
      </c>
      <c r="C360" s="10" t="s">
        <v>822</v>
      </c>
      <c r="D360" s="204" t="s">
        <v>55</v>
      </c>
      <c r="E360" s="222" t="s">
        <v>647</v>
      </c>
      <c r="F360" s="204" t="s">
        <v>192</v>
      </c>
      <c r="G360" s="204">
        <v>1</v>
      </c>
      <c r="H360" s="204"/>
      <c r="I360" s="222"/>
    </row>
    <row r="361" spans="2:9">
      <c r="B361" s="285" t="s">
        <v>836</v>
      </c>
      <c r="C361" s="10" t="s">
        <v>822</v>
      </c>
      <c r="D361" s="204" t="s">
        <v>55</v>
      </c>
      <c r="E361" s="222" t="s">
        <v>837</v>
      </c>
      <c r="F361" s="204" t="s">
        <v>192</v>
      </c>
      <c r="G361" s="204">
        <v>2</v>
      </c>
      <c r="H361" s="204"/>
      <c r="I361" s="222"/>
    </row>
    <row r="362" spans="2:9">
      <c r="B362" s="285" t="s">
        <v>838</v>
      </c>
      <c r="C362" s="10" t="s">
        <v>822</v>
      </c>
      <c r="D362" s="204" t="s">
        <v>55</v>
      </c>
      <c r="E362" s="222" t="s">
        <v>556</v>
      </c>
      <c r="F362" s="204" t="s">
        <v>192</v>
      </c>
      <c r="G362" s="204">
        <v>6</v>
      </c>
      <c r="H362" s="204"/>
      <c r="I362" s="222"/>
    </row>
    <row r="363" spans="2:9">
      <c r="B363" s="285" t="s">
        <v>839</v>
      </c>
      <c r="C363" s="10" t="s">
        <v>822</v>
      </c>
      <c r="D363" s="204" t="s">
        <v>55</v>
      </c>
      <c r="E363" s="222" t="s">
        <v>840</v>
      </c>
      <c r="F363" s="204" t="s">
        <v>192</v>
      </c>
      <c r="G363" s="204">
        <v>33</v>
      </c>
      <c r="H363" s="204"/>
      <c r="I363" s="222"/>
    </row>
    <row r="364" spans="2:9">
      <c r="B364" s="285" t="s">
        <v>841</v>
      </c>
      <c r="C364" s="10" t="s">
        <v>822</v>
      </c>
      <c r="D364" s="204" t="s">
        <v>55</v>
      </c>
      <c r="E364" s="222" t="s">
        <v>842</v>
      </c>
      <c r="F364" s="204" t="s">
        <v>192</v>
      </c>
      <c r="G364" s="204">
        <v>12</v>
      </c>
      <c r="H364" s="204"/>
      <c r="I364" s="222"/>
    </row>
    <row r="365" spans="2:9">
      <c r="B365" s="285" t="s">
        <v>843</v>
      </c>
      <c r="C365" s="10" t="s">
        <v>822</v>
      </c>
      <c r="D365" s="204" t="s">
        <v>55</v>
      </c>
      <c r="E365" s="222" t="s">
        <v>844</v>
      </c>
      <c r="F365" s="204" t="s">
        <v>192</v>
      </c>
      <c r="G365" s="204">
        <v>1</v>
      </c>
      <c r="H365" s="204"/>
      <c r="I365" s="222"/>
    </row>
    <row r="366" spans="2:9">
      <c r="B366" s="285" t="s">
        <v>845</v>
      </c>
      <c r="C366" s="10" t="s">
        <v>822</v>
      </c>
      <c r="D366" s="204" t="s">
        <v>55</v>
      </c>
      <c r="E366" s="222" t="s">
        <v>846</v>
      </c>
      <c r="F366" s="204" t="s">
        <v>192</v>
      </c>
      <c r="G366" s="204">
        <v>1</v>
      </c>
      <c r="H366" s="204"/>
      <c r="I366" s="222"/>
    </row>
    <row r="367" spans="2:9">
      <c r="B367" s="285" t="s">
        <v>847</v>
      </c>
      <c r="C367" s="10" t="s">
        <v>822</v>
      </c>
      <c r="D367" s="204" t="s">
        <v>55</v>
      </c>
      <c r="E367" s="222" t="s">
        <v>848</v>
      </c>
      <c r="F367" s="204" t="s">
        <v>192</v>
      </c>
      <c r="G367" s="204">
        <v>6</v>
      </c>
      <c r="H367" s="204"/>
      <c r="I367" s="222"/>
    </row>
    <row r="368" spans="2:9">
      <c r="B368" s="285" t="s">
        <v>849</v>
      </c>
      <c r="C368" s="10" t="s">
        <v>822</v>
      </c>
      <c r="D368" s="204" t="s">
        <v>55</v>
      </c>
      <c r="E368" s="222" t="s">
        <v>850</v>
      </c>
      <c r="F368" s="204" t="s">
        <v>192</v>
      </c>
      <c r="G368" s="204">
        <v>1</v>
      </c>
      <c r="H368" s="204"/>
      <c r="I368" s="222"/>
    </row>
    <row r="369" spans="2:9">
      <c r="B369" s="285" t="s">
        <v>851</v>
      </c>
      <c r="C369" s="10" t="s">
        <v>822</v>
      </c>
      <c r="D369" s="204" t="s">
        <v>55</v>
      </c>
      <c r="E369" s="222" t="s">
        <v>852</v>
      </c>
      <c r="F369" s="204" t="s">
        <v>192</v>
      </c>
      <c r="G369" s="204">
        <v>1</v>
      </c>
      <c r="H369" s="204"/>
      <c r="I369" s="222"/>
    </row>
    <row r="370" spans="2:9">
      <c r="B370" s="285" t="s">
        <v>853</v>
      </c>
      <c r="C370" s="10" t="s">
        <v>822</v>
      </c>
      <c r="D370" s="204" t="s">
        <v>55</v>
      </c>
      <c r="E370" s="222" t="s">
        <v>854</v>
      </c>
      <c r="F370" s="204" t="s">
        <v>192</v>
      </c>
      <c r="G370" s="204">
        <v>1</v>
      </c>
      <c r="H370" s="204"/>
      <c r="I370" s="222"/>
    </row>
    <row r="371" spans="2:9" ht="60" customHeight="1">
      <c r="B371" s="285" t="s">
        <v>855</v>
      </c>
      <c r="C371" s="10" t="s">
        <v>856</v>
      </c>
      <c r="D371" s="204" t="s">
        <v>55</v>
      </c>
      <c r="E371" s="222" t="s">
        <v>857</v>
      </c>
      <c r="F371" s="204" t="s">
        <v>192</v>
      </c>
      <c r="G371" s="204">
        <v>4</v>
      </c>
      <c r="H371" s="159" t="s">
        <v>858</v>
      </c>
      <c r="I371" s="222"/>
    </row>
    <row r="372" spans="2:9">
      <c r="B372" s="285" t="s">
        <v>859</v>
      </c>
      <c r="C372" s="10" t="s">
        <v>856</v>
      </c>
      <c r="D372" s="204" t="s">
        <v>55</v>
      </c>
      <c r="E372" s="222" t="s">
        <v>860</v>
      </c>
      <c r="F372" s="204" t="s">
        <v>192</v>
      </c>
      <c r="G372" s="204">
        <v>1</v>
      </c>
      <c r="H372" s="8" t="s">
        <v>861</v>
      </c>
      <c r="I372" s="222"/>
    </row>
    <row r="373" spans="2:9" ht="45" customHeight="1">
      <c r="B373" s="285" t="s">
        <v>862</v>
      </c>
      <c r="C373" s="10" t="s">
        <v>856</v>
      </c>
      <c r="D373" s="204" t="s">
        <v>55</v>
      </c>
      <c r="E373" s="222" t="s">
        <v>863</v>
      </c>
      <c r="F373" s="204" t="s">
        <v>192</v>
      </c>
      <c r="G373" s="204">
        <v>4</v>
      </c>
      <c r="H373" s="218" t="s">
        <v>864</v>
      </c>
      <c r="I373" s="222"/>
    </row>
    <row r="374" spans="2:9">
      <c r="B374" s="285" t="s">
        <v>865</v>
      </c>
      <c r="C374" s="10" t="s">
        <v>856</v>
      </c>
      <c r="D374" s="204" t="s">
        <v>55</v>
      </c>
      <c r="E374" s="222" t="s">
        <v>866</v>
      </c>
      <c r="F374" s="204" t="s">
        <v>192</v>
      </c>
      <c r="G374" s="204">
        <v>2</v>
      </c>
      <c r="H374" s="204" t="s">
        <v>867</v>
      </c>
      <c r="I374" s="222"/>
    </row>
    <row r="375" spans="2:9">
      <c r="B375" s="285" t="s">
        <v>868</v>
      </c>
      <c r="C375" s="10" t="s">
        <v>856</v>
      </c>
      <c r="D375" s="204" t="s">
        <v>55</v>
      </c>
      <c r="E375" s="222" t="s">
        <v>869</v>
      </c>
      <c r="F375" s="204" t="s">
        <v>192</v>
      </c>
      <c r="G375" s="204">
        <v>1</v>
      </c>
      <c r="H375" s="204" t="s">
        <v>870</v>
      </c>
      <c r="I375" s="222"/>
    </row>
    <row r="376" spans="2:9">
      <c r="B376" s="285" t="s">
        <v>871</v>
      </c>
      <c r="C376" s="10" t="s">
        <v>856</v>
      </c>
      <c r="D376" s="204" t="s">
        <v>55</v>
      </c>
      <c r="E376" s="222" t="s">
        <v>872</v>
      </c>
      <c r="F376" s="204" t="s">
        <v>192</v>
      </c>
      <c r="G376" s="204">
        <v>1</v>
      </c>
      <c r="H376" s="204" t="s">
        <v>873</v>
      </c>
      <c r="I376" s="222"/>
    </row>
    <row r="377" spans="2:9" ht="30" customHeight="1">
      <c r="B377" s="285" t="s">
        <v>874</v>
      </c>
      <c r="C377" s="10" t="s">
        <v>856</v>
      </c>
      <c r="D377" s="204" t="s">
        <v>55</v>
      </c>
      <c r="E377" s="222" t="s">
        <v>875</v>
      </c>
      <c r="F377" s="204" t="s">
        <v>192</v>
      </c>
      <c r="G377" s="204">
        <v>2</v>
      </c>
      <c r="H377" s="159" t="s">
        <v>876</v>
      </c>
      <c r="I377" s="222"/>
    </row>
    <row r="378" spans="2:9">
      <c r="B378" s="285" t="s">
        <v>877</v>
      </c>
      <c r="C378" s="10" t="s">
        <v>856</v>
      </c>
      <c r="D378" s="204" t="s">
        <v>55</v>
      </c>
      <c r="E378" s="222" t="s">
        <v>878</v>
      </c>
      <c r="F378" s="204" t="s">
        <v>192</v>
      </c>
      <c r="G378" s="204"/>
      <c r="H378" s="204" t="s">
        <v>879</v>
      </c>
      <c r="I378" s="222"/>
    </row>
    <row r="379" spans="2:9" ht="45" customHeight="1">
      <c r="B379" s="285" t="s">
        <v>880</v>
      </c>
      <c r="C379" s="10" t="s">
        <v>856</v>
      </c>
      <c r="D379" s="204" t="s">
        <v>55</v>
      </c>
      <c r="E379" s="222" t="s">
        <v>277</v>
      </c>
      <c r="F379" s="204" t="s">
        <v>192</v>
      </c>
      <c r="G379" s="204">
        <v>3</v>
      </c>
      <c r="H379" s="218" t="s">
        <v>881</v>
      </c>
      <c r="I379" s="222"/>
    </row>
    <row r="380" spans="2:9" ht="30" customHeight="1">
      <c r="B380" s="285" t="s">
        <v>882</v>
      </c>
      <c r="C380" s="10" t="s">
        <v>856</v>
      </c>
      <c r="D380" s="204" t="s">
        <v>55</v>
      </c>
      <c r="E380" s="222" t="s">
        <v>768</v>
      </c>
      <c r="F380" s="204" t="s">
        <v>192</v>
      </c>
      <c r="G380" s="204">
        <v>2</v>
      </c>
      <c r="H380" s="218" t="s">
        <v>883</v>
      </c>
      <c r="I380" s="222"/>
    </row>
    <row r="381" spans="2:9" ht="30" customHeight="1">
      <c r="B381" s="285" t="s">
        <v>884</v>
      </c>
      <c r="C381" s="10" t="s">
        <v>856</v>
      </c>
      <c r="D381" s="204" t="s">
        <v>55</v>
      </c>
      <c r="E381" s="222" t="s">
        <v>627</v>
      </c>
      <c r="F381" s="204" t="s">
        <v>192</v>
      </c>
      <c r="G381" s="204">
        <v>2</v>
      </c>
      <c r="H381" s="218" t="s">
        <v>885</v>
      </c>
      <c r="I381" s="222"/>
    </row>
    <row r="382" spans="2:9">
      <c r="B382" s="285" t="s">
        <v>886</v>
      </c>
      <c r="C382" s="10" t="s">
        <v>856</v>
      </c>
      <c r="D382" s="204" t="s">
        <v>55</v>
      </c>
      <c r="E382" s="222" t="s">
        <v>887</v>
      </c>
      <c r="F382" s="204" t="s">
        <v>192</v>
      </c>
      <c r="G382" s="204">
        <v>1</v>
      </c>
      <c r="H382" s="204" t="s">
        <v>888</v>
      </c>
      <c r="I382" s="222"/>
    </row>
    <row r="383" spans="2:9">
      <c r="B383" s="285" t="s">
        <v>889</v>
      </c>
      <c r="C383" s="10" t="s">
        <v>856</v>
      </c>
      <c r="D383" s="204" t="s">
        <v>55</v>
      </c>
      <c r="E383" s="222" t="s">
        <v>596</v>
      </c>
      <c r="F383" s="204" t="s">
        <v>192</v>
      </c>
      <c r="G383" s="204">
        <v>1</v>
      </c>
      <c r="H383" s="204" t="s">
        <v>890</v>
      </c>
      <c r="I383" s="222"/>
    </row>
    <row r="384" spans="2:9">
      <c r="B384" s="285" t="s">
        <v>891</v>
      </c>
      <c r="C384" s="10" t="s">
        <v>856</v>
      </c>
      <c r="D384" s="204" t="s">
        <v>55</v>
      </c>
      <c r="E384" s="222" t="s">
        <v>892</v>
      </c>
      <c r="F384" s="204" t="s">
        <v>192</v>
      </c>
      <c r="G384" s="204">
        <v>1</v>
      </c>
      <c r="H384" s="204" t="s">
        <v>893</v>
      </c>
      <c r="I384" s="222"/>
    </row>
    <row r="385" spans="2:9">
      <c r="B385" s="285" t="s">
        <v>894</v>
      </c>
      <c r="C385" s="10" t="s">
        <v>856</v>
      </c>
      <c r="D385" s="204" t="s">
        <v>55</v>
      </c>
      <c r="E385" s="222" t="s">
        <v>895</v>
      </c>
      <c r="F385" s="204" t="s">
        <v>192</v>
      </c>
      <c r="G385" s="204">
        <v>1</v>
      </c>
      <c r="H385" s="204" t="s">
        <v>896</v>
      </c>
      <c r="I385" s="222"/>
    </row>
    <row r="386" spans="2:9">
      <c r="B386" s="285" t="s">
        <v>897</v>
      </c>
      <c r="C386" s="10" t="s">
        <v>856</v>
      </c>
      <c r="D386" s="204" t="s">
        <v>55</v>
      </c>
      <c r="E386" s="222" t="s">
        <v>898</v>
      </c>
      <c r="F386" s="204" t="s">
        <v>192</v>
      </c>
      <c r="G386" s="204">
        <v>1</v>
      </c>
      <c r="H386" s="204"/>
      <c r="I386" s="222"/>
    </row>
    <row r="387" spans="2:9">
      <c r="B387" s="285" t="s">
        <v>899</v>
      </c>
      <c r="C387" s="10" t="s">
        <v>856</v>
      </c>
      <c r="D387" s="204" t="s">
        <v>55</v>
      </c>
      <c r="E387" s="222" t="s">
        <v>900</v>
      </c>
      <c r="F387" s="204" t="s">
        <v>192</v>
      </c>
      <c r="G387" s="204">
        <v>1</v>
      </c>
      <c r="H387" s="204"/>
      <c r="I387" s="222"/>
    </row>
    <row r="388" spans="2:9">
      <c r="B388" s="285" t="s">
        <v>901</v>
      </c>
      <c r="C388" s="10" t="s">
        <v>856</v>
      </c>
      <c r="D388" s="204" t="s">
        <v>55</v>
      </c>
      <c r="E388" s="222" t="s">
        <v>902</v>
      </c>
      <c r="F388" s="204" t="s">
        <v>192</v>
      </c>
      <c r="G388" s="204">
        <v>1</v>
      </c>
      <c r="H388" s="204"/>
      <c r="I388" s="222"/>
    </row>
    <row r="389" spans="2:9">
      <c r="B389" s="285" t="s">
        <v>903</v>
      </c>
      <c r="C389" s="10" t="s">
        <v>856</v>
      </c>
      <c r="D389" s="204" t="s">
        <v>55</v>
      </c>
      <c r="E389" s="222" t="s">
        <v>256</v>
      </c>
      <c r="F389" s="204" t="s">
        <v>192</v>
      </c>
      <c r="G389" s="204">
        <v>1</v>
      </c>
      <c r="H389" s="204" t="s">
        <v>904</v>
      </c>
      <c r="I389" s="222"/>
    </row>
    <row r="390" spans="2:9">
      <c r="B390" s="285" t="s">
        <v>905</v>
      </c>
      <c r="C390" s="10" t="s">
        <v>856</v>
      </c>
      <c r="D390" s="204" t="s">
        <v>55</v>
      </c>
      <c r="E390" s="222" t="s">
        <v>906</v>
      </c>
      <c r="F390" s="204" t="s">
        <v>192</v>
      </c>
      <c r="G390" s="204">
        <v>1</v>
      </c>
      <c r="H390" s="204" t="s">
        <v>907</v>
      </c>
      <c r="I390" s="222"/>
    </row>
    <row r="391" spans="2:9">
      <c r="B391" s="285" t="s">
        <v>908</v>
      </c>
      <c r="C391" s="10" t="s">
        <v>856</v>
      </c>
      <c r="D391" s="204" t="s">
        <v>55</v>
      </c>
      <c r="E391" s="222" t="s">
        <v>909</v>
      </c>
      <c r="F391" s="204" t="s">
        <v>192</v>
      </c>
      <c r="G391" s="204">
        <v>1</v>
      </c>
      <c r="H391" s="204" t="s">
        <v>910</v>
      </c>
      <c r="I391" s="222"/>
    </row>
    <row r="392" spans="2:9">
      <c r="B392" s="285" t="s">
        <v>911</v>
      </c>
      <c r="C392" s="10" t="s">
        <v>856</v>
      </c>
      <c r="D392" s="204" t="s">
        <v>55</v>
      </c>
      <c r="E392" s="222" t="s">
        <v>413</v>
      </c>
      <c r="F392" s="204" t="s">
        <v>192</v>
      </c>
      <c r="G392" s="204">
        <v>1</v>
      </c>
      <c r="H392" s="204"/>
      <c r="I392" s="222"/>
    </row>
    <row r="393" spans="2:9">
      <c r="B393" s="285" t="s">
        <v>101</v>
      </c>
      <c r="C393" s="10" t="s">
        <v>856</v>
      </c>
      <c r="D393" s="204" t="s">
        <v>55</v>
      </c>
      <c r="E393" s="222" t="s">
        <v>912</v>
      </c>
      <c r="F393" s="204" t="s">
        <v>192</v>
      </c>
      <c r="G393" s="204">
        <v>1</v>
      </c>
      <c r="H393" s="204"/>
      <c r="I393" s="222"/>
    </row>
    <row r="394" spans="2:9">
      <c r="B394" s="285" t="s">
        <v>913</v>
      </c>
      <c r="C394" s="10" t="s">
        <v>914</v>
      </c>
      <c r="D394" s="204" t="s">
        <v>68</v>
      </c>
      <c r="E394" s="222" t="s">
        <v>284</v>
      </c>
      <c r="F394" s="204" t="s">
        <v>192</v>
      </c>
      <c r="G394" s="204">
        <v>6</v>
      </c>
      <c r="H394" s="204" t="s">
        <v>915</v>
      </c>
      <c r="I394" s="222"/>
    </row>
    <row r="395" spans="2:9">
      <c r="B395" s="285" t="s">
        <v>916</v>
      </c>
      <c r="C395" s="10" t="s">
        <v>914</v>
      </c>
      <c r="D395" s="204" t="s">
        <v>68</v>
      </c>
      <c r="E395" s="222" t="s">
        <v>917</v>
      </c>
      <c r="F395" s="204" t="s">
        <v>192</v>
      </c>
      <c r="G395" s="204">
        <v>1</v>
      </c>
      <c r="H395" s="204"/>
      <c r="I395" s="222"/>
    </row>
    <row r="396" spans="2:9">
      <c r="B396" s="285" t="s">
        <v>918</v>
      </c>
      <c r="C396" s="10" t="s">
        <v>914</v>
      </c>
      <c r="D396" s="204" t="s">
        <v>68</v>
      </c>
      <c r="E396" s="222" t="s">
        <v>919</v>
      </c>
      <c r="F396" s="204" t="s">
        <v>192</v>
      </c>
      <c r="G396" s="204">
        <v>1</v>
      </c>
      <c r="H396" s="204"/>
      <c r="I396" s="222"/>
    </row>
    <row r="397" spans="2:9">
      <c r="B397" s="285" t="s">
        <v>920</v>
      </c>
      <c r="C397" s="10" t="s">
        <v>914</v>
      </c>
      <c r="D397" s="204" t="s">
        <v>68</v>
      </c>
      <c r="E397" s="222" t="s">
        <v>921</v>
      </c>
      <c r="F397" s="204" t="s">
        <v>192</v>
      </c>
      <c r="G397" s="204">
        <v>2</v>
      </c>
      <c r="H397" s="204"/>
      <c r="I397" s="222"/>
    </row>
    <row r="398" spans="2:9">
      <c r="B398" s="285" t="s">
        <v>922</v>
      </c>
      <c r="C398" s="10" t="s">
        <v>914</v>
      </c>
      <c r="D398" s="204" t="s">
        <v>68</v>
      </c>
      <c r="E398" s="222" t="s">
        <v>923</v>
      </c>
      <c r="F398" s="204" t="s">
        <v>192</v>
      </c>
      <c r="G398" s="204">
        <v>1</v>
      </c>
      <c r="H398" s="204"/>
      <c r="I398" s="222"/>
    </row>
    <row r="399" spans="2:9">
      <c r="B399" s="285" t="s">
        <v>924</v>
      </c>
      <c r="C399" s="10" t="s">
        <v>914</v>
      </c>
      <c r="D399" s="204" t="s">
        <v>68</v>
      </c>
      <c r="E399" s="222" t="s">
        <v>925</v>
      </c>
      <c r="F399" s="204" t="s">
        <v>192</v>
      </c>
      <c r="G399" s="204">
        <v>1</v>
      </c>
      <c r="H399" s="204"/>
      <c r="I399" s="222"/>
    </row>
    <row r="400" spans="2:9">
      <c r="B400" s="285" t="s">
        <v>926</v>
      </c>
      <c r="C400" s="10" t="s">
        <v>914</v>
      </c>
      <c r="D400" s="204" t="s">
        <v>68</v>
      </c>
      <c r="E400" s="222" t="s">
        <v>285</v>
      </c>
      <c r="F400" s="204" t="s">
        <v>192</v>
      </c>
      <c r="G400" s="204">
        <v>30</v>
      </c>
      <c r="H400" s="204"/>
      <c r="I400" s="222"/>
    </row>
    <row r="401" spans="2:9">
      <c r="B401" s="285" t="s">
        <v>927</v>
      </c>
      <c r="C401" s="10" t="s">
        <v>914</v>
      </c>
      <c r="D401" s="204" t="s">
        <v>68</v>
      </c>
      <c r="E401" s="222" t="s">
        <v>928</v>
      </c>
      <c r="F401" s="204" t="s">
        <v>192</v>
      </c>
      <c r="G401" s="204">
        <v>1</v>
      </c>
      <c r="H401" s="204"/>
      <c r="I401" s="222"/>
    </row>
    <row r="402" spans="2:9">
      <c r="B402" s="285" t="s">
        <v>929</v>
      </c>
      <c r="C402" s="10" t="s">
        <v>914</v>
      </c>
      <c r="D402" s="204" t="s">
        <v>68</v>
      </c>
      <c r="E402" s="222" t="s">
        <v>930</v>
      </c>
      <c r="F402" s="204" t="s">
        <v>192</v>
      </c>
      <c r="G402" s="204">
        <v>1</v>
      </c>
      <c r="H402" s="204"/>
      <c r="I402" s="222"/>
    </row>
    <row r="403" spans="2:9">
      <c r="B403" s="285" t="s">
        <v>931</v>
      </c>
      <c r="C403" s="10" t="s">
        <v>914</v>
      </c>
      <c r="D403" s="204" t="s">
        <v>68</v>
      </c>
      <c r="E403" s="222" t="s">
        <v>932</v>
      </c>
      <c r="F403" s="204" t="s">
        <v>192</v>
      </c>
      <c r="G403" s="204">
        <v>1</v>
      </c>
      <c r="H403" s="204"/>
      <c r="I403" s="222"/>
    </row>
    <row r="404" spans="2:9">
      <c r="B404" s="285" t="s">
        <v>933</v>
      </c>
      <c r="C404" s="10" t="s">
        <v>914</v>
      </c>
      <c r="D404" s="204" t="s">
        <v>68</v>
      </c>
      <c r="E404" s="222" t="s">
        <v>934</v>
      </c>
      <c r="F404" s="204" t="s">
        <v>192</v>
      </c>
      <c r="G404" s="204">
        <v>1</v>
      </c>
      <c r="H404" s="204"/>
      <c r="I404" s="222"/>
    </row>
    <row r="405" spans="2:9">
      <c r="B405" s="285" t="s">
        <v>935</v>
      </c>
      <c r="C405" s="10" t="s">
        <v>914</v>
      </c>
      <c r="D405" s="204" t="s">
        <v>68</v>
      </c>
      <c r="E405" s="222" t="s">
        <v>936</v>
      </c>
      <c r="F405" s="204" t="s">
        <v>192</v>
      </c>
      <c r="G405" s="204">
        <v>1</v>
      </c>
      <c r="H405" s="204"/>
      <c r="I405" s="222"/>
    </row>
    <row r="406" spans="2:9">
      <c r="B406" s="285" t="s">
        <v>937</v>
      </c>
      <c r="C406" s="10" t="s">
        <v>914</v>
      </c>
      <c r="D406" s="204" t="s">
        <v>68</v>
      </c>
      <c r="E406" s="222" t="s">
        <v>938</v>
      </c>
      <c r="F406" s="204" t="s">
        <v>192</v>
      </c>
      <c r="G406" s="204">
        <v>1</v>
      </c>
      <c r="H406" s="204"/>
      <c r="I406" s="222"/>
    </row>
    <row r="407" spans="2:9">
      <c r="B407" s="285" t="s">
        <v>939</v>
      </c>
      <c r="C407" s="10" t="s">
        <v>914</v>
      </c>
      <c r="D407" s="204" t="s">
        <v>68</v>
      </c>
      <c r="E407" s="222" t="s">
        <v>940</v>
      </c>
      <c r="F407" s="204" t="s">
        <v>192</v>
      </c>
      <c r="G407" s="204">
        <v>8</v>
      </c>
      <c r="H407" s="204"/>
      <c r="I407" s="222"/>
    </row>
    <row r="408" spans="2:9">
      <c r="B408" s="285" t="s">
        <v>941</v>
      </c>
      <c r="C408" s="10" t="s">
        <v>914</v>
      </c>
      <c r="D408" s="204" t="s">
        <v>68</v>
      </c>
      <c r="E408" s="222" t="s">
        <v>578</v>
      </c>
      <c r="F408" s="204" t="s">
        <v>192</v>
      </c>
      <c r="G408" s="204">
        <v>9</v>
      </c>
      <c r="H408" s="204"/>
      <c r="I408" s="222"/>
    </row>
    <row r="409" spans="2:9">
      <c r="B409" s="285" t="s">
        <v>942</v>
      </c>
      <c r="C409" s="10" t="s">
        <v>914</v>
      </c>
      <c r="D409" s="204" t="s">
        <v>68</v>
      </c>
      <c r="E409" s="222" t="s">
        <v>943</v>
      </c>
      <c r="F409" s="204" t="s">
        <v>192</v>
      </c>
      <c r="G409" s="204">
        <v>9</v>
      </c>
      <c r="H409" s="204"/>
      <c r="I409" s="222"/>
    </row>
    <row r="410" spans="2:9">
      <c r="B410" s="285" t="s">
        <v>944</v>
      </c>
      <c r="C410" s="10" t="s">
        <v>914</v>
      </c>
      <c r="D410" s="204" t="s">
        <v>68</v>
      </c>
      <c r="E410" s="222" t="s">
        <v>945</v>
      </c>
      <c r="F410" s="204" t="s">
        <v>192</v>
      </c>
      <c r="G410" s="204">
        <v>1</v>
      </c>
      <c r="H410" s="204"/>
      <c r="I410" s="222"/>
    </row>
    <row r="411" spans="2:9">
      <c r="B411" s="285" t="s">
        <v>946</v>
      </c>
      <c r="C411" s="10" t="s">
        <v>914</v>
      </c>
      <c r="D411" s="204" t="s">
        <v>68</v>
      </c>
      <c r="E411" s="222" t="s">
        <v>947</v>
      </c>
      <c r="F411" s="204" t="s">
        <v>192</v>
      </c>
      <c r="G411" s="204">
        <v>1</v>
      </c>
      <c r="H411" s="204"/>
      <c r="I411" s="222"/>
    </row>
    <row r="412" spans="2:9">
      <c r="B412" s="285" t="s">
        <v>948</v>
      </c>
      <c r="C412" s="10" t="s">
        <v>914</v>
      </c>
      <c r="D412" s="204" t="s">
        <v>68</v>
      </c>
      <c r="E412" s="222" t="s">
        <v>949</v>
      </c>
      <c r="F412" s="204" t="s">
        <v>192</v>
      </c>
      <c r="G412" s="204">
        <v>1</v>
      </c>
      <c r="H412" s="204"/>
      <c r="I412" s="222"/>
    </row>
    <row r="413" spans="2:9">
      <c r="B413" s="285" t="s">
        <v>950</v>
      </c>
      <c r="C413" s="10" t="s">
        <v>914</v>
      </c>
      <c r="D413" s="204" t="s">
        <v>68</v>
      </c>
      <c r="E413" s="222" t="s">
        <v>951</v>
      </c>
      <c r="F413" s="204" t="s">
        <v>192</v>
      </c>
      <c r="G413" s="204">
        <v>1</v>
      </c>
      <c r="H413" s="204"/>
      <c r="I413" s="222"/>
    </row>
    <row r="414" spans="2:9">
      <c r="B414" s="285" t="s">
        <v>952</v>
      </c>
      <c r="C414" s="10" t="s">
        <v>914</v>
      </c>
      <c r="D414" s="204" t="s">
        <v>68</v>
      </c>
      <c r="E414" s="222" t="s">
        <v>953</v>
      </c>
      <c r="F414" s="204" t="s">
        <v>192</v>
      </c>
      <c r="G414" s="204">
        <v>1</v>
      </c>
      <c r="H414" s="204"/>
      <c r="I414" s="222"/>
    </row>
    <row r="415" spans="2:9">
      <c r="B415" s="285" t="s">
        <v>954</v>
      </c>
      <c r="C415" s="10" t="s">
        <v>914</v>
      </c>
      <c r="D415" s="204" t="s">
        <v>68</v>
      </c>
      <c r="E415" s="222" t="s">
        <v>955</v>
      </c>
      <c r="F415" s="204" t="s">
        <v>192</v>
      </c>
      <c r="G415" s="204">
        <v>3</v>
      </c>
      <c r="H415" s="204"/>
      <c r="I415" s="222"/>
    </row>
    <row r="416" spans="2:9">
      <c r="B416" s="285" t="s">
        <v>956</v>
      </c>
      <c r="C416" s="10" t="s">
        <v>914</v>
      </c>
      <c r="D416" s="204" t="s">
        <v>68</v>
      </c>
      <c r="E416" s="222" t="s">
        <v>957</v>
      </c>
      <c r="F416" s="204" t="s">
        <v>192</v>
      </c>
      <c r="G416" s="204">
        <v>1</v>
      </c>
      <c r="H416" s="204"/>
      <c r="I416" s="222"/>
    </row>
    <row r="417" spans="2:9">
      <c r="B417" s="285" t="s">
        <v>958</v>
      </c>
      <c r="C417" s="10" t="s">
        <v>914</v>
      </c>
      <c r="D417" s="204" t="s">
        <v>68</v>
      </c>
      <c r="E417" s="222" t="s">
        <v>959</v>
      </c>
      <c r="F417" s="204" t="s">
        <v>192</v>
      </c>
      <c r="G417" s="204">
        <v>2</v>
      </c>
      <c r="H417" s="204"/>
      <c r="I417" s="222"/>
    </row>
    <row r="418" spans="2:9" ht="45" customHeight="1">
      <c r="B418" s="285" t="s">
        <v>960</v>
      </c>
      <c r="C418" s="10" t="s">
        <v>914</v>
      </c>
      <c r="D418" s="204" t="s">
        <v>68</v>
      </c>
      <c r="E418" s="222" t="s">
        <v>457</v>
      </c>
      <c r="F418" s="204" t="s">
        <v>192</v>
      </c>
      <c r="G418" s="204">
        <v>3</v>
      </c>
      <c r="H418" s="218" t="s">
        <v>961</v>
      </c>
      <c r="I418" s="222"/>
    </row>
    <row r="419" spans="2:9">
      <c r="B419" s="285" t="s">
        <v>962</v>
      </c>
      <c r="C419" s="10" t="s">
        <v>914</v>
      </c>
      <c r="D419" s="204" t="s">
        <v>68</v>
      </c>
      <c r="E419" s="222" t="s">
        <v>963</v>
      </c>
      <c r="F419" s="204" t="s">
        <v>192</v>
      </c>
      <c r="G419" s="204">
        <v>2</v>
      </c>
      <c r="H419" s="204"/>
      <c r="I419" s="222"/>
    </row>
    <row r="420" spans="2:9">
      <c r="B420" s="285" t="s">
        <v>964</v>
      </c>
      <c r="C420" s="10" t="s">
        <v>914</v>
      </c>
      <c r="D420" s="204" t="s">
        <v>68</v>
      </c>
      <c r="E420" s="222" t="s">
        <v>965</v>
      </c>
      <c r="F420" s="204" t="s">
        <v>192</v>
      </c>
      <c r="G420" s="204">
        <v>2</v>
      </c>
      <c r="H420" s="204"/>
      <c r="I420" s="222"/>
    </row>
    <row r="421" spans="2:9" ht="45" customHeight="1">
      <c r="B421" s="285" t="s">
        <v>966</v>
      </c>
      <c r="C421" s="10" t="s">
        <v>914</v>
      </c>
      <c r="D421" s="204" t="s">
        <v>68</v>
      </c>
      <c r="E421" s="222" t="s">
        <v>863</v>
      </c>
      <c r="F421" s="204" t="s">
        <v>192</v>
      </c>
      <c r="G421" s="204">
        <v>3</v>
      </c>
      <c r="H421" s="218" t="s">
        <v>967</v>
      </c>
      <c r="I421" s="222"/>
    </row>
    <row r="422" spans="2:9" ht="45" customHeight="1">
      <c r="B422" s="285" t="s">
        <v>968</v>
      </c>
      <c r="C422" s="10" t="s">
        <v>914</v>
      </c>
      <c r="D422" s="204" t="s">
        <v>68</v>
      </c>
      <c r="E422" s="222" t="s">
        <v>969</v>
      </c>
      <c r="F422" s="204" t="s">
        <v>192</v>
      </c>
      <c r="G422" s="204">
        <v>3</v>
      </c>
      <c r="H422" s="218" t="s">
        <v>970</v>
      </c>
      <c r="I422" s="222"/>
    </row>
    <row r="423" spans="2:9">
      <c r="B423" s="285" t="s">
        <v>971</v>
      </c>
      <c r="C423" s="10" t="s">
        <v>914</v>
      </c>
      <c r="D423" s="204" t="s">
        <v>68</v>
      </c>
      <c r="E423" s="222" t="s">
        <v>319</v>
      </c>
      <c r="F423" s="204" t="s">
        <v>192</v>
      </c>
      <c r="G423" s="204">
        <v>3</v>
      </c>
      <c r="H423" s="204"/>
      <c r="I423" s="222"/>
    </row>
    <row r="424" spans="2:9">
      <c r="B424" s="285" t="s">
        <v>972</v>
      </c>
      <c r="C424" s="10" t="s">
        <v>914</v>
      </c>
      <c r="D424" s="204" t="s">
        <v>68</v>
      </c>
      <c r="E424" s="222" t="s">
        <v>973</v>
      </c>
      <c r="F424" s="204" t="s">
        <v>192</v>
      </c>
      <c r="G424" s="204">
        <v>1</v>
      </c>
      <c r="H424" s="204" t="s">
        <v>974</v>
      </c>
      <c r="I424" s="222"/>
    </row>
    <row r="425" spans="2:9">
      <c r="B425" s="285" t="s">
        <v>975</v>
      </c>
      <c r="C425" s="10" t="s">
        <v>914</v>
      </c>
      <c r="D425" s="204" t="s">
        <v>68</v>
      </c>
      <c r="E425" s="222" t="s">
        <v>844</v>
      </c>
      <c r="F425" s="204" t="s">
        <v>192</v>
      </c>
      <c r="G425" s="204">
        <v>1</v>
      </c>
      <c r="H425" s="204"/>
      <c r="I425" s="222"/>
    </row>
    <row r="426" spans="2:9">
      <c r="B426" s="285" t="s">
        <v>976</v>
      </c>
      <c r="C426" s="10" t="s">
        <v>914</v>
      </c>
      <c r="D426" s="204" t="s">
        <v>68</v>
      </c>
      <c r="E426" s="222" t="s">
        <v>433</v>
      </c>
      <c r="F426" s="204" t="s">
        <v>192</v>
      </c>
      <c r="G426" s="204">
        <v>3</v>
      </c>
      <c r="H426" s="204"/>
      <c r="I426" s="222"/>
    </row>
    <row r="427" spans="2:9">
      <c r="B427" s="285" t="s">
        <v>977</v>
      </c>
      <c r="C427" s="10" t="s">
        <v>914</v>
      </c>
      <c r="D427" s="204" t="s">
        <v>68</v>
      </c>
      <c r="E427" s="222" t="s">
        <v>978</v>
      </c>
      <c r="F427" s="204" t="s">
        <v>192</v>
      </c>
      <c r="G427" s="204">
        <v>1</v>
      </c>
      <c r="H427" s="204"/>
      <c r="I427" s="222"/>
    </row>
    <row r="428" spans="2:9">
      <c r="B428" s="285" t="s">
        <v>979</v>
      </c>
      <c r="C428" s="10" t="s">
        <v>914</v>
      </c>
      <c r="D428" s="204" t="s">
        <v>68</v>
      </c>
      <c r="E428" s="222" t="s">
        <v>980</v>
      </c>
      <c r="F428" s="204" t="s">
        <v>192</v>
      </c>
      <c r="G428" s="204">
        <v>1</v>
      </c>
      <c r="H428" s="204"/>
      <c r="I428" s="222"/>
    </row>
    <row r="429" spans="2:9">
      <c r="B429" s="285" t="s">
        <v>981</v>
      </c>
      <c r="C429" s="10" t="s">
        <v>914</v>
      </c>
      <c r="D429" s="204" t="s">
        <v>68</v>
      </c>
      <c r="E429" s="222" t="s">
        <v>982</v>
      </c>
      <c r="F429" s="204" t="s">
        <v>192</v>
      </c>
      <c r="G429" s="204">
        <v>1</v>
      </c>
      <c r="H429" s="204"/>
      <c r="I429" s="222"/>
    </row>
    <row r="430" spans="2:9">
      <c r="B430" s="285" t="s">
        <v>983</v>
      </c>
      <c r="C430" s="10" t="s">
        <v>914</v>
      </c>
      <c r="D430" s="204" t="s">
        <v>68</v>
      </c>
      <c r="E430" s="222" t="s">
        <v>807</v>
      </c>
      <c r="F430" s="204" t="s">
        <v>192</v>
      </c>
      <c r="G430" s="204">
        <v>1</v>
      </c>
      <c r="H430" s="204"/>
      <c r="I430" s="222"/>
    </row>
    <row r="431" spans="2:9">
      <c r="B431" s="285" t="s">
        <v>984</v>
      </c>
      <c r="C431" s="10" t="s">
        <v>914</v>
      </c>
      <c r="D431" s="204" t="s">
        <v>68</v>
      </c>
      <c r="E431" s="222" t="s">
        <v>985</v>
      </c>
      <c r="F431" s="204" t="s">
        <v>192</v>
      </c>
      <c r="G431" s="204">
        <v>4</v>
      </c>
      <c r="H431" s="204"/>
      <c r="I431" s="222"/>
    </row>
    <row r="432" spans="2:9">
      <c r="B432" s="285" t="s">
        <v>986</v>
      </c>
      <c r="C432" s="10" t="s">
        <v>914</v>
      </c>
      <c r="D432" s="204" t="s">
        <v>68</v>
      </c>
      <c r="E432" s="222" t="s">
        <v>987</v>
      </c>
      <c r="F432" s="204" t="s">
        <v>192</v>
      </c>
      <c r="G432" s="204">
        <v>1</v>
      </c>
      <c r="H432" s="204"/>
      <c r="I432" s="222"/>
    </row>
    <row r="433" spans="2:9">
      <c r="B433" s="285" t="s">
        <v>988</v>
      </c>
      <c r="C433" s="10" t="s">
        <v>914</v>
      </c>
      <c r="D433" s="204" t="s">
        <v>68</v>
      </c>
      <c r="E433" s="222" t="s">
        <v>647</v>
      </c>
      <c r="F433" s="204" t="s">
        <v>192</v>
      </c>
      <c r="G433" s="204">
        <v>2</v>
      </c>
      <c r="H433" s="204"/>
      <c r="I433" s="222"/>
    </row>
    <row r="434" spans="2:9">
      <c r="B434" s="285" t="s">
        <v>989</v>
      </c>
      <c r="C434" s="10" t="s">
        <v>914</v>
      </c>
      <c r="D434" s="204" t="s">
        <v>68</v>
      </c>
      <c r="E434" s="222" t="s">
        <v>590</v>
      </c>
      <c r="F434" s="204" t="s">
        <v>192</v>
      </c>
      <c r="G434" s="204">
        <v>1</v>
      </c>
      <c r="H434" s="204"/>
      <c r="I434" s="222"/>
    </row>
    <row r="435" spans="2:9">
      <c r="B435" s="285" t="s">
        <v>990</v>
      </c>
      <c r="C435" s="10" t="s">
        <v>914</v>
      </c>
      <c r="D435" s="204" t="s">
        <v>68</v>
      </c>
      <c r="E435" s="222" t="s">
        <v>991</v>
      </c>
      <c r="F435" s="204" t="s">
        <v>192</v>
      </c>
      <c r="G435" s="204">
        <v>6</v>
      </c>
      <c r="H435" s="204"/>
      <c r="I435" s="222"/>
    </row>
    <row r="436" spans="2:9">
      <c r="B436" s="285" t="s">
        <v>992</v>
      </c>
      <c r="C436" s="10" t="s">
        <v>914</v>
      </c>
      <c r="D436" s="204" t="s">
        <v>798</v>
      </c>
      <c r="E436" s="222" t="s">
        <v>993</v>
      </c>
      <c r="F436" s="204" t="s">
        <v>192</v>
      </c>
      <c r="G436" s="204">
        <v>1</v>
      </c>
      <c r="H436" s="190">
        <v>210212223</v>
      </c>
      <c r="I436" s="222"/>
    </row>
    <row r="437" spans="2:9">
      <c r="B437" s="285" t="s">
        <v>994</v>
      </c>
      <c r="C437" s="10" t="s">
        <v>914</v>
      </c>
      <c r="D437" s="204" t="s">
        <v>798</v>
      </c>
      <c r="E437" s="222" t="s">
        <v>590</v>
      </c>
      <c r="F437" s="204" t="s">
        <v>192</v>
      </c>
      <c r="G437" s="204"/>
      <c r="H437" s="204"/>
      <c r="I437" s="222"/>
    </row>
    <row r="438" spans="2:9">
      <c r="B438" s="285" t="s">
        <v>995</v>
      </c>
      <c r="C438" s="10" t="s">
        <v>914</v>
      </c>
      <c r="D438" s="204" t="s">
        <v>798</v>
      </c>
      <c r="E438" s="222" t="s">
        <v>887</v>
      </c>
      <c r="F438" s="204" t="s">
        <v>192</v>
      </c>
      <c r="G438" s="204">
        <v>1</v>
      </c>
      <c r="H438" s="204"/>
      <c r="I438" s="222"/>
    </row>
    <row r="439" spans="2:9">
      <c r="B439" s="285" t="s">
        <v>996</v>
      </c>
      <c r="C439" s="10" t="s">
        <v>914</v>
      </c>
      <c r="D439" s="204" t="s">
        <v>798</v>
      </c>
      <c r="E439" s="222" t="s">
        <v>997</v>
      </c>
      <c r="F439" s="204" t="s">
        <v>192</v>
      </c>
      <c r="G439" s="204">
        <v>1</v>
      </c>
      <c r="H439" s="204"/>
      <c r="I439" s="222"/>
    </row>
    <row r="440" spans="2:9">
      <c r="B440" s="285" t="s">
        <v>998</v>
      </c>
      <c r="C440" s="10" t="s">
        <v>914</v>
      </c>
      <c r="D440" s="204" t="s">
        <v>798</v>
      </c>
      <c r="E440" s="222" t="s">
        <v>768</v>
      </c>
      <c r="F440" s="204" t="s">
        <v>192</v>
      </c>
      <c r="G440" s="204">
        <v>2</v>
      </c>
      <c r="H440" s="204"/>
      <c r="I440" s="222"/>
    </row>
    <row r="441" spans="2:9">
      <c r="B441" s="285" t="s">
        <v>999</v>
      </c>
      <c r="C441" s="10" t="s">
        <v>914</v>
      </c>
      <c r="D441" s="204" t="s">
        <v>798</v>
      </c>
      <c r="E441" s="222" t="s">
        <v>633</v>
      </c>
      <c r="F441" s="204" t="s">
        <v>192</v>
      </c>
      <c r="G441" s="204">
        <v>1</v>
      </c>
      <c r="H441" s="204"/>
      <c r="I441" s="222"/>
    </row>
    <row r="442" spans="2:9">
      <c r="B442" s="285" t="s">
        <v>1000</v>
      </c>
      <c r="C442" s="10" t="s">
        <v>914</v>
      </c>
      <c r="D442" s="204" t="s">
        <v>798</v>
      </c>
      <c r="E442" s="222" t="s">
        <v>1001</v>
      </c>
      <c r="F442" s="204" t="s">
        <v>192</v>
      </c>
      <c r="G442" s="204">
        <v>1</v>
      </c>
      <c r="H442" s="204"/>
      <c r="I442" s="222"/>
    </row>
    <row r="443" spans="2:9">
      <c r="B443" s="285" t="s">
        <v>1002</v>
      </c>
      <c r="C443" s="10" t="s">
        <v>914</v>
      </c>
      <c r="D443" s="204" t="s">
        <v>798</v>
      </c>
      <c r="E443" s="222" t="s">
        <v>1003</v>
      </c>
      <c r="F443" s="204" t="s">
        <v>192</v>
      </c>
      <c r="G443" s="204">
        <v>1</v>
      </c>
      <c r="H443" s="204"/>
      <c r="I443" s="222"/>
    </row>
    <row r="444" spans="2:9">
      <c r="B444" s="285" t="s">
        <v>1004</v>
      </c>
      <c r="C444" s="10" t="s">
        <v>914</v>
      </c>
      <c r="D444" s="204" t="s">
        <v>798</v>
      </c>
      <c r="E444" s="222" t="s">
        <v>1005</v>
      </c>
      <c r="F444" s="204" t="s">
        <v>192</v>
      </c>
      <c r="G444" s="204">
        <v>1</v>
      </c>
      <c r="H444" s="204"/>
      <c r="I444" s="222"/>
    </row>
    <row r="445" spans="2:9">
      <c r="B445" s="285" t="s">
        <v>1006</v>
      </c>
      <c r="C445" s="10" t="s">
        <v>914</v>
      </c>
      <c r="D445" s="204" t="s">
        <v>798</v>
      </c>
      <c r="E445" s="222" t="s">
        <v>457</v>
      </c>
      <c r="F445" s="204" t="s">
        <v>192</v>
      </c>
      <c r="G445" s="204">
        <v>2</v>
      </c>
      <c r="H445" s="204"/>
      <c r="I445" s="222"/>
    </row>
    <row r="446" spans="2:9" ht="30" customHeight="1">
      <c r="B446" s="285" t="s">
        <v>1007</v>
      </c>
      <c r="C446" s="10" t="s">
        <v>914</v>
      </c>
      <c r="D446" s="204" t="s">
        <v>798</v>
      </c>
      <c r="E446" s="222" t="s">
        <v>1008</v>
      </c>
      <c r="F446" s="204" t="s">
        <v>192</v>
      </c>
      <c r="G446" s="204">
        <v>3</v>
      </c>
      <c r="H446" s="218" t="s">
        <v>1009</v>
      </c>
      <c r="I446" s="222"/>
    </row>
    <row r="447" spans="2:9" ht="30" customHeight="1">
      <c r="B447" s="285" t="s">
        <v>1010</v>
      </c>
      <c r="C447" s="10" t="s">
        <v>914</v>
      </c>
      <c r="D447" s="204" t="s">
        <v>798</v>
      </c>
      <c r="E447" s="222" t="s">
        <v>1011</v>
      </c>
      <c r="F447" s="204" t="s">
        <v>192</v>
      </c>
      <c r="G447" s="204">
        <v>2</v>
      </c>
      <c r="H447" s="218" t="s">
        <v>1012</v>
      </c>
      <c r="I447" s="222"/>
    </row>
    <row r="448" spans="2:9" ht="30" customHeight="1">
      <c r="B448" s="285" t="s">
        <v>1013</v>
      </c>
      <c r="C448" s="10" t="s">
        <v>914</v>
      </c>
      <c r="D448" s="204" t="s">
        <v>798</v>
      </c>
      <c r="E448" s="222" t="s">
        <v>863</v>
      </c>
      <c r="F448" s="204" t="s">
        <v>192</v>
      </c>
      <c r="G448" s="204">
        <v>2</v>
      </c>
      <c r="H448" s="218" t="s">
        <v>1014</v>
      </c>
      <c r="I448" s="222"/>
    </row>
    <row r="449" spans="2:9">
      <c r="B449" s="285" t="s">
        <v>1015</v>
      </c>
      <c r="C449" s="10" t="s">
        <v>914</v>
      </c>
      <c r="D449" s="204" t="s">
        <v>798</v>
      </c>
      <c r="E449" s="222" t="s">
        <v>1016</v>
      </c>
      <c r="F449" s="204" t="s">
        <v>192</v>
      </c>
      <c r="G449" s="204">
        <v>1</v>
      </c>
      <c r="H449" s="204"/>
      <c r="I449" s="222"/>
    </row>
    <row r="450" spans="2:9">
      <c r="B450" s="285" t="s">
        <v>1017</v>
      </c>
      <c r="C450" s="10" t="s">
        <v>914</v>
      </c>
      <c r="D450" s="204" t="s">
        <v>798</v>
      </c>
      <c r="E450" s="222" t="s">
        <v>991</v>
      </c>
      <c r="F450" s="204" t="s">
        <v>192</v>
      </c>
      <c r="G450" s="204">
        <v>9</v>
      </c>
      <c r="H450" s="204"/>
      <c r="I450" s="222"/>
    </row>
    <row r="451" spans="2:9">
      <c r="B451" s="285" t="s">
        <v>1018</v>
      </c>
      <c r="C451" s="10" t="s">
        <v>914</v>
      </c>
      <c r="D451" s="204" t="s">
        <v>798</v>
      </c>
      <c r="E451" s="222" t="s">
        <v>284</v>
      </c>
      <c r="F451" s="204" t="s">
        <v>192</v>
      </c>
      <c r="G451" s="204">
        <v>9</v>
      </c>
      <c r="H451" s="204"/>
      <c r="I451" s="222"/>
    </row>
    <row r="452" spans="2:9">
      <c r="B452" s="285" t="s">
        <v>1019</v>
      </c>
      <c r="C452" s="10" t="s">
        <v>914</v>
      </c>
      <c r="D452" s="204" t="s">
        <v>798</v>
      </c>
      <c r="E452" s="222" t="s">
        <v>1020</v>
      </c>
      <c r="F452" s="204" t="s">
        <v>192</v>
      </c>
      <c r="G452" s="204">
        <v>1</v>
      </c>
      <c r="H452" s="204"/>
      <c r="I452" s="222"/>
    </row>
    <row r="453" spans="2:9">
      <c r="B453" s="285" t="s">
        <v>1021</v>
      </c>
      <c r="C453" s="10" t="s">
        <v>914</v>
      </c>
      <c r="D453" s="204" t="s">
        <v>798</v>
      </c>
      <c r="E453" s="222" t="s">
        <v>1022</v>
      </c>
      <c r="F453" s="204" t="s">
        <v>192</v>
      </c>
      <c r="G453" s="204">
        <v>1</v>
      </c>
      <c r="H453" s="204"/>
      <c r="I453" s="222"/>
    </row>
    <row r="454" spans="2:9">
      <c r="B454" s="285" t="s">
        <v>1023</v>
      </c>
      <c r="C454" s="10" t="s">
        <v>914</v>
      </c>
      <c r="D454" s="204" t="s">
        <v>798</v>
      </c>
      <c r="E454" s="222" t="s">
        <v>1024</v>
      </c>
      <c r="F454" s="204" t="s">
        <v>192</v>
      </c>
      <c r="G454" s="204">
        <v>1</v>
      </c>
      <c r="H454" s="204"/>
      <c r="I454" s="222"/>
    </row>
    <row r="455" spans="2:9">
      <c r="B455" s="285" t="s">
        <v>1025</v>
      </c>
      <c r="C455" s="10" t="s">
        <v>914</v>
      </c>
      <c r="D455" s="204" t="s">
        <v>798</v>
      </c>
      <c r="E455" s="222" t="s">
        <v>1026</v>
      </c>
      <c r="F455" s="204" t="s">
        <v>192</v>
      </c>
      <c r="G455" s="204">
        <v>1</v>
      </c>
      <c r="H455" s="204"/>
      <c r="I455" s="222"/>
    </row>
    <row r="456" spans="2:9">
      <c r="B456" s="285" t="s">
        <v>1027</v>
      </c>
      <c r="C456" s="10" t="s">
        <v>914</v>
      </c>
      <c r="D456" s="204" t="s">
        <v>798</v>
      </c>
      <c r="E456" s="222" t="s">
        <v>1028</v>
      </c>
      <c r="F456" s="204" t="s">
        <v>192</v>
      </c>
      <c r="G456" s="204">
        <v>9</v>
      </c>
      <c r="H456" s="204"/>
      <c r="I456" s="222"/>
    </row>
    <row r="457" spans="2:9">
      <c r="B457" s="285" t="s">
        <v>1029</v>
      </c>
      <c r="C457" s="10" t="s">
        <v>914</v>
      </c>
      <c r="D457" s="204" t="s">
        <v>798</v>
      </c>
      <c r="E457" s="222" t="s">
        <v>1030</v>
      </c>
      <c r="F457" s="204" t="s">
        <v>192</v>
      </c>
      <c r="G457" s="204">
        <v>9</v>
      </c>
      <c r="H457" s="204"/>
      <c r="I457" s="222"/>
    </row>
    <row r="458" spans="2:9">
      <c r="B458" s="285" t="s">
        <v>1031</v>
      </c>
      <c r="C458" s="10" t="s">
        <v>914</v>
      </c>
      <c r="D458" s="204" t="s">
        <v>798</v>
      </c>
      <c r="E458" s="222" t="s">
        <v>1032</v>
      </c>
      <c r="F458" s="204" t="s">
        <v>192</v>
      </c>
      <c r="G458" s="204">
        <v>27</v>
      </c>
      <c r="H458" s="204"/>
      <c r="I458" s="222"/>
    </row>
    <row r="459" spans="2:9">
      <c r="B459" s="285" t="s">
        <v>1033</v>
      </c>
      <c r="C459" s="10" t="s">
        <v>914</v>
      </c>
      <c r="D459" s="204" t="s">
        <v>798</v>
      </c>
      <c r="E459" s="222" t="s">
        <v>1034</v>
      </c>
      <c r="F459" s="204" t="s">
        <v>192</v>
      </c>
      <c r="G459" s="204">
        <v>2</v>
      </c>
      <c r="H459" s="204"/>
      <c r="I459" s="222"/>
    </row>
    <row r="460" spans="2:9">
      <c r="B460" s="285" t="s">
        <v>1035</v>
      </c>
      <c r="C460" s="10" t="s">
        <v>914</v>
      </c>
      <c r="D460" s="204" t="s">
        <v>798</v>
      </c>
      <c r="E460" s="222" t="s">
        <v>1036</v>
      </c>
      <c r="F460" s="204" t="s">
        <v>192</v>
      </c>
      <c r="G460" s="204">
        <v>2</v>
      </c>
      <c r="H460" s="204"/>
      <c r="I460" s="222"/>
    </row>
    <row r="461" spans="2:9">
      <c r="B461" s="285" t="s">
        <v>1037</v>
      </c>
      <c r="C461" s="10" t="s">
        <v>914</v>
      </c>
      <c r="D461" s="204" t="s">
        <v>798</v>
      </c>
      <c r="E461" s="222" t="s">
        <v>1038</v>
      </c>
      <c r="F461" s="204" t="s">
        <v>192</v>
      </c>
      <c r="G461" s="204">
        <v>2</v>
      </c>
      <c r="H461" s="204"/>
      <c r="I461" s="222"/>
    </row>
    <row r="462" spans="2:9">
      <c r="B462" s="285" t="s">
        <v>1039</v>
      </c>
      <c r="C462" s="10" t="s">
        <v>914</v>
      </c>
      <c r="D462" s="204" t="s">
        <v>798</v>
      </c>
      <c r="E462" s="222" t="s">
        <v>1040</v>
      </c>
      <c r="F462" s="204" t="s">
        <v>192</v>
      </c>
      <c r="G462" s="204">
        <v>1</v>
      </c>
      <c r="H462" s="204"/>
      <c r="I462" s="222"/>
    </row>
    <row r="463" spans="2:9">
      <c r="B463" s="285" t="s">
        <v>1041</v>
      </c>
      <c r="C463" s="10" t="s">
        <v>914</v>
      </c>
      <c r="D463" s="204" t="s">
        <v>798</v>
      </c>
      <c r="E463" s="222" t="s">
        <v>1042</v>
      </c>
      <c r="F463" s="204" t="s">
        <v>192</v>
      </c>
      <c r="G463" s="204">
        <v>1</v>
      </c>
      <c r="H463" s="204"/>
      <c r="I463" s="222"/>
    </row>
    <row r="464" spans="2:9">
      <c r="B464" s="285" t="s">
        <v>1043</v>
      </c>
      <c r="C464" s="10" t="s">
        <v>914</v>
      </c>
      <c r="D464" s="204" t="s">
        <v>798</v>
      </c>
      <c r="E464" s="222" t="s">
        <v>1044</v>
      </c>
      <c r="F464" s="204" t="s">
        <v>192</v>
      </c>
      <c r="G464" s="204">
        <v>1</v>
      </c>
      <c r="H464" s="204"/>
      <c r="I464" s="222"/>
    </row>
    <row r="465" spans="2:9">
      <c r="B465" s="285" t="s">
        <v>1045</v>
      </c>
      <c r="C465" s="10" t="s">
        <v>914</v>
      </c>
      <c r="D465" s="204" t="s">
        <v>798</v>
      </c>
      <c r="E465" s="222" t="s">
        <v>1046</v>
      </c>
      <c r="F465" s="204" t="s">
        <v>192</v>
      </c>
      <c r="G465" s="204">
        <v>5</v>
      </c>
      <c r="H465" s="204"/>
      <c r="I465" s="222"/>
    </row>
    <row r="466" spans="2:9">
      <c r="B466" s="285" t="s">
        <v>1047</v>
      </c>
      <c r="C466" s="10" t="s">
        <v>914</v>
      </c>
      <c r="D466" s="204" t="s">
        <v>798</v>
      </c>
      <c r="E466" s="222" t="s">
        <v>1048</v>
      </c>
      <c r="F466" s="204" t="s">
        <v>192</v>
      </c>
      <c r="G466" s="204">
        <v>1</v>
      </c>
      <c r="H466" s="204"/>
      <c r="I466" s="222"/>
    </row>
    <row r="467" spans="2:9">
      <c r="B467" s="285" t="s">
        <v>1049</v>
      </c>
      <c r="C467" s="10" t="s">
        <v>914</v>
      </c>
      <c r="D467" s="204" t="s">
        <v>798</v>
      </c>
      <c r="E467" s="222" t="s">
        <v>1050</v>
      </c>
      <c r="F467" s="204" t="s">
        <v>192</v>
      </c>
      <c r="G467" s="204">
        <v>1</v>
      </c>
      <c r="H467" s="204"/>
      <c r="I467" s="222"/>
    </row>
    <row r="468" spans="2:9">
      <c r="B468" s="285" t="s">
        <v>1051</v>
      </c>
      <c r="C468" s="10" t="s">
        <v>914</v>
      </c>
      <c r="D468" s="204" t="s">
        <v>798</v>
      </c>
      <c r="E468" s="222" t="s">
        <v>1052</v>
      </c>
      <c r="F468" s="204" t="s">
        <v>192</v>
      </c>
      <c r="G468" s="204">
        <v>1</v>
      </c>
      <c r="H468" s="204"/>
      <c r="I468" s="222"/>
    </row>
    <row r="469" spans="2:9">
      <c r="B469" s="285" t="s">
        <v>1053</v>
      </c>
      <c r="C469" s="10" t="s">
        <v>914</v>
      </c>
      <c r="D469" s="204" t="s">
        <v>798</v>
      </c>
      <c r="E469" s="222" t="s">
        <v>978</v>
      </c>
      <c r="F469" s="204" t="s">
        <v>192</v>
      </c>
      <c r="G469" s="204">
        <v>1</v>
      </c>
      <c r="H469" s="204"/>
      <c r="I469" s="222"/>
    </row>
    <row r="470" spans="2:9">
      <c r="B470" s="285" t="s">
        <v>1054</v>
      </c>
      <c r="C470" s="10" t="s">
        <v>914</v>
      </c>
      <c r="D470" s="204" t="s">
        <v>798</v>
      </c>
      <c r="E470" s="222" t="s">
        <v>980</v>
      </c>
      <c r="F470" s="204" t="s">
        <v>192</v>
      </c>
      <c r="G470" s="204">
        <v>1</v>
      </c>
      <c r="H470" s="204"/>
      <c r="I470" s="222"/>
    </row>
    <row r="471" spans="2:9">
      <c r="B471" s="285" t="s">
        <v>1055</v>
      </c>
      <c r="C471" s="10" t="s">
        <v>914</v>
      </c>
      <c r="D471" s="204" t="s">
        <v>798</v>
      </c>
      <c r="E471" s="222" t="s">
        <v>1056</v>
      </c>
      <c r="F471" s="204" t="s">
        <v>192</v>
      </c>
      <c r="G471" s="204">
        <v>4</v>
      </c>
      <c r="H471" s="204"/>
      <c r="I471" s="222"/>
    </row>
    <row r="472" spans="2:9">
      <c r="B472" s="285" t="s">
        <v>1057</v>
      </c>
      <c r="C472" s="10" t="s">
        <v>914</v>
      </c>
      <c r="D472" s="204" t="s">
        <v>798</v>
      </c>
      <c r="E472" s="222" t="s">
        <v>477</v>
      </c>
      <c r="F472" s="204" t="s">
        <v>192</v>
      </c>
      <c r="G472" s="204">
        <v>1</v>
      </c>
      <c r="H472" s="204"/>
      <c r="I472" s="222"/>
    </row>
    <row r="473" spans="2:9">
      <c r="B473" s="285" t="s">
        <v>1058</v>
      </c>
      <c r="C473" s="10" t="s">
        <v>914</v>
      </c>
      <c r="D473" s="204" t="s">
        <v>798</v>
      </c>
      <c r="E473" s="222" t="s">
        <v>1059</v>
      </c>
      <c r="F473" s="204" t="s">
        <v>192</v>
      </c>
      <c r="G473" s="204">
        <v>1</v>
      </c>
      <c r="H473" s="240" t="s">
        <v>1060</v>
      </c>
      <c r="I473" s="222"/>
    </row>
    <row r="474" spans="2:9">
      <c r="B474" s="285" t="s">
        <v>1061</v>
      </c>
      <c r="C474" s="10" t="s">
        <v>914</v>
      </c>
      <c r="D474" s="204" t="s">
        <v>798</v>
      </c>
      <c r="E474" s="222" t="s">
        <v>1062</v>
      </c>
      <c r="F474" s="204" t="s">
        <v>192</v>
      </c>
      <c r="G474" s="204">
        <v>1</v>
      </c>
      <c r="H474" s="204"/>
      <c r="I474" s="222"/>
    </row>
    <row r="475" spans="2:9">
      <c r="B475" s="285" t="s">
        <v>1063</v>
      </c>
      <c r="C475" s="10" t="s">
        <v>914</v>
      </c>
      <c r="D475" s="204" t="s">
        <v>798</v>
      </c>
      <c r="E475" s="222" t="s">
        <v>1064</v>
      </c>
      <c r="F475" s="204" t="s">
        <v>192</v>
      </c>
      <c r="G475" s="204">
        <v>1</v>
      </c>
      <c r="H475" s="204"/>
      <c r="I475" s="222"/>
    </row>
    <row r="476" spans="2:9">
      <c r="B476" s="285" t="s">
        <v>1065</v>
      </c>
      <c r="C476" s="10" t="s">
        <v>914</v>
      </c>
      <c r="D476" s="204" t="s">
        <v>798</v>
      </c>
      <c r="E476" s="222" t="s">
        <v>1066</v>
      </c>
      <c r="F476" s="204" t="s">
        <v>192</v>
      </c>
      <c r="G476" s="204">
        <v>1</v>
      </c>
      <c r="H476" s="204" t="s">
        <v>1067</v>
      </c>
      <c r="I476" s="222"/>
    </row>
    <row r="477" spans="2:9">
      <c r="B477" s="285" t="s">
        <v>1068</v>
      </c>
      <c r="C477" s="10" t="s">
        <v>1069</v>
      </c>
      <c r="D477" s="204" t="s">
        <v>68</v>
      </c>
      <c r="E477" s="222" t="s">
        <v>1070</v>
      </c>
      <c r="F477" s="204" t="s">
        <v>192</v>
      </c>
      <c r="G477" s="204">
        <v>4</v>
      </c>
      <c r="H477" s="204"/>
      <c r="I477" s="222"/>
    </row>
    <row r="478" spans="2:9">
      <c r="B478" s="285" t="s">
        <v>1071</v>
      </c>
      <c r="C478" s="10" t="s">
        <v>1072</v>
      </c>
      <c r="D478" s="204" t="s">
        <v>68</v>
      </c>
      <c r="E478" s="222" t="s">
        <v>1073</v>
      </c>
      <c r="F478" s="204" t="s">
        <v>192</v>
      </c>
      <c r="G478" s="204">
        <v>1</v>
      </c>
      <c r="H478" s="204"/>
      <c r="I478" s="222"/>
    </row>
    <row r="479" spans="2:9">
      <c r="B479" s="285" t="s">
        <v>1074</v>
      </c>
      <c r="C479" s="10" t="s">
        <v>1075</v>
      </c>
      <c r="D479" s="204" t="s">
        <v>68</v>
      </c>
      <c r="E479" s="222" t="s">
        <v>1076</v>
      </c>
      <c r="F479" s="204" t="s">
        <v>192</v>
      </c>
      <c r="G479" s="204">
        <v>1</v>
      </c>
      <c r="H479" s="204"/>
      <c r="I479" s="222"/>
    </row>
    <row r="480" spans="2:9">
      <c r="B480" s="285" t="s">
        <v>1077</v>
      </c>
      <c r="C480" s="10" t="s">
        <v>1078</v>
      </c>
      <c r="D480" s="204" t="s">
        <v>68</v>
      </c>
      <c r="E480" s="222" t="s">
        <v>1079</v>
      </c>
      <c r="F480" s="204" t="s">
        <v>199</v>
      </c>
      <c r="G480" s="204">
        <v>2</v>
      </c>
      <c r="H480" s="204"/>
      <c r="I480" s="222"/>
    </row>
    <row r="481" spans="2:9">
      <c r="B481" s="285" t="s">
        <v>1080</v>
      </c>
      <c r="C481" s="10" t="s">
        <v>1081</v>
      </c>
      <c r="D481" s="204" t="s">
        <v>68</v>
      </c>
      <c r="E481" s="222" t="s">
        <v>1082</v>
      </c>
      <c r="F481" s="204" t="s">
        <v>199</v>
      </c>
      <c r="G481" s="204">
        <v>3</v>
      </c>
      <c r="H481" s="204"/>
      <c r="I481" s="222"/>
    </row>
    <row r="482" spans="2:9">
      <c r="B482" s="285" t="s">
        <v>1083</v>
      </c>
      <c r="C482" s="10" t="s">
        <v>1084</v>
      </c>
      <c r="D482" s="204" t="s">
        <v>68</v>
      </c>
      <c r="E482" s="222" t="s">
        <v>1085</v>
      </c>
      <c r="F482" s="204" t="s">
        <v>192</v>
      </c>
      <c r="G482" s="204">
        <v>1</v>
      </c>
      <c r="H482" s="204"/>
      <c r="I482" s="222"/>
    </row>
    <row r="483" spans="2:9">
      <c r="B483" s="285" t="s">
        <v>1086</v>
      </c>
      <c r="C483" s="10" t="s">
        <v>1087</v>
      </c>
      <c r="D483" s="204" t="s">
        <v>68</v>
      </c>
      <c r="E483" s="222" t="s">
        <v>1088</v>
      </c>
      <c r="F483" s="204" t="s">
        <v>192</v>
      </c>
      <c r="G483" s="204">
        <v>1</v>
      </c>
      <c r="H483" s="204"/>
      <c r="I483" s="222"/>
    </row>
    <row r="484" spans="2:9">
      <c r="B484" s="285" t="s">
        <v>1089</v>
      </c>
      <c r="C484" s="10" t="s">
        <v>1090</v>
      </c>
      <c r="D484" s="204" t="s">
        <v>68</v>
      </c>
      <c r="E484" s="222" t="s">
        <v>1091</v>
      </c>
      <c r="F484" s="204" t="s">
        <v>192</v>
      </c>
      <c r="G484" s="204">
        <v>1</v>
      </c>
      <c r="H484" s="204"/>
      <c r="I484" s="222"/>
    </row>
    <row r="485" spans="2:9">
      <c r="B485" s="285" t="s">
        <v>1092</v>
      </c>
      <c r="C485" s="10" t="s">
        <v>1093</v>
      </c>
      <c r="D485" s="204" t="s">
        <v>68</v>
      </c>
      <c r="E485" s="222" t="s">
        <v>1094</v>
      </c>
      <c r="F485" s="204" t="s">
        <v>192</v>
      </c>
      <c r="G485" s="204">
        <v>1</v>
      </c>
      <c r="H485" s="204"/>
      <c r="I485" s="222"/>
    </row>
    <row r="486" spans="2:9">
      <c r="B486" s="285" t="s">
        <v>1095</v>
      </c>
      <c r="C486" s="10" t="s">
        <v>1096</v>
      </c>
      <c r="D486" s="204" t="s">
        <v>68</v>
      </c>
      <c r="E486" s="222" t="s">
        <v>852</v>
      </c>
      <c r="F486" s="204" t="s">
        <v>192</v>
      </c>
      <c r="G486" s="204">
        <v>1</v>
      </c>
      <c r="H486" s="204"/>
      <c r="I486" s="222"/>
    </row>
    <row r="487" spans="2:9">
      <c r="B487" s="285" t="s">
        <v>1097</v>
      </c>
      <c r="C487" s="10" t="s">
        <v>1098</v>
      </c>
      <c r="D487" s="204" t="s">
        <v>68</v>
      </c>
      <c r="E487" s="222" t="s">
        <v>1099</v>
      </c>
      <c r="F487" s="204" t="s">
        <v>192</v>
      </c>
      <c r="G487" s="204">
        <v>4</v>
      </c>
      <c r="H487" s="204"/>
      <c r="I487" s="222"/>
    </row>
    <row r="488" spans="2:9">
      <c r="B488" s="285" t="s">
        <v>1100</v>
      </c>
      <c r="C488" s="10" t="s">
        <v>1101</v>
      </c>
      <c r="D488" s="204" t="s">
        <v>68</v>
      </c>
      <c r="E488" s="222" t="s">
        <v>834</v>
      </c>
      <c r="F488" s="204" t="s">
        <v>192</v>
      </c>
      <c r="G488" s="204">
        <v>2</v>
      </c>
      <c r="H488" s="204"/>
      <c r="I488" s="222"/>
    </row>
    <row r="489" spans="2:9">
      <c r="B489" s="285" t="s">
        <v>1102</v>
      </c>
      <c r="C489" s="10" t="s">
        <v>1103</v>
      </c>
      <c r="D489" s="204" t="s">
        <v>68</v>
      </c>
      <c r="E489" s="222" t="s">
        <v>1104</v>
      </c>
      <c r="F489" s="204" t="s">
        <v>192</v>
      </c>
      <c r="G489" s="204">
        <v>1</v>
      </c>
      <c r="H489" s="204"/>
      <c r="I489" s="222"/>
    </row>
    <row r="490" spans="2:9">
      <c r="B490" s="285" t="s">
        <v>1105</v>
      </c>
      <c r="C490" s="10" t="s">
        <v>1106</v>
      </c>
      <c r="D490" s="204" t="s">
        <v>68</v>
      </c>
      <c r="E490" s="222" t="s">
        <v>1107</v>
      </c>
      <c r="F490" s="204" t="s">
        <v>192</v>
      </c>
      <c r="G490" s="204">
        <v>1</v>
      </c>
      <c r="H490" s="204"/>
      <c r="I490" s="222"/>
    </row>
    <row r="491" spans="2:9">
      <c r="B491" s="285" t="s">
        <v>1108</v>
      </c>
      <c r="C491" s="10" t="s">
        <v>1109</v>
      </c>
      <c r="D491" s="204" t="s">
        <v>68</v>
      </c>
      <c r="E491" s="222" t="s">
        <v>1110</v>
      </c>
      <c r="F491" s="204" t="s">
        <v>192</v>
      </c>
      <c r="G491" s="204">
        <v>2</v>
      </c>
      <c r="H491" s="204"/>
      <c r="I491" s="222"/>
    </row>
    <row r="492" spans="2:9">
      <c r="B492" s="285" t="s">
        <v>1111</v>
      </c>
      <c r="C492" s="10" t="s">
        <v>1112</v>
      </c>
      <c r="D492" s="204" t="s">
        <v>68</v>
      </c>
      <c r="E492" s="222" t="s">
        <v>1113</v>
      </c>
      <c r="F492" s="204" t="s">
        <v>192</v>
      </c>
      <c r="G492" s="204">
        <v>4</v>
      </c>
      <c r="H492" s="204"/>
      <c r="I492" s="222"/>
    </row>
    <row r="493" spans="2:9">
      <c r="B493" s="285" t="s">
        <v>1114</v>
      </c>
      <c r="C493" s="10" t="s">
        <v>1115</v>
      </c>
      <c r="D493" s="204" t="s">
        <v>68</v>
      </c>
      <c r="E493" s="222" t="s">
        <v>1116</v>
      </c>
      <c r="F493" s="204" t="s">
        <v>192</v>
      </c>
      <c r="G493" s="204">
        <v>2</v>
      </c>
      <c r="H493" s="204"/>
      <c r="I493" s="222"/>
    </row>
    <row r="494" spans="2:9">
      <c r="B494" s="285" t="s">
        <v>1117</v>
      </c>
      <c r="C494" s="10" t="s">
        <v>1118</v>
      </c>
      <c r="D494" s="204" t="s">
        <v>68</v>
      </c>
      <c r="E494" s="222" t="s">
        <v>519</v>
      </c>
      <c r="F494" s="204" t="s">
        <v>192</v>
      </c>
      <c r="G494" s="204">
        <v>13</v>
      </c>
      <c r="H494" s="204"/>
      <c r="I494" s="222"/>
    </row>
    <row r="495" spans="2:9">
      <c r="B495" s="285" t="s">
        <v>1119</v>
      </c>
      <c r="C495" s="10" t="s">
        <v>1120</v>
      </c>
      <c r="D495" s="204" t="s">
        <v>68</v>
      </c>
      <c r="E495" s="222" t="s">
        <v>1121</v>
      </c>
      <c r="F495" s="204" t="s">
        <v>192</v>
      </c>
      <c r="G495" s="204">
        <v>2</v>
      </c>
      <c r="H495" s="204"/>
      <c r="I495" s="222"/>
    </row>
    <row r="496" spans="2:9">
      <c r="B496" s="285" t="s">
        <v>1122</v>
      </c>
      <c r="C496" s="10" t="s">
        <v>1123</v>
      </c>
      <c r="D496" s="204" t="s">
        <v>68</v>
      </c>
      <c r="E496" s="222" t="s">
        <v>1124</v>
      </c>
      <c r="F496" s="204" t="s">
        <v>192</v>
      </c>
      <c r="G496" s="204">
        <v>1</v>
      </c>
      <c r="H496" s="204"/>
      <c r="I496" s="222"/>
    </row>
    <row r="497" spans="2:9">
      <c r="B497" s="285" t="s">
        <v>1125</v>
      </c>
      <c r="C497" s="10" t="s">
        <v>1126</v>
      </c>
      <c r="D497" s="204" t="s">
        <v>68</v>
      </c>
      <c r="E497" s="222" t="s">
        <v>556</v>
      </c>
      <c r="F497" s="204" t="s">
        <v>192</v>
      </c>
      <c r="G497" s="204">
        <v>15</v>
      </c>
      <c r="H497" s="204"/>
      <c r="I497" s="222"/>
    </row>
    <row r="498" spans="2:9">
      <c r="B498" s="285" t="s">
        <v>1127</v>
      </c>
      <c r="C498" s="10" t="s">
        <v>1128</v>
      </c>
      <c r="D498" s="204" t="s">
        <v>68</v>
      </c>
      <c r="E498" s="222" t="s">
        <v>768</v>
      </c>
      <c r="F498" s="204" t="s">
        <v>192</v>
      </c>
      <c r="G498" s="204">
        <v>2</v>
      </c>
      <c r="H498" s="204"/>
      <c r="I498" s="222"/>
    </row>
    <row r="499" spans="2:9">
      <c r="B499" s="285" t="s">
        <v>1129</v>
      </c>
      <c r="C499" s="10" t="s">
        <v>1130</v>
      </c>
      <c r="D499" s="204" t="s">
        <v>68</v>
      </c>
      <c r="E499" s="222" t="s">
        <v>1046</v>
      </c>
      <c r="F499" s="204" t="s">
        <v>192</v>
      </c>
      <c r="G499" s="204">
        <v>4</v>
      </c>
      <c r="H499" s="204"/>
      <c r="I499" s="222"/>
    </row>
    <row r="500" spans="2:9">
      <c r="B500" s="285" t="s">
        <v>1131</v>
      </c>
      <c r="C500" s="10" t="s">
        <v>1132</v>
      </c>
      <c r="D500" s="204" t="s">
        <v>68</v>
      </c>
      <c r="E500" s="222" t="s">
        <v>1133</v>
      </c>
      <c r="F500" s="204" t="s">
        <v>192</v>
      </c>
      <c r="G500" s="204">
        <v>1</v>
      </c>
      <c r="H500" s="204"/>
      <c r="I500" s="222"/>
    </row>
    <row r="501" spans="2:9">
      <c r="B501" s="285" t="s">
        <v>1134</v>
      </c>
      <c r="C501" s="10" t="s">
        <v>1135</v>
      </c>
      <c r="D501" s="204" t="s">
        <v>68</v>
      </c>
      <c r="E501" s="222" t="s">
        <v>1136</v>
      </c>
      <c r="F501" s="204" t="s">
        <v>192</v>
      </c>
      <c r="G501" s="204">
        <v>1</v>
      </c>
      <c r="H501" s="204"/>
      <c r="I501" s="222"/>
    </row>
    <row r="502" spans="2:9">
      <c r="B502" s="285" t="s">
        <v>1137</v>
      </c>
      <c r="C502" s="10" t="s">
        <v>1138</v>
      </c>
      <c r="D502" s="204" t="s">
        <v>68</v>
      </c>
      <c r="E502" s="222" t="s">
        <v>301</v>
      </c>
      <c r="F502" s="204" t="s">
        <v>192</v>
      </c>
      <c r="G502" s="204">
        <v>2</v>
      </c>
      <c r="H502" s="204"/>
      <c r="I502" s="222"/>
    </row>
    <row r="503" spans="2:9">
      <c r="B503" s="285" t="s">
        <v>1139</v>
      </c>
      <c r="C503" s="10" t="s">
        <v>1140</v>
      </c>
      <c r="D503" s="204" t="s">
        <v>68</v>
      </c>
      <c r="E503" s="222" t="s">
        <v>1141</v>
      </c>
      <c r="F503" s="204" t="s">
        <v>192</v>
      </c>
      <c r="G503" s="204">
        <v>1</v>
      </c>
      <c r="H503" s="204"/>
      <c r="I503" s="222"/>
    </row>
    <row r="504" spans="2:9">
      <c r="B504" s="285" t="s">
        <v>1142</v>
      </c>
      <c r="C504" s="10" t="s">
        <v>1143</v>
      </c>
      <c r="D504" s="204" t="s">
        <v>68</v>
      </c>
      <c r="E504" s="222" t="s">
        <v>455</v>
      </c>
      <c r="F504" s="204" t="s">
        <v>192</v>
      </c>
      <c r="G504" s="204">
        <v>18</v>
      </c>
      <c r="H504" s="204"/>
      <c r="I504" s="222"/>
    </row>
    <row r="505" spans="2:9">
      <c r="B505" s="285" t="s">
        <v>1144</v>
      </c>
      <c r="C505" s="10" t="s">
        <v>1145</v>
      </c>
      <c r="D505" s="204" t="s">
        <v>68</v>
      </c>
      <c r="E505" s="222" t="s">
        <v>457</v>
      </c>
      <c r="F505" s="204" t="s">
        <v>192</v>
      </c>
      <c r="G505" s="204">
        <v>3</v>
      </c>
      <c r="H505" s="204"/>
      <c r="I505" s="222"/>
    </row>
  </sheetData>
  <pageMargins left="0.7" right="0.7" top="0.75" bottom="0.75" header="0.3" footer="0.3"/>
  <pageSetup scale="89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V14"/>
  <sheetViews>
    <sheetView showGridLines="0" zoomScale="115" zoomScaleNormal="115" workbookViewId="0">
      <selection activeCell="I4" sqref="I4:N12"/>
    </sheetView>
  </sheetViews>
  <sheetFormatPr defaultRowHeight="15"/>
  <cols>
    <col min="1" max="1" width="9.85546875" bestFit="1" customWidth="1"/>
    <col min="2" max="2" width="15.7109375" bestFit="1" customWidth="1"/>
    <col min="3" max="3" width="40.42578125" bestFit="1" customWidth="1"/>
    <col min="4" max="4" width="16.5703125" bestFit="1" customWidth="1"/>
    <col min="5" max="5" width="14.85546875" bestFit="1" customWidth="1"/>
    <col min="6" max="6" width="23.28515625" bestFit="1" customWidth="1"/>
    <col min="7" max="7" width="15" bestFit="1" customWidth="1"/>
    <col min="8" max="8" width="17.7109375" bestFit="1" customWidth="1"/>
    <col min="9" max="9" width="13.5703125" bestFit="1" customWidth="1"/>
    <col min="10" max="10" width="45.5703125" bestFit="1" customWidth="1"/>
    <col min="11" max="11" width="16.5703125" bestFit="1" customWidth="1"/>
    <col min="12" max="12" width="14.85546875" bestFit="1" customWidth="1"/>
    <col min="13" max="13" width="23.28515625" bestFit="1" customWidth="1"/>
    <col min="14" max="14" width="15" bestFit="1" customWidth="1"/>
    <col min="15" max="15" width="7" bestFit="1" customWidth="1"/>
    <col min="16" max="16" width="17" bestFit="1" customWidth="1"/>
    <col min="20" max="20" width="14.5703125" bestFit="1" customWidth="1"/>
    <col min="21" max="22" width="26.5703125" style="1" bestFit="1" customWidth="1"/>
  </cols>
  <sheetData>
    <row r="1" spans="1:22">
      <c r="C1" s="331" t="s">
        <v>1146</v>
      </c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</row>
    <row r="2" spans="1:22">
      <c r="U2" s="1" t="s">
        <v>1147</v>
      </c>
      <c r="V2" s="1" t="s">
        <v>1148</v>
      </c>
    </row>
    <row r="3" spans="1:22" ht="15.75" customHeight="1">
      <c r="C3" s="336" t="s">
        <v>1149</v>
      </c>
      <c r="D3" s="334"/>
      <c r="E3" s="334"/>
      <c r="F3" s="334"/>
      <c r="G3" s="334"/>
      <c r="H3" s="335"/>
      <c r="I3" s="333" t="s">
        <v>1150</v>
      </c>
      <c r="J3" s="334"/>
      <c r="K3" s="334"/>
      <c r="L3" s="334"/>
      <c r="M3" s="334"/>
      <c r="N3" s="335"/>
      <c r="O3" s="329" t="s">
        <v>1151</v>
      </c>
      <c r="P3" s="329" t="s">
        <v>184</v>
      </c>
      <c r="T3" t="s">
        <v>1152</v>
      </c>
      <c r="U3" s="205" t="s">
        <v>1153</v>
      </c>
      <c r="V3" s="1" t="s">
        <v>1154</v>
      </c>
    </row>
    <row r="4" spans="1:22" ht="15.75" customHeight="1">
      <c r="A4" s="183" t="s">
        <v>178</v>
      </c>
      <c r="B4" s="183" t="s">
        <v>179</v>
      </c>
      <c r="C4" s="309" t="s">
        <v>1155</v>
      </c>
      <c r="D4" s="310" t="s">
        <v>1156</v>
      </c>
      <c r="E4" s="310" t="s">
        <v>1157</v>
      </c>
      <c r="F4" s="310" t="s">
        <v>1158</v>
      </c>
      <c r="G4" s="311" t="s">
        <v>1159</v>
      </c>
      <c r="H4" s="310" t="s">
        <v>1160</v>
      </c>
      <c r="I4" s="312" t="s">
        <v>1161</v>
      </c>
      <c r="J4" s="309" t="s">
        <v>1162</v>
      </c>
      <c r="K4" s="310" t="s">
        <v>1156</v>
      </c>
      <c r="L4" s="310" t="s">
        <v>1157</v>
      </c>
      <c r="M4" s="310" t="s">
        <v>1158</v>
      </c>
      <c r="N4" s="313" t="s">
        <v>1159</v>
      </c>
      <c r="O4" s="330"/>
      <c r="P4" s="330"/>
      <c r="T4" t="s">
        <v>1163</v>
      </c>
      <c r="U4" s="205" t="s">
        <v>1164</v>
      </c>
      <c r="V4" s="1" t="s">
        <v>1165</v>
      </c>
    </row>
    <row r="5" spans="1:22">
      <c r="A5" t="s">
        <v>53</v>
      </c>
      <c r="B5" t="s">
        <v>54</v>
      </c>
      <c r="C5" s="250" t="s">
        <v>1166</v>
      </c>
      <c r="D5" s="193"/>
      <c r="E5" s="193"/>
      <c r="F5" s="193" t="s">
        <v>1167</v>
      </c>
      <c r="G5" s="193">
        <v>185</v>
      </c>
      <c r="H5" s="193" t="s">
        <v>1168</v>
      </c>
      <c r="I5" s="193"/>
      <c r="J5" s="250" t="s">
        <v>1169</v>
      </c>
      <c r="K5" s="193" t="s">
        <v>1170</v>
      </c>
      <c r="L5" s="193" t="s">
        <v>1171</v>
      </c>
      <c r="M5" s="193" t="s">
        <v>1172</v>
      </c>
      <c r="N5" s="193">
        <v>6</v>
      </c>
      <c r="O5" s="190" t="s">
        <v>1173</v>
      </c>
      <c r="P5" s="8" t="s">
        <v>1174</v>
      </c>
      <c r="T5" t="s">
        <v>1175</v>
      </c>
      <c r="U5" s="1">
        <v>90</v>
      </c>
      <c r="V5" s="1">
        <v>15</v>
      </c>
    </row>
    <row r="6" spans="1:22">
      <c r="A6" t="s">
        <v>53</v>
      </c>
      <c r="B6" t="s">
        <v>54</v>
      </c>
      <c r="C6" s="250" t="s">
        <v>1166</v>
      </c>
      <c r="D6" s="193"/>
      <c r="E6" s="193"/>
      <c r="F6" s="193" t="s">
        <v>1176</v>
      </c>
      <c r="G6" s="193" t="s">
        <v>1177</v>
      </c>
      <c r="H6" s="193" t="s">
        <v>1178</v>
      </c>
      <c r="I6" s="193"/>
      <c r="J6" s="250" t="s">
        <v>1179</v>
      </c>
      <c r="K6" s="193" t="s">
        <v>1180</v>
      </c>
      <c r="L6" s="193" t="s">
        <v>1181</v>
      </c>
      <c r="M6" s="193" t="s">
        <v>1182</v>
      </c>
      <c r="N6" s="193">
        <v>195</v>
      </c>
      <c r="O6" s="190" t="s">
        <v>1173</v>
      </c>
      <c r="P6" s="8" t="s">
        <v>1174</v>
      </c>
      <c r="T6" t="s">
        <v>1183</v>
      </c>
      <c r="U6" s="1">
        <v>12</v>
      </c>
      <c r="V6" s="1">
        <v>18</v>
      </c>
    </row>
    <row r="7" spans="1:22">
      <c r="A7" t="s">
        <v>53</v>
      </c>
      <c r="B7" t="s">
        <v>54</v>
      </c>
      <c r="C7" s="250" t="s">
        <v>1166</v>
      </c>
      <c r="D7" s="193"/>
      <c r="E7" s="193"/>
      <c r="F7" s="193" t="s">
        <v>1184</v>
      </c>
      <c r="G7" s="193">
        <v>10</v>
      </c>
      <c r="H7" s="193" t="s">
        <v>1185</v>
      </c>
      <c r="I7" s="193"/>
      <c r="J7" s="250" t="s">
        <v>1186</v>
      </c>
      <c r="K7" s="193" t="s">
        <v>1187</v>
      </c>
      <c r="L7" s="193" t="s">
        <v>1188</v>
      </c>
      <c r="M7" s="193" t="s">
        <v>1182</v>
      </c>
      <c r="N7" s="193">
        <v>190</v>
      </c>
      <c r="O7" s="190" t="s">
        <v>1173</v>
      </c>
      <c r="P7" s="8" t="s">
        <v>1174</v>
      </c>
    </row>
    <row r="8" spans="1:22">
      <c r="A8" t="s">
        <v>1189</v>
      </c>
      <c r="B8" t="s">
        <v>1190</v>
      </c>
      <c r="C8" s="250" t="s">
        <v>1191</v>
      </c>
      <c r="D8" s="202" t="s">
        <v>1192</v>
      </c>
      <c r="E8" s="202" t="s">
        <v>1193</v>
      </c>
      <c r="F8" s="193" t="s">
        <v>1194</v>
      </c>
      <c r="G8" s="193">
        <v>220</v>
      </c>
      <c r="H8" s="193">
        <v>1.1000000000000001</v>
      </c>
      <c r="I8" s="193">
        <v>1</v>
      </c>
      <c r="J8" s="250" t="s">
        <v>1195</v>
      </c>
      <c r="K8" s="202" t="s">
        <v>1196</v>
      </c>
      <c r="L8" s="202" t="s">
        <v>1197</v>
      </c>
      <c r="M8" s="193" t="s">
        <v>1198</v>
      </c>
      <c r="N8" s="193">
        <v>40</v>
      </c>
      <c r="O8" s="190" t="s">
        <v>1173</v>
      </c>
      <c r="P8" s="8"/>
      <c r="T8" s="206"/>
    </row>
    <row r="9" spans="1:22" ht="30" customHeight="1">
      <c r="A9" t="s">
        <v>66</v>
      </c>
      <c r="B9" t="s">
        <v>67</v>
      </c>
      <c r="C9" s="217" t="s">
        <v>1147</v>
      </c>
      <c r="D9" s="202" t="s">
        <v>1199</v>
      </c>
      <c r="E9" s="202" t="s">
        <v>1200</v>
      </c>
      <c r="F9" s="203" t="s">
        <v>1201</v>
      </c>
      <c r="G9" s="193">
        <v>190</v>
      </c>
      <c r="H9" s="193">
        <v>1.57</v>
      </c>
      <c r="I9" s="193">
        <v>1</v>
      </c>
      <c r="J9" s="217" t="s">
        <v>1202</v>
      </c>
      <c r="K9" s="202" t="s">
        <v>1203</v>
      </c>
      <c r="L9" s="202" t="s">
        <v>1204</v>
      </c>
      <c r="M9" s="249" t="s">
        <v>1205</v>
      </c>
      <c r="N9" s="193">
        <v>20</v>
      </c>
      <c r="O9" s="190" t="s">
        <v>1173</v>
      </c>
      <c r="P9" s="8"/>
    </row>
    <row r="10" spans="1:22" ht="30" customHeight="1">
      <c r="A10" t="s">
        <v>66</v>
      </c>
      <c r="B10" t="s">
        <v>67</v>
      </c>
      <c r="C10" s="217" t="s">
        <v>1147</v>
      </c>
      <c r="D10" s="202" t="s">
        <v>1199</v>
      </c>
      <c r="E10" s="202" t="s">
        <v>1200</v>
      </c>
      <c r="F10" s="203" t="s">
        <v>1201</v>
      </c>
      <c r="G10" s="193">
        <v>90</v>
      </c>
      <c r="H10" s="193">
        <v>1.64</v>
      </c>
      <c r="I10" s="193">
        <v>2</v>
      </c>
      <c r="J10" s="217" t="s">
        <v>1148</v>
      </c>
      <c r="K10" s="202" t="s">
        <v>1206</v>
      </c>
      <c r="L10" s="202" t="s">
        <v>1207</v>
      </c>
      <c r="M10" s="249" t="s">
        <v>1201</v>
      </c>
      <c r="N10" s="193">
        <v>280</v>
      </c>
      <c r="O10" s="190" t="s">
        <v>1173</v>
      </c>
      <c r="P10" s="8"/>
    </row>
    <row r="11" spans="1:22" ht="45" customHeight="1">
      <c r="A11" t="s">
        <v>66</v>
      </c>
      <c r="B11" t="s">
        <v>67</v>
      </c>
      <c r="C11" s="283" t="s">
        <v>1147</v>
      </c>
      <c r="D11" s="240" t="s">
        <v>1199</v>
      </c>
      <c r="E11" s="240" t="s">
        <v>1200</v>
      </c>
      <c r="F11" s="218" t="s">
        <v>1201</v>
      </c>
      <c r="G11" s="204">
        <v>50</v>
      </c>
      <c r="H11" s="204">
        <v>2.37</v>
      </c>
      <c r="I11" s="204">
        <v>3</v>
      </c>
      <c r="J11" s="283" t="s">
        <v>1208</v>
      </c>
      <c r="K11" s="240" t="s">
        <v>1209</v>
      </c>
      <c r="L11" s="240" t="s">
        <v>1210</v>
      </c>
      <c r="M11" s="218" t="s">
        <v>1172</v>
      </c>
      <c r="N11" s="204">
        <v>230</v>
      </c>
      <c r="O11" s="204" t="s">
        <v>1173</v>
      </c>
      <c r="P11" s="8"/>
    </row>
    <row r="12" spans="1:22" ht="45" customHeight="1">
      <c r="A12" t="s">
        <v>108</v>
      </c>
      <c r="B12" t="s">
        <v>109</v>
      </c>
      <c r="C12" s="304" t="s">
        <v>1211</v>
      </c>
      <c r="D12" s="305" t="s">
        <v>1212</v>
      </c>
      <c r="E12" s="305" t="s">
        <v>1213</v>
      </c>
      <c r="F12" s="306" t="s">
        <v>1214</v>
      </c>
      <c r="G12" s="307">
        <v>290</v>
      </c>
      <c r="H12" s="307">
        <v>3.51</v>
      </c>
      <c r="I12" s="307"/>
      <c r="J12" s="304" t="s">
        <v>1215</v>
      </c>
      <c r="K12" s="305" t="s">
        <v>1216</v>
      </c>
      <c r="L12" s="305" t="s">
        <v>1217</v>
      </c>
      <c r="M12" s="306" t="s">
        <v>1218</v>
      </c>
      <c r="N12" s="307"/>
      <c r="O12" s="204"/>
      <c r="P12" s="8"/>
    </row>
    <row r="14" spans="1:22">
      <c r="K14" s="184"/>
    </row>
  </sheetData>
  <mergeCells count="5">
    <mergeCell ref="O3:O4"/>
    <mergeCell ref="P3:P4"/>
    <mergeCell ref="C1:P1"/>
    <mergeCell ref="I3:N3"/>
    <mergeCell ref="C3:H3"/>
  </mergeCells>
  <pageMargins left="0.31496062992125978" right="0.31496062992125978" top="0.74803149606299213" bottom="0.74803149606299213" header="0.31496062992125978" footer="0.31496062992125978"/>
  <pageSetup scale="54" fitToHeight="0"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I77"/>
  <sheetViews>
    <sheetView workbookViewId="0">
      <selection activeCell="B67" sqref="B67"/>
    </sheetView>
  </sheetViews>
  <sheetFormatPr defaultRowHeight="15"/>
  <cols>
    <col min="1" max="1" width="3.42578125" bestFit="1" customWidth="1"/>
    <col min="2" max="2" width="30.42578125" bestFit="1" customWidth="1"/>
    <col min="3" max="3" width="18.42578125" customWidth="1"/>
    <col min="4" max="4" width="18" customWidth="1"/>
    <col min="5" max="5" width="12.5703125" customWidth="1"/>
    <col min="6" max="6" width="20.42578125" customWidth="1"/>
    <col min="7" max="7" width="11" customWidth="1"/>
    <col min="8" max="8" width="42.5703125" customWidth="1"/>
  </cols>
  <sheetData>
    <row r="1" spans="1:9">
      <c r="A1" s="144" t="s">
        <v>127</v>
      </c>
      <c r="B1" s="145" t="s">
        <v>1219</v>
      </c>
      <c r="C1" s="146" t="s">
        <v>1220</v>
      </c>
      <c r="D1" s="147" t="s">
        <v>1221</v>
      </c>
      <c r="E1" s="145" t="s">
        <v>1222</v>
      </c>
      <c r="F1" s="264" t="s">
        <v>1223</v>
      </c>
      <c r="G1" s="265" t="s">
        <v>1224</v>
      </c>
      <c r="H1" s="266" t="s">
        <v>1225</v>
      </c>
      <c r="I1" s="267" t="s">
        <v>1226</v>
      </c>
    </row>
    <row r="2" spans="1:9">
      <c r="A2" s="16">
        <v>1</v>
      </c>
      <c r="B2" s="17" t="s">
        <v>1227</v>
      </c>
      <c r="C2" s="18" t="s">
        <v>1228</v>
      </c>
      <c r="D2" s="19">
        <v>32126</v>
      </c>
      <c r="E2" s="17" t="s">
        <v>1229</v>
      </c>
      <c r="F2" s="20" t="s">
        <v>1230</v>
      </c>
      <c r="G2" s="20"/>
      <c r="H2" s="20"/>
    </row>
    <row r="3" spans="1:9">
      <c r="A3" s="21">
        <v>2</v>
      </c>
      <c r="B3" s="22" t="s">
        <v>1231</v>
      </c>
      <c r="C3" s="18" t="s">
        <v>1232</v>
      </c>
      <c r="D3" s="23">
        <v>34921</v>
      </c>
      <c r="E3" s="24" t="s">
        <v>1233</v>
      </c>
      <c r="F3" s="20" t="s">
        <v>1230</v>
      </c>
      <c r="G3" s="20" t="s">
        <v>1234</v>
      </c>
      <c r="H3" s="20" t="s">
        <v>1235</v>
      </c>
    </row>
    <row r="4" spans="1:9">
      <c r="A4" s="16">
        <v>3</v>
      </c>
      <c r="B4" s="25" t="s">
        <v>1236</v>
      </c>
      <c r="C4" s="18" t="s">
        <v>1237</v>
      </c>
      <c r="D4" s="19">
        <v>32175</v>
      </c>
      <c r="E4" s="17" t="s">
        <v>1238</v>
      </c>
      <c r="F4" s="20" t="s">
        <v>1230</v>
      </c>
      <c r="G4" s="20" t="s">
        <v>1234</v>
      </c>
      <c r="H4" s="20" t="s">
        <v>1239</v>
      </c>
    </row>
    <row r="5" spans="1:9">
      <c r="A5" s="21">
        <v>4</v>
      </c>
      <c r="B5" s="22" t="s">
        <v>1240</v>
      </c>
      <c r="C5" s="18" t="s">
        <v>1241</v>
      </c>
      <c r="D5" s="23">
        <v>31597</v>
      </c>
      <c r="E5" s="24" t="s">
        <v>1238</v>
      </c>
      <c r="F5" s="20" t="s">
        <v>1230</v>
      </c>
      <c r="G5" s="20"/>
      <c r="H5" s="20"/>
    </row>
    <row r="6" spans="1:9">
      <c r="A6" s="21">
        <v>5</v>
      </c>
      <c r="B6" s="22" t="s">
        <v>1242</v>
      </c>
      <c r="C6" s="26" t="s">
        <v>1243</v>
      </c>
      <c r="D6" s="27" t="s">
        <v>1244</v>
      </c>
      <c r="E6" s="24" t="s">
        <v>1238</v>
      </c>
      <c r="F6" s="20" t="s">
        <v>1230</v>
      </c>
      <c r="G6" s="20" t="s">
        <v>1245</v>
      </c>
      <c r="H6" s="20" t="s">
        <v>1246</v>
      </c>
    </row>
    <row r="7" spans="1:9">
      <c r="A7" s="28">
        <v>6</v>
      </c>
      <c r="B7" s="29" t="s">
        <v>1247</v>
      </c>
      <c r="C7" s="30" t="s">
        <v>1248</v>
      </c>
      <c r="D7" s="31">
        <v>34005</v>
      </c>
      <c r="E7" s="29" t="s">
        <v>1233</v>
      </c>
      <c r="F7" s="32" t="s">
        <v>1249</v>
      </c>
      <c r="G7" s="32" t="s">
        <v>1245</v>
      </c>
      <c r="H7" s="33" t="s">
        <v>1250</v>
      </c>
    </row>
    <row r="8" spans="1:9">
      <c r="A8" s="28">
        <v>7</v>
      </c>
      <c r="B8" s="34" t="s">
        <v>1251</v>
      </c>
      <c r="C8" s="30" t="s">
        <v>1252</v>
      </c>
      <c r="D8" s="35" t="s">
        <v>1253</v>
      </c>
      <c r="E8" s="36" t="s">
        <v>1238</v>
      </c>
      <c r="F8" s="32" t="s">
        <v>1249</v>
      </c>
      <c r="G8" s="32" t="s">
        <v>1234</v>
      </c>
      <c r="H8" s="32" t="s">
        <v>1254</v>
      </c>
    </row>
    <row r="9" spans="1:9">
      <c r="A9" s="28">
        <v>8</v>
      </c>
      <c r="B9" s="37" t="s">
        <v>1255</v>
      </c>
      <c r="C9" s="30" t="s">
        <v>1256</v>
      </c>
      <c r="D9" s="35" t="s">
        <v>1257</v>
      </c>
      <c r="E9" s="29" t="s">
        <v>1238</v>
      </c>
      <c r="F9" s="32" t="s">
        <v>1249</v>
      </c>
      <c r="G9" s="32"/>
      <c r="H9" s="32"/>
    </row>
    <row r="10" spans="1:9">
      <c r="A10" s="28">
        <v>9</v>
      </c>
      <c r="B10" s="34" t="s">
        <v>1258</v>
      </c>
      <c r="C10" s="30" t="s">
        <v>1259</v>
      </c>
      <c r="D10" s="35" t="s">
        <v>1260</v>
      </c>
      <c r="E10" s="36" t="s">
        <v>1238</v>
      </c>
      <c r="F10" s="32" t="s">
        <v>1249</v>
      </c>
      <c r="G10" s="32"/>
      <c r="H10" s="32"/>
    </row>
    <row r="11" spans="1:9">
      <c r="A11" s="38">
        <v>10</v>
      </c>
      <c r="B11" s="39" t="s">
        <v>1261</v>
      </c>
      <c r="C11" s="40" t="s">
        <v>1262</v>
      </c>
      <c r="D11" s="41">
        <v>35476</v>
      </c>
      <c r="E11" s="39" t="s">
        <v>1229</v>
      </c>
      <c r="F11" s="42" t="s">
        <v>1263</v>
      </c>
      <c r="G11" s="42"/>
      <c r="H11" s="42"/>
    </row>
    <row r="12" spans="1:9">
      <c r="A12" s="38">
        <v>11</v>
      </c>
      <c r="B12" s="43" t="s">
        <v>1264</v>
      </c>
      <c r="C12" s="40" t="s">
        <v>1265</v>
      </c>
      <c r="D12" s="41">
        <v>34667</v>
      </c>
      <c r="E12" s="44" t="s">
        <v>1233</v>
      </c>
      <c r="F12" s="42" t="s">
        <v>1263</v>
      </c>
      <c r="G12" s="42" t="s">
        <v>1234</v>
      </c>
      <c r="H12" s="42" t="s">
        <v>1266</v>
      </c>
    </row>
    <row r="13" spans="1:9">
      <c r="A13" s="38">
        <v>12</v>
      </c>
      <c r="B13" s="45" t="s">
        <v>1267</v>
      </c>
      <c r="C13" s="40" t="s">
        <v>1268</v>
      </c>
      <c r="D13" s="41">
        <v>36533</v>
      </c>
      <c r="E13" s="39" t="s">
        <v>1269</v>
      </c>
      <c r="F13" s="42" t="s">
        <v>1263</v>
      </c>
      <c r="G13" s="42" t="s">
        <v>1234</v>
      </c>
      <c r="H13" s="42" t="s">
        <v>1270</v>
      </c>
    </row>
    <row r="14" spans="1:9">
      <c r="A14" s="38">
        <v>13</v>
      </c>
      <c r="B14" s="43" t="s">
        <v>1271</v>
      </c>
      <c r="C14" s="40" t="s">
        <v>1272</v>
      </c>
      <c r="D14" s="41">
        <v>36532</v>
      </c>
      <c r="E14" s="44" t="s">
        <v>1269</v>
      </c>
      <c r="F14" s="42" t="s">
        <v>1263</v>
      </c>
      <c r="G14" s="42"/>
      <c r="H14" s="42"/>
    </row>
    <row r="15" spans="1:9">
      <c r="A15" s="46">
        <v>14</v>
      </c>
      <c r="B15" s="47" t="s">
        <v>1273</v>
      </c>
      <c r="C15" s="48" t="s">
        <v>1274</v>
      </c>
      <c r="D15" s="49">
        <v>32239</v>
      </c>
      <c r="E15" s="47" t="s">
        <v>1233</v>
      </c>
      <c r="F15" s="50" t="s">
        <v>1275</v>
      </c>
      <c r="G15" s="50" t="s">
        <v>1234</v>
      </c>
      <c r="H15" s="50" t="s">
        <v>1276</v>
      </c>
    </row>
    <row r="16" spans="1:9">
      <c r="A16" s="46">
        <v>15</v>
      </c>
      <c r="B16" s="51" t="s">
        <v>1277</v>
      </c>
      <c r="C16" s="48" t="s">
        <v>1278</v>
      </c>
      <c r="D16" s="49">
        <v>33638</v>
      </c>
      <c r="E16" s="52" t="s">
        <v>1238</v>
      </c>
      <c r="F16" s="50" t="s">
        <v>1279</v>
      </c>
      <c r="G16" s="50" t="s">
        <v>1234</v>
      </c>
      <c r="H16" s="50" t="s">
        <v>1280</v>
      </c>
    </row>
    <row r="17" spans="1:8">
      <c r="A17" s="46">
        <v>16</v>
      </c>
      <c r="B17" s="53" t="s">
        <v>1281</v>
      </c>
      <c r="C17" s="48" t="s">
        <v>1282</v>
      </c>
      <c r="D17" s="49">
        <v>31455</v>
      </c>
      <c r="E17" s="47" t="s">
        <v>1238</v>
      </c>
      <c r="F17" s="50" t="s">
        <v>1279</v>
      </c>
      <c r="G17" s="50"/>
      <c r="H17" s="50"/>
    </row>
    <row r="18" spans="1:8">
      <c r="A18" s="46">
        <v>17</v>
      </c>
      <c r="B18" s="51" t="s">
        <v>1283</v>
      </c>
      <c r="C18" s="48" t="s">
        <v>1284</v>
      </c>
      <c r="D18" s="49">
        <v>37371</v>
      </c>
      <c r="E18" s="52" t="s">
        <v>1238</v>
      </c>
      <c r="F18" s="50" t="s">
        <v>1279</v>
      </c>
      <c r="G18" s="50" t="s">
        <v>1234</v>
      </c>
      <c r="H18" s="50" t="s">
        <v>1285</v>
      </c>
    </row>
    <row r="19" spans="1:8">
      <c r="A19" s="46">
        <v>18</v>
      </c>
      <c r="B19" s="50" t="s">
        <v>1286</v>
      </c>
      <c r="C19" s="54" t="s">
        <v>1287</v>
      </c>
      <c r="D19" s="55" t="s">
        <v>1288</v>
      </c>
      <c r="E19" s="50" t="s">
        <v>1238</v>
      </c>
      <c r="F19" s="50" t="s">
        <v>1279</v>
      </c>
      <c r="G19" s="50" t="s">
        <v>1245</v>
      </c>
      <c r="H19" s="56" t="s">
        <v>1289</v>
      </c>
    </row>
    <row r="20" spans="1:8">
      <c r="A20" s="57">
        <v>19</v>
      </c>
      <c r="B20" s="58" t="s">
        <v>1290</v>
      </c>
      <c r="C20" s="59" t="s">
        <v>1291</v>
      </c>
      <c r="D20" s="60" t="s">
        <v>1292</v>
      </c>
      <c r="E20" s="58" t="s">
        <v>1233</v>
      </c>
      <c r="F20" s="61" t="s">
        <v>1293</v>
      </c>
      <c r="G20" s="61"/>
      <c r="H20" s="61"/>
    </row>
    <row r="21" spans="1:8">
      <c r="A21" s="57">
        <v>20</v>
      </c>
      <c r="B21" s="62" t="s">
        <v>1294</v>
      </c>
      <c r="C21" s="63" t="s">
        <v>1295</v>
      </c>
      <c r="D21" s="60" t="s">
        <v>1296</v>
      </c>
      <c r="E21" s="64" t="s">
        <v>1238</v>
      </c>
      <c r="F21" s="61" t="s">
        <v>1293</v>
      </c>
      <c r="G21" s="61" t="s">
        <v>1234</v>
      </c>
      <c r="H21" s="61" t="s">
        <v>1297</v>
      </c>
    </row>
    <row r="22" spans="1:8">
      <c r="A22" s="57">
        <v>21</v>
      </c>
      <c r="B22" s="65" t="s">
        <v>1298</v>
      </c>
      <c r="C22" s="63" t="s">
        <v>1299</v>
      </c>
      <c r="D22" s="60" t="s">
        <v>1300</v>
      </c>
      <c r="E22" s="58" t="s">
        <v>1238</v>
      </c>
      <c r="F22" s="61" t="s">
        <v>1293</v>
      </c>
      <c r="G22" s="61" t="s">
        <v>1234</v>
      </c>
      <c r="H22" s="61" t="s">
        <v>1301</v>
      </c>
    </row>
    <row r="23" spans="1:8">
      <c r="A23" s="57">
        <v>22</v>
      </c>
      <c r="B23" s="62" t="s">
        <v>1302</v>
      </c>
      <c r="C23" s="63" t="s">
        <v>1303</v>
      </c>
      <c r="D23" s="66">
        <v>33518</v>
      </c>
      <c r="E23" s="64" t="s">
        <v>1238</v>
      </c>
      <c r="F23" s="61" t="s">
        <v>1293</v>
      </c>
      <c r="G23" s="61"/>
      <c r="H23" s="61"/>
    </row>
    <row r="24" spans="1:8">
      <c r="A24" s="67">
        <v>25</v>
      </c>
      <c r="B24" s="73" t="s">
        <v>1304</v>
      </c>
      <c r="C24" s="69" t="s">
        <v>1305</v>
      </c>
      <c r="D24" s="70">
        <v>31481</v>
      </c>
      <c r="E24" s="68" t="s">
        <v>1238</v>
      </c>
      <c r="F24" s="71" t="s">
        <v>1306</v>
      </c>
      <c r="G24" s="71" t="s">
        <v>1245</v>
      </c>
      <c r="H24" s="72" t="s">
        <v>1307</v>
      </c>
    </row>
    <row r="25" spans="1:8">
      <c r="A25" s="38">
        <v>27</v>
      </c>
      <c r="B25" s="39" t="s">
        <v>1308</v>
      </c>
      <c r="C25" s="40" t="s">
        <v>1309</v>
      </c>
      <c r="D25" s="74">
        <v>31608</v>
      </c>
      <c r="E25" s="39" t="s">
        <v>1233</v>
      </c>
      <c r="F25" s="42" t="s">
        <v>1310</v>
      </c>
      <c r="G25" s="42"/>
      <c r="H25" s="42"/>
    </row>
    <row r="26" spans="1:8">
      <c r="A26" s="38">
        <v>28</v>
      </c>
      <c r="B26" s="43" t="s">
        <v>1311</v>
      </c>
      <c r="C26" s="40" t="s">
        <v>1312</v>
      </c>
      <c r="D26" s="75">
        <v>27958</v>
      </c>
      <c r="E26" s="44" t="s">
        <v>1238</v>
      </c>
      <c r="F26" s="42" t="s">
        <v>1310</v>
      </c>
      <c r="G26" s="42" t="s">
        <v>1234</v>
      </c>
      <c r="H26" s="76" t="s">
        <v>1313</v>
      </c>
    </row>
    <row r="27" spans="1:8">
      <c r="A27" s="38">
        <v>29</v>
      </c>
      <c r="B27" s="45" t="s">
        <v>1314</v>
      </c>
      <c r="C27" s="40" t="s">
        <v>1315</v>
      </c>
      <c r="D27" s="74">
        <v>32738</v>
      </c>
      <c r="E27" s="39" t="s">
        <v>1238</v>
      </c>
      <c r="F27" s="42" t="s">
        <v>1310</v>
      </c>
      <c r="G27" s="42"/>
      <c r="H27" s="42"/>
    </row>
    <row r="28" spans="1:8">
      <c r="A28" s="38">
        <v>30</v>
      </c>
      <c r="B28" s="43" t="s">
        <v>1316</v>
      </c>
      <c r="C28" s="40" t="s">
        <v>1317</v>
      </c>
      <c r="D28" s="75">
        <v>36610</v>
      </c>
      <c r="E28" s="44" t="s">
        <v>1238</v>
      </c>
      <c r="F28" s="42" t="s">
        <v>1310</v>
      </c>
      <c r="G28" s="42" t="s">
        <v>1234</v>
      </c>
      <c r="H28" s="42" t="s">
        <v>1318</v>
      </c>
    </row>
    <row r="29" spans="1:8">
      <c r="A29" s="77">
        <v>31</v>
      </c>
      <c r="B29" s="78" t="s">
        <v>1319</v>
      </c>
      <c r="C29" s="79" t="s">
        <v>1320</v>
      </c>
      <c r="D29" s="80">
        <v>37400</v>
      </c>
      <c r="E29" s="78" t="s">
        <v>1229</v>
      </c>
      <c r="F29" s="81" t="s">
        <v>1321</v>
      </c>
      <c r="G29" s="81"/>
      <c r="H29" s="81"/>
    </row>
    <row r="30" spans="1:8">
      <c r="A30" s="77">
        <v>32</v>
      </c>
      <c r="B30" s="82" t="s">
        <v>1322</v>
      </c>
      <c r="C30" s="79" t="s">
        <v>1323</v>
      </c>
      <c r="D30" s="80">
        <v>28750</v>
      </c>
      <c r="E30" s="83" t="s">
        <v>1233</v>
      </c>
      <c r="F30" s="81" t="s">
        <v>1321</v>
      </c>
      <c r="G30" s="81" t="s">
        <v>1234</v>
      </c>
      <c r="H30" s="84" t="s">
        <v>1324</v>
      </c>
    </row>
    <row r="31" spans="1:8">
      <c r="A31" s="77">
        <v>33</v>
      </c>
      <c r="B31" s="85" t="s">
        <v>1325</v>
      </c>
      <c r="C31" s="79" t="s">
        <v>1326</v>
      </c>
      <c r="D31" s="80">
        <v>32410</v>
      </c>
      <c r="E31" s="78" t="s">
        <v>1269</v>
      </c>
      <c r="F31" s="81" t="s">
        <v>1321</v>
      </c>
      <c r="G31" s="81" t="s">
        <v>1234</v>
      </c>
      <c r="H31" s="84" t="s">
        <v>1327</v>
      </c>
    </row>
    <row r="32" spans="1:8">
      <c r="A32" s="77">
        <v>34</v>
      </c>
      <c r="B32" s="82" t="s">
        <v>1328</v>
      </c>
      <c r="C32" s="79" t="s">
        <v>1329</v>
      </c>
      <c r="D32" s="80">
        <v>30959</v>
      </c>
      <c r="E32" s="83" t="s">
        <v>1269</v>
      </c>
      <c r="F32" s="81"/>
      <c r="G32" s="81"/>
      <c r="H32" s="81"/>
    </row>
    <row r="33" spans="1:8">
      <c r="A33" s="86">
        <v>35</v>
      </c>
      <c r="B33" s="87" t="s">
        <v>1330</v>
      </c>
      <c r="C33" s="88" t="s">
        <v>1331</v>
      </c>
      <c r="D33" s="89">
        <v>26563</v>
      </c>
      <c r="E33" s="87" t="s">
        <v>1233</v>
      </c>
      <c r="F33" s="90" t="s">
        <v>1332</v>
      </c>
      <c r="G33" s="90"/>
      <c r="H33" s="90"/>
    </row>
    <row r="34" spans="1:8">
      <c r="A34" s="86">
        <v>36</v>
      </c>
      <c r="B34" s="91" t="s">
        <v>1333</v>
      </c>
      <c r="C34" s="88" t="s">
        <v>1334</v>
      </c>
      <c r="D34" s="89">
        <v>36587</v>
      </c>
      <c r="E34" s="92" t="s">
        <v>1269</v>
      </c>
      <c r="F34" s="90" t="s">
        <v>1332</v>
      </c>
      <c r="G34" s="90"/>
      <c r="H34" s="90"/>
    </row>
    <row r="35" spans="1:8">
      <c r="A35" s="86">
        <v>37</v>
      </c>
      <c r="B35" s="93" t="s">
        <v>1335</v>
      </c>
      <c r="C35" s="88" t="s">
        <v>1336</v>
      </c>
      <c r="D35" s="89">
        <v>31088</v>
      </c>
      <c r="E35" s="87" t="s">
        <v>1269</v>
      </c>
      <c r="F35" s="90" t="s">
        <v>1332</v>
      </c>
      <c r="G35" s="90"/>
      <c r="H35" s="90"/>
    </row>
    <row r="36" spans="1:8">
      <c r="A36" s="86">
        <v>38</v>
      </c>
      <c r="B36" s="91" t="s">
        <v>1337</v>
      </c>
      <c r="C36" s="88" t="s">
        <v>1338</v>
      </c>
      <c r="D36" s="89">
        <v>30112</v>
      </c>
      <c r="E36" s="92" t="s">
        <v>1269</v>
      </c>
      <c r="F36" s="90" t="s">
        <v>1332</v>
      </c>
      <c r="G36" s="90" t="s">
        <v>1234</v>
      </c>
      <c r="H36" s="90" t="s">
        <v>1339</v>
      </c>
    </row>
    <row r="37" spans="1:8">
      <c r="A37" s="86">
        <v>39</v>
      </c>
      <c r="B37" s="87" t="s">
        <v>1340</v>
      </c>
      <c r="C37" s="88" t="s">
        <v>1341</v>
      </c>
      <c r="D37" s="89">
        <v>33743</v>
      </c>
      <c r="E37" s="87" t="s">
        <v>1269</v>
      </c>
      <c r="F37" s="90" t="s">
        <v>1332</v>
      </c>
      <c r="G37" s="90" t="s">
        <v>1234</v>
      </c>
      <c r="H37" s="90" t="s">
        <v>1342</v>
      </c>
    </row>
    <row r="38" spans="1:8">
      <c r="A38" s="94">
        <v>40</v>
      </c>
      <c r="B38" s="95" t="s">
        <v>1343</v>
      </c>
      <c r="C38" s="96" t="s">
        <v>1344</v>
      </c>
      <c r="D38" s="97">
        <v>31024</v>
      </c>
      <c r="E38" s="95" t="s">
        <v>1233</v>
      </c>
      <c r="F38" s="98" t="s">
        <v>1345</v>
      </c>
      <c r="G38" s="98" t="s">
        <v>1234</v>
      </c>
      <c r="H38" s="99" t="s">
        <v>1346</v>
      </c>
    </row>
    <row r="39" spans="1:8">
      <c r="A39" s="94">
        <v>41</v>
      </c>
      <c r="B39" s="100" t="s">
        <v>1347</v>
      </c>
      <c r="C39" s="96" t="s">
        <v>1348</v>
      </c>
      <c r="D39" s="97">
        <v>31819</v>
      </c>
      <c r="E39" s="101" t="s">
        <v>1269</v>
      </c>
      <c r="F39" s="98" t="s">
        <v>1345</v>
      </c>
      <c r="G39" s="98" t="s">
        <v>1234</v>
      </c>
      <c r="H39" s="99" t="s">
        <v>1349</v>
      </c>
    </row>
    <row r="40" spans="1:8">
      <c r="A40" s="94">
        <v>42</v>
      </c>
      <c r="B40" s="102" t="s">
        <v>1350</v>
      </c>
      <c r="C40" s="96" t="s">
        <v>1351</v>
      </c>
      <c r="D40" s="97">
        <v>29110</v>
      </c>
      <c r="E40" s="95" t="s">
        <v>1269</v>
      </c>
      <c r="F40" s="98" t="s">
        <v>1345</v>
      </c>
      <c r="G40" s="98"/>
      <c r="H40" s="98"/>
    </row>
    <row r="41" spans="1:8">
      <c r="A41" s="94">
        <v>43</v>
      </c>
      <c r="B41" s="100" t="s">
        <v>1352</v>
      </c>
      <c r="C41" s="96" t="s">
        <v>1353</v>
      </c>
      <c r="D41" s="97">
        <v>31135</v>
      </c>
      <c r="E41" s="101" t="s">
        <v>1269</v>
      </c>
      <c r="F41" s="98" t="s">
        <v>1345</v>
      </c>
      <c r="G41" s="98"/>
      <c r="H41" s="98"/>
    </row>
    <row r="42" spans="1:8">
      <c r="A42" s="103">
        <v>44</v>
      </c>
      <c r="B42" s="104" t="s">
        <v>1354</v>
      </c>
      <c r="C42" s="105" t="s">
        <v>1355</v>
      </c>
      <c r="D42" s="106" t="s">
        <v>1356</v>
      </c>
      <c r="E42" s="104" t="s">
        <v>1233</v>
      </c>
      <c r="F42" s="107" t="s">
        <v>1345</v>
      </c>
      <c r="G42" s="107"/>
      <c r="H42" s="107"/>
    </row>
    <row r="43" spans="1:8">
      <c r="A43" s="103">
        <v>45</v>
      </c>
      <c r="B43" s="108" t="s">
        <v>1357</v>
      </c>
      <c r="C43" s="105" t="s">
        <v>1358</v>
      </c>
      <c r="D43" s="109">
        <v>27674</v>
      </c>
      <c r="E43" s="110" t="s">
        <v>1238</v>
      </c>
      <c r="F43" s="107" t="s">
        <v>1345</v>
      </c>
      <c r="G43" s="107"/>
      <c r="H43" s="107"/>
    </row>
    <row r="44" spans="1:8">
      <c r="A44" s="103">
        <v>46</v>
      </c>
      <c r="B44" s="111" t="s">
        <v>1359</v>
      </c>
      <c r="C44" s="105" t="s">
        <v>1360</v>
      </c>
      <c r="D44" s="106" t="s">
        <v>1361</v>
      </c>
      <c r="E44" s="104" t="s">
        <v>1238</v>
      </c>
      <c r="F44" s="107" t="s">
        <v>1345</v>
      </c>
      <c r="G44" s="107"/>
      <c r="H44" s="107"/>
    </row>
    <row r="45" spans="1:8">
      <c r="A45" s="103">
        <v>47</v>
      </c>
      <c r="B45" s="108" t="s">
        <v>1362</v>
      </c>
      <c r="C45" s="105" t="s">
        <v>1363</v>
      </c>
      <c r="D45" s="109">
        <v>31532</v>
      </c>
      <c r="E45" s="110" t="s">
        <v>1238</v>
      </c>
      <c r="F45" s="107" t="s">
        <v>1345</v>
      </c>
      <c r="G45" s="107" t="s">
        <v>1234</v>
      </c>
      <c r="H45" s="112" t="s">
        <v>1364</v>
      </c>
    </row>
    <row r="46" spans="1:8">
      <c r="A46" s="113">
        <v>48</v>
      </c>
      <c r="B46" s="114" t="s">
        <v>1365</v>
      </c>
      <c r="C46" s="115" t="s">
        <v>1366</v>
      </c>
      <c r="D46" s="116">
        <v>36529</v>
      </c>
      <c r="E46" s="114" t="s">
        <v>1229</v>
      </c>
      <c r="F46" s="117" t="s">
        <v>1367</v>
      </c>
      <c r="G46" s="117"/>
      <c r="H46" s="117"/>
    </row>
    <row r="47" spans="1:8">
      <c r="A47" s="113">
        <v>49</v>
      </c>
      <c r="B47" s="118" t="s">
        <v>1368</v>
      </c>
      <c r="C47" s="115" t="s">
        <v>1369</v>
      </c>
      <c r="D47" s="116">
        <v>33064</v>
      </c>
      <c r="E47" s="119" t="s">
        <v>1233</v>
      </c>
      <c r="F47" s="117" t="s">
        <v>1367</v>
      </c>
      <c r="G47" s="117" t="s">
        <v>1234</v>
      </c>
      <c r="H47" s="117" t="s">
        <v>1370</v>
      </c>
    </row>
    <row r="48" spans="1:8">
      <c r="A48" s="113">
        <v>50</v>
      </c>
      <c r="B48" s="120" t="s">
        <v>1371</v>
      </c>
      <c r="C48" s="115" t="s">
        <v>1372</v>
      </c>
      <c r="D48" s="116">
        <v>31112</v>
      </c>
      <c r="E48" s="114" t="s">
        <v>1269</v>
      </c>
      <c r="F48" s="117" t="s">
        <v>1367</v>
      </c>
      <c r="G48" s="117" t="s">
        <v>1234</v>
      </c>
      <c r="H48" s="117" t="s">
        <v>1373</v>
      </c>
    </row>
    <row r="49" spans="1:8">
      <c r="A49" s="113">
        <v>51</v>
      </c>
      <c r="B49" s="118" t="s">
        <v>1374</v>
      </c>
      <c r="C49" s="115" t="s">
        <v>1375</v>
      </c>
      <c r="D49" s="116">
        <v>33529</v>
      </c>
      <c r="E49" s="119" t="s">
        <v>1269</v>
      </c>
      <c r="F49" s="117" t="s">
        <v>1367</v>
      </c>
      <c r="G49" s="117"/>
      <c r="H49" s="117"/>
    </row>
    <row r="50" spans="1:8">
      <c r="A50" s="113">
        <v>52</v>
      </c>
      <c r="B50" s="120" t="s">
        <v>1376</v>
      </c>
      <c r="C50" s="115" t="s">
        <v>1377</v>
      </c>
      <c r="D50" s="116">
        <v>32006</v>
      </c>
      <c r="E50" s="114" t="s">
        <v>1269</v>
      </c>
      <c r="F50" s="117" t="s">
        <v>1367</v>
      </c>
      <c r="G50" s="117"/>
      <c r="H50" s="117"/>
    </row>
    <row r="51" spans="1:8">
      <c r="A51" s="121">
        <v>58</v>
      </c>
      <c r="B51" s="122" t="s">
        <v>1378</v>
      </c>
      <c r="C51" s="123" t="s">
        <v>1379</v>
      </c>
      <c r="D51" s="124" t="s">
        <v>1380</v>
      </c>
      <c r="E51" s="122" t="s">
        <v>1233</v>
      </c>
      <c r="F51" s="125" t="s">
        <v>1381</v>
      </c>
      <c r="G51" s="125"/>
      <c r="H51" s="125"/>
    </row>
    <row r="52" spans="1:8">
      <c r="A52" s="121">
        <v>59</v>
      </c>
      <c r="B52" s="126" t="s">
        <v>1382</v>
      </c>
      <c r="C52" s="123" t="s">
        <v>1383</v>
      </c>
      <c r="D52" s="124" t="s">
        <v>1384</v>
      </c>
      <c r="E52" s="127" t="s">
        <v>1238</v>
      </c>
      <c r="F52" s="125" t="s">
        <v>1381</v>
      </c>
      <c r="G52" s="125"/>
      <c r="H52" s="125"/>
    </row>
    <row r="53" spans="1:8">
      <c r="A53" s="121">
        <v>62</v>
      </c>
      <c r="B53" s="122" t="s">
        <v>1385</v>
      </c>
      <c r="C53" s="123" t="s">
        <v>1386</v>
      </c>
      <c r="D53" s="129">
        <v>33343</v>
      </c>
      <c r="E53" s="122" t="s">
        <v>1233</v>
      </c>
      <c r="F53" s="125" t="s">
        <v>1381</v>
      </c>
      <c r="G53" s="125"/>
      <c r="H53" s="125"/>
    </row>
    <row r="54" spans="1:8">
      <c r="A54" s="121">
        <v>63</v>
      </c>
      <c r="B54" s="126" t="s">
        <v>1387</v>
      </c>
      <c r="C54" s="123" t="s">
        <v>1388</v>
      </c>
      <c r="D54" s="129">
        <v>35064</v>
      </c>
      <c r="E54" s="127" t="s">
        <v>1269</v>
      </c>
      <c r="F54" s="125" t="s">
        <v>1381</v>
      </c>
      <c r="G54" s="125"/>
      <c r="H54" s="125"/>
    </row>
    <row r="55" spans="1:8">
      <c r="A55" s="121">
        <v>64</v>
      </c>
      <c r="B55" s="128" t="s">
        <v>1389</v>
      </c>
      <c r="C55" s="123" t="s">
        <v>1390</v>
      </c>
      <c r="D55" s="129">
        <v>29902</v>
      </c>
      <c r="E55" s="122" t="s">
        <v>1269</v>
      </c>
      <c r="F55" s="125" t="s">
        <v>1381</v>
      </c>
      <c r="G55" s="125"/>
      <c r="H55" s="125"/>
    </row>
    <row r="56" spans="1:8">
      <c r="A56" s="121">
        <v>65</v>
      </c>
      <c r="B56" s="126" t="s">
        <v>1391</v>
      </c>
      <c r="C56" s="123" t="s">
        <v>1392</v>
      </c>
      <c r="D56" s="129">
        <v>31810</v>
      </c>
      <c r="E56" s="127" t="s">
        <v>1269</v>
      </c>
      <c r="F56" s="125" t="s">
        <v>1381</v>
      </c>
      <c r="G56" s="125" t="s">
        <v>1234</v>
      </c>
      <c r="H56" s="125" t="s">
        <v>1393</v>
      </c>
    </row>
    <row r="57" spans="1:8">
      <c r="A57" s="130">
        <v>67</v>
      </c>
      <c r="B57" s="131" t="s">
        <v>1394</v>
      </c>
      <c r="C57" s="132" t="s">
        <v>1395</v>
      </c>
      <c r="D57" s="133">
        <v>37467</v>
      </c>
      <c r="E57" s="131" t="s">
        <v>1229</v>
      </c>
      <c r="F57" s="134" t="s">
        <v>1396</v>
      </c>
      <c r="G57" s="134" t="s">
        <v>1234</v>
      </c>
      <c r="H57" s="134" t="s">
        <v>1397</v>
      </c>
    </row>
    <row r="58" spans="1:8">
      <c r="A58" s="130">
        <v>68</v>
      </c>
      <c r="B58" s="135" t="s">
        <v>1398</v>
      </c>
      <c r="C58" s="132" t="s">
        <v>1399</v>
      </c>
      <c r="D58" s="133">
        <v>29574</v>
      </c>
      <c r="E58" s="136" t="s">
        <v>1233</v>
      </c>
      <c r="F58" s="134" t="s">
        <v>1396</v>
      </c>
      <c r="G58" s="134" t="s">
        <v>1234</v>
      </c>
      <c r="H58" s="134" t="s">
        <v>1400</v>
      </c>
    </row>
    <row r="59" spans="1:8">
      <c r="A59" s="130">
        <v>69</v>
      </c>
      <c r="B59" s="137" t="s">
        <v>1401</v>
      </c>
      <c r="C59" s="132" t="s">
        <v>1402</v>
      </c>
      <c r="D59" s="134"/>
      <c r="E59" s="131" t="s">
        <v>1269</v>
      </c>
      <c r="F59" s="134" t="s">
        <v>1396</v>
      </c>
      <c r="G59" s="134"/>
      <c r="H59" s="134"/>
    </row>
    <row r="60" spans="1:8">
      <c r="A60" s="130">
        <v>70</v>
      </c>
      <c r="B60" s="135" t="s">
        <v>1403</v>
      </c>
      <c r="C60" s="132" t="s">
        <v>1404</v>
      </c>
      <c r="D60" s="134"/>
      <c r="E60" s="136" t="s">
        <v>1269</v>
      </c>
      <c r="F60" s="134" t="s">
        <v>1396</v>
      </c>
      <c r="G60" s="134"/>
      <c r="H60" s="134"/>
    </row>
    <row r="61" spans="1:8">
      <c r="A61" s="130">
        <v>71</v>
      </c>
      <c r="B61" s="135" t="s">
        <v>1405</v>
      </c>
      <c r="C61" s="138" t="s">
        <v>1406</v>
      </c>
      <c r="D61" s="134"/>
      <c r="E61" s="134" t="s">
        <v>1269</v>
      </c>
      <c r="F61" s="134" t="s">
        <v>1396</v>
      </c>
      <c r="G61" s="134" t="s">
        <v>1245</v>
      </c>
      <c r="H61" s="134" t="s">
        <v>1407</v>
      </c>
    </row>
    <row r="62" spans="1:8">
      <c r="A62" s="130">
        <v>72</v>
      </c>
      <c r="B62" s="131" t="s">
        <v>1408</v>
      </c>
      <c r="C62" s="132" t="s">
        <v>1409</v>
      </c>
      <c r="D62" s="139">
        <v>29323</v>
      </c>
      <c r="E62" s="131" t="s">
        <v>1233</v>
      </c>
      <c r="F62" s="134" t="s">
        <v>1396</v>
      </c>
      <c r="G62" s="134"/>
      <c r="H62" s="134"/>
    </row>
    <row r="63" spans="1:8">
      <c r="A63" s="130">
        <v>74</v>
      </c>
      <c r="B63" s="137" t="s">
        <v>1410</v>
      </c>
      <c r="C63" s="132" t="s">
        <v>1411</v>
      </c>
      <c r="D63" s="139">
        <v>27392</v>
      </c>
      <c r="E63" s="131" t="s">
        <v>1269</v>
      </c>
      <c r="F63" s="134" t="s">
        <v>1396</v>
      </c>
      <c r="G63" s="134" t="s">
        <v>1234</v>
      </c>
      <c r="H63" s="134" t="s">
        <v>1412</v>
      </c>
    </row>
    <row r="64" spans="1:8">
      <c r="A64" s="130">
        <v>75</v>
      </c>
      <c r="B64" s="135" t="s">
        <v>1413</v>
      </c>
      <c r="C64" s="132" t="s">
        <v>1414</v>
      </c>
      <c r="D64" s="140">
        <v>36039</v>
      </c>
      <c r="E64" s="136" t="s">
        <v>1269</v>
      </c>
      <c r="F64" s="134" t="s">
        <v>1396</v>
      </c>
      <c r="G64" s="134"/>
      <c r="H64" s="134"/>
    </row>
    <row r="65" spans="1:9">
      <c r="A65" s="130">
        <v>72</v>
      </c>
      <c r="B65" s="131" t="s">
        <v>1415</v>
      </c>
      <c r="C65" s="132" t="s">
        <v>1416</v>
      </c>
      <c r="D65" s="139">
        <v>37363</v>
      </c>
      <c r="E65" s="131" t="s">
        <v>1269</v>
      </c>
      <c r="F65" s="134" t="s">
        <v>1396</v>
      </c>
      <c r="G65" s="134"/>
      <c r="H65" s="134"/>
    </row>
    <row r="66" spans="1:9">
      <c r="A66" s="77">
        <v>74</v>
      </c>
      <c r="B66" s="82" t="s">
        <v>1417</v>
      </c>
      <c r="C66" s="79" t="s">
        <v>1418</v>
      </c>
      <c r="D66" s="142">
        <v>34066</v>
      </c>
      <c r="E66" s="83" t="s">
        <v>1238</v>
      </c>
      <c r="F66" s="81" t="s">
        <v>1419</v>
      </c>
      <c r="G66" s="81" t="s">
        <v>1234</v>
      </c>
      <c r="H66" s="83" t="s">
        <v>1420</v>
      </c>
    </row>
    <row r="67" spans="1:9">
      <c r="A67" s="77">
        <v>75</v>
      </c>
      <c r="B67" s="78" t="s">
        <v>1421</v>
      </c>
      <c r="C67" s="79" t="s">
        <v>1422</v>
      </c>
      <c r="D67" s="141">
        <v>31918</v>
      </c>
      <c r="E67" s="78" t="s">
        <v>1238</v>
      </c>
      <c r="F67" s="81" t="s">
        <v>1419</v>
      </c>
      <c r="G67" s="81"/>
      <c r="H67" s="81"/>
    </row>
    <row r="68" spans="1:9">
      <c r="A68" s="77">
        <v>72</v>
      </c>
      <c r="B68" s="82" t="s">
        <v>1423</v>
      </c>
      <c r="C68" s="79" t="s">
        <v>1424</v>
      </c>
      <c r="D68" s="142">
        <v>34066</v>
      </c>
      <c r="E68" s="83" t="s">
        <v>1238</v>
      </c>
      <c r="F68" s="81" t="s">
        <v>1419</v>
      </c>
      <c r="G68" s="81"/>
      <c r="H68" s="81"/>
    </row>
    <row r="69" spans="1:9">
      <c r="A69" s="260"/>
      <c r="B69" s="261" t="s">
        <v>1425</v>
      </c>
      <c r="C69" s="262" t="s">
        <v>1426</v>
      </c>
      <c r="D69" s="12">
        <v>34112</v>
      </c>
      <c r="E69" s="261"/>
      <c r="F69" s="8" t="s">
        <v>1419</v>
      </c>
      <c r="G69" s="8"/>
      <c r="H69" s="8"/>
      <c r="I69" s="184" t="s">
        <v>1427</v>
      </c>
    </row>
    <row r="70" spans="1:9">
      <c r="A70" s="260"/>
      <c r="B70" s="261" t="s">
        <v>1428</v>
      </c>
      <c r="C70" s="262" t="s">
        <v>1429</v>
      </c>
      <c r="D70" s="12">
        <v>34647</v>
      </c>
      <c r="E70" s="261"/>
      <c r="F70" s="8" t="s">
        <v>1419</v>
      </c>
      <c r="G70" s="8"/>
      <c r="H70" s="8"/>
    </row>
    <row r="71" spans="1:9">
      <c r="A71" s="260"/>
      <c r="B71" s="261" t="s">
        <v>1430</v>
      </c>
      <c r="C71" s="262" t="s">
        <v>1431</v>
      </c>
      <c r="D71" s="12">
        <v>36043</v>
      </c>
      <c r="E71" s="261"/>
      <c r="F71" s="8" t="s">
        <v>1419</v>
      </c>
      <c r="G71" s="8"/>
      <c r="H71" s="8" t="s">
        <v>1432</v>
      </c>
    </row>
    <row r="72" spans="1:9">
      <c r="A72" s="260"/>
      <c r="B72" s="261" t="s">
        <v>1433</v>
      </c>
      <c r="C72" s="262" t="s">
        <v>1434</v>
      </c>
      <c r="D72" s="12">
        <v>34703</v>
      </c>
      <c r="E72" s="261"/>
      <c r="F72" s="8" t="s">
        <v>1419</v>
      </c>
      <c r="G72" s="8"/>
      <c r="H72" s="8" t="s">
        <v>1435</v>
      </c>
    </row>
    <row r="73" spans="1:9">
      <c r="A73" s="260"/>
      <c r="B73" s="261"/>
      <c r="C73" s="262"/>
      <c r="D73" s="263"/>
      <c r="E73" s="261"/>
      <c r="F73" s="8"/>
      <c r="G73" s="8"/>
      <c r="H73" s="8"/>
    </row>
    <row r="74" spans="1:9">
      <c r="A74" s="260"/>
      <c r="B74" s="261"/>
      <c r="C74" s="262"/>
      <c r="D74" s="263"/>
      <c r="E74" s="261"/>
      <c r="F74" s="8"/>
      <c r="G74" s="8"/>
      <c r="H74" s="8"/>
    </row>
    <row r="75" spans="1:9">
      <c r="A75" s="260"/>
      <c r="B75" s="261"/>
      <c r="C75" s="262"/>
      <c r="D75" s="263"/>
      <c r="E75" s="261"/>
      <c r="F75" s="8"/>
      <c r="G75" s="8"/>
      <c r="H75" s="8"/>
    </row>
    <row r="76" spans="1:9">
      <c r="A76" s="260"/>
      <c r="B76" s="261"/>
      <c r="C76" s="262"/>
      <c r="D76" s="263"/>
      <c r="E76" s="261"/>
      <c r="F76" s="8"/>
      <c r="G76" s="8"/>
      <c r="H76" s="8"/>
    </row>
    <row r="77" spans="1:9">
      <c r="A77" s="260"/>
      <c r="B77" s="261"/>
      <c r="C77" s="262"/>
      <c r="D77" s="263"/>
      <c r="E77" s="261"/>
      <c r="F77" s="8"/>
      <c r="G77" s="8"/>
      <c r="H77" s="8"/>
    </row>
  </sheetData>
  <autoFilter ref="A1:I1" xr:uid="{00000000-0009-0000-0000-000004000000}"/>
  <conditionalFormatting sqref="B1:B77">
    <cfRule type="duplicateValues" dxfId="67" priority="2"/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8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E37" sqref="E37"/>
    </sheetView>
  </sheetViews>
  <sheetFormatPr defaultRowHeight="15"/>
  <cols>
    <col min="1" max="1" width="3.42578125" bestFit="1" customWidth="1"/>
    <col min="2" max="2" width="21.5703125" bestFit="1" customWidth="1"/>
    <col min="3" max="3" width="20.42578125" customWidth="1"/>
    <col min="4" max="4" width="19.5703125" customWidth="1"/>
    <col min="5" max="5" width="17.42578125" customWidth="1"/>
    <col min="6" max="6" width="41.5703125" customWidth="1"/>
    <col min="7" max="10" width="15.5703125" customWidth="1"/>
    <col min="11" max="12" width="16.42578125" bestFit="1" customWidth="1"/>
    <col min="13" max="13" width="25.5703125" bestFit="1" customWidth="1"/>
  </cols>
  <sheetData>
    <row r="1" spans="1:10">
      <c r="A1" s="144" t="s">
        <v>127</v>
      </c>
      <c r="B1" s="145" t="s">
        <v>1436</v>
      </c>
      <c r="C1" s="147" t="s">
        <v>1437</v>
      </c>
      <c r="D1" s="146" t="s">
        <v>1220</v>
      </c>
      <c r="E1" s="146" t="s">
        <v>1438</v>
      </c>
      <c r="F1" s="145" t="s">
        <v>1439</v>
      </c>
      <c r="G1" s="145" t="s">
        <v>1440</v>
      </c>
      <c r="H1" s="145" t="s">
        <v>1441</v>
      </c>
      <c r="I1" s="145" t="s">
        <v>1442</v>
      </c>
      <c r="J1" s="145" t="s">
        <v>1443</v>
      </c>
    </row>
    <row r="2" spans="1:10">
      <c r="A2" s="8">
        <v>1</v>
      </c>
      <c r="B2" s="8" t="s">
        <v>1444</v>
      </c>
      <c r="C2" s="8"/>
      <c r="D2" s="153" t="s">
        <v>1445</v>
      </c>
      <c r="E2" s="153" t="s">
        <v>1446</v>
      </c>
      <c r="F2" s="154" t="s">
        <v>1447</v>
      </c>
      <c r="G2" s="8"/>
      <c r="H2" s="192">
        <v>46119</v>
      </c>
      <c r="I2" s="192">
        <v>46179</v>
      </c>
      <c r="J2" s="190">
        <f t="shared" ref="J2:J8" ca="1" si="0">IF(I2="","",I2-TODAY())</f>
        <v>-60</v>
      </c>
    </row>
    <row r="3" spans="1:10">
      <c r="A3" s="8">
        <f t="shared" ref="A3:A8" si="1">+A2+1</f>
        <v>2</v>
      </c>
      <c r="B3" s="8" t="s">
        <v>1448</v>
      </c>
      <c r="C3" s="8"/>
      <c r="D3" s="153" t="s">
        <v>1449</v>
      </c>
      <c r="E3" s="153" t="s">
        <v>1450</v>
      </c>
      <c r="F3" s="154" t="s">
        <v>1451</v>
      </c>
      <c r="G3" s="8"/>
      <c r="H3" s="192">
        <v>46119</v>
      </c>
      <c r="I3" s="192">
        <f>+H3+60</f>
        <v>46179</v>
      </c>
      <c r="J3" s="190">
        <f t="shared" ca="1" si="0"/>
        <v>-60</v>
      </c>
    </row>
    <row r="4" spans="1:10">
      <c r="A4" s="8">
        <f t="shared" si="1"/>
        <v>3</v>
      </c>
      <c r="B4" s="8" t="s">
        <v>1452</v>
      </c>
      <c r="C4" s="8"/>
      <c r="D4" s="153" t="s">
        <v>1453</v>
      </c>
      <c r="E4" s="153" t="s">
        <v>1454</v>
      </c>
      <c r="F4" s="154" t="s">
        <v>1455</v>
      </c>
      <c r="G4" s="8"/>
      <c r="H4" s="192">
        <v>46119</v>
      </c>
      <c r="I4" s="192">
        <f>+H4+60</f>
        <v>46179</v>
      </c>
      <c r="J4" s="190">
        <f t="shared" ca="1" si="0"/>
        <v>-60</v>
      </c>
    </row>
    <row r="5" spans="1:10">
      <c r="A5" s="8">
        <f t="shared" si="1"/>
        <v>4</v>
      </c>
      <c r="B5" s="8" t="s">
        <v>1456</v>
      </c>
      <c r="C5" s="8"/>
      <c r="D5" s="153" t="s">
        <v>1457</v>
      </c>
      <c r="E5" s="153" t="s">
        <v>1458</v>
      </c>
      <c r="F5" s="154" t="s">
        <v>1459</v>
      </c>
      <c r="G5" s="8"/>
      <c r="H5" s="192">
        <v>46119</v>
      </c>
      <c r="I5" s="192">
        <f>+H5+60</f>
        <v>46179</v>
      </c>
      <c r="J5" s="190">
        <f t="shared" ca="1" si="0"/>
        <v>-60</v>
      </c>
    </row>
    <row r="6" spans="1:10">
      <c r="A6" s="8">
        <f t="shared" si="1"/>
        <v>5</v>
      </c>
      <c r="B6" s="8" t="s">
        <v>1460</v>
      </c>
      <c r="C6" s="8"/>
      <c r="D6" s="153" t="s">
        <v>1461</v>
      </c>
      <c r="E6" s="153" t="s">
        <v>1462</v>
      </c>
      <c r="F6" s="154" t="s">
        <v>1463</v>
      </c>
      <c r="G6" s="8"/>
      <c r="H6" s="192">
        <v>46119</v>
      </c>
      <c r="I6" s="192">
        <f>+H6+60</f>
        <v>46179</v>
      </c>
      <c r="J6" s="190">
        <f t="shared" ca="1" si="0"/>
        <v>-60</v>
      </c>
    </row>
    <row r="7" spans="1:10">
      <c r="A7" s="8">
        <f t="shared" si="1"/>
        <v>6</v>
      </c>
      <c r="B7" s="8" t="s">
        <v>1464</v>
      </c>
      <c r="C7" s="8"/>
      <c r="D7" s="153" t="s">
        <v>1465</v>
      </c>
      <c r="E7" s="153" t="s">
        <v>1466</v>
      </c>
      <c r="F7" s="154" t="s">
        <v>1467</v>
      </c>
      <c r="G7" s="8"/>
      <c r="H7" s="192">
        <v>46119</v>
      </c>
      <c r="I7" s="192">
        <f>+H7+60</f>
        <v>46179</v>
      </c>
      <c r="J7" s="190">
        <f t="shared" ca="1" si="0"/>
        <v>-60</v>
      </c>
    </row>
    <row r="8" spans="1:10">
      <c r="A8" s="8">
        <f t="shared" si="1"/>
        <v>7</v>
      </c>
      <c r="B8" s="8" t="s">
        <v>1468</v>
      </c>
      <c r="C8" s="8"/>
      <c r="D8" s="153" t="s">
        <v>1469</v>
      </c>
      <c r="E8" s="153" t="s">
        <v>1470</v>
      </c>
      <c r="F8" s="154" t="s">
        <v>1471</v>
      </c>
      <c r="G8" s="8"/>
      <c r="H8" s="192"/>
      <c r="I8" s="192"/>
      <c r="J8" s="190" t="str">
        <f t="shared" ca="1" si="0"/>
        <v/>
      </c>
    </row>
    <row r="9" spans="1:10">
      <c r="A9" s="8">
        <v>8</v>
      </c>
      <c r="B9" s="8" t="s">
        <v>1472</v>
      </c>
      <c r="C9" s="8"/>
      <c r="D9" s="153" t="s">
        <v>1473</v>
      </c>
      <c r="E9" s="153" t="s">
        <v>1474</v>
      </c>
      <c r="F9" s="154" t="s">
        <v>1475</v>
      </c>
      <c r="G9" s="8" t="s">
        <v>1476</v>
      </c>
      <c r="H9" s="192"/>
      <c r="I9" s="192"/>
      <c r="J9" s="190"/>
    </row>
    <row r="10" spans="1:10">
      <c r="A10" s="8">
        <f>+A8+1</f>
        <v>8</v>
      </c>
      <c r="B10" s="8" t="s">
        <v>1477</v>
      </c>
      <c r="C10" s="8"/>
      <c r="D10" s="153" t="s">
        <v>1478</v>
      </c>
      <c r="E10" s="153" t="s">
        <v>1479</v>
      </c>
      <c r="F10" s="154" t="s">
        <v>1480</v>
      </c>
      <c r="G10" s="8"/>
      <c r="H10" s="192">
        <v>46119</v>
      </c>
      <c r="I10" s="192">
        <v>46179</v>
      </c>
      <c r="J10" s="190">
        <f t="shared" ref="J10:J41" ca="1" si="2">IF(I10="","",I10-TODAY())</f>
        <v>-60</v>
      </c>
    </row>
    <row r="11" spans="1:10">
      <c r="A11" s="8">
        <f t="shared" ref="A11:A42" si="3">+A10+1</f>
        <v>9</v>
      </c>
      <c r="B11" s="8" t="s">
        <v>1481</v>
      </c>
      <c r="C11" s="8" t="s">
        <v>1482</v>
      </c>
      <c r="D11" s="153" t="s">
        <v>1483</v>
      </c>
      <c r="E11" s="153" t="s">
        <v>1484</v>
      </c>
      <c r="F11" s="154" t="s">
        <v>1485</v>
      </c>
      <c r="G11" s="153" t="s">
        <v>1486</v>
      </c>
      <c r="H11" s="192"/>
      <c r="I11" s="192"/>
      <c r="J11" s="190" t="str">
        <f t="shared" ca="1" si="2"/>
        <v/>
      </c>
    </row>
    <row r="12" spans="1:10">
      <c r="A12" s="8">
        <f t="shared" si="3"/>
        <v>10</v>
      </c>
      <c r="B12" s="8" t="s">
        <v>1273</v>
      </c>
      <c r="C12" s="8" t="s">
        <v>158</v>
      </c>
      <c r="D12" s="8" t="s">
        <v>1274</v>
      </c>
      <c r="E12" s="153" t="s">
        <v>1487</v>
      </c>
      <c r="F12" s="154" t="s">
        <v>1488</v>
      </c>
      <c r="G12" s="153" t="s">
        <v>1489</v>
      </c>
      <c r="H12" s="192"/>
      <c r="I12" s="192"/>
      <c r="J12" s="190" t="str">
        <f t="shared" ca="1" si="2"/>
        <v/>
      </c>
    </row>
    <row r="13" spans="1:10">
      <c r="A13" s="8">
        <f t="shared" si="3"/>
        <v>11</v>
      </c>
      <c r="B13" s="8" t="s">
        <v>1490</v>
      </c>
      <c r="C13" s="8" t="s">
        <v>1491</v>
      </c>
      <c r="D13" s="8"/>
      <c r="E13" s="153" t="s">
        <v>1492</v>
      </c>
      <c r="F13" s="154" t="s">
        <v>1493</v>
      </c>
      <c r="G13" s="8" t="s">
        <v>1494</v>
      </c>
      <c r="H13" s="192"/>
      <c r="I13" s="192"/>
      <c r="J13" s="190" t="str">
        <f t="shared" ca="1" si="2"/>
        <v/>
      </c>
    </row>
    <row r="14" spans="1:10">
      <c r="A14" s="8">
        <f t="shared" si="3"/>
        <v>12</v>
      </c>
      <c r="B14" s="8" t="s">
        <v>1495</v>
      </c>
      <c r="C14" s="8" t="s">
        <v>1496</v>
      </c>
      <c r="D14" s="8" t="s">
        <v>1497</v>
      </c>
      <c r="E14" s="153" t="s">
        <v>1498</v>
      </c>
      <c r="F14" s="154" t="s">
        <v>1499</v>
      </c>
      <c r="G14" s="8" t="s">
        <v>1500</v>
      </c>
      <c r="H14" s="192"/>
      <c r="I14" s="192"/>
      <c r="J14" s="190" t="str">
        <f t="shared" ca="1" si="2"/>
        <v/>
      </c>
    </row>
    <row r="15" spans="1:10">
      <c r="A15" s="8">
        <f t="shared" si="3"/>
        <v>13</v>
      </c>
      <c r="B15" s="8" t="s">
        <v>1501</v>
      </c>
      <c r="C15" s="8"/>
      <c r="D15" s="8"/>
      <c r="E15" s="153" t="s">
        <v>1502</v>
      </c>
      <c r="F15" s="154" t="s">
        <v>1503</v>
      </c>
      <c r="G15" s="8" t="s">
        <v>1504</v>
      </c>
      <c r="H15" s="192"/>
      <c r="I15" s="192"/>
      <c r="J15" s="190" t="str">
        <f t="shared" ca="1" si="2"/>
        <v/>
      </c>
    </row>
    <row r="16" spans="1:10">
      <c r="A16" s="8">
        <f t="shared" si="3"/>
        <v>14</v>
      </c>
      <c r="B16" s="8" t="s">
        <v>1505</v>
      </c>
      <c r="C16" s="8" t="s">
        <v>1506</v>
      </c>
      <c r="D16" s="153" t="s">
        <v>1507</v>
      </c>
      <c r="E16" s="153" t="s">
        <v>1508</v>
      </c>
      <c r="F16" s="154" t="s">
        <v>1509</v>
      </c>
      <c r="G16" s="8" t="s">
        <v>1510</v>
      </c>
      <c r="H16" s="192"/>
      <c r="I16" s="192"/>
      <c r="J16" s="190" t="str">
        <f t="shared" ca="1" si="2"/>
        <v/>
      </c>
    </row>
    <row r="17" spans="1:13">
      <c r="A17" s="8">
        <f t="shared" si="3"/>
        <v>15</v>
      </c>
      <c r="B17" s="8" t="s">
        <v>1511</v>
      </c>
      <c r="C17" s="8" t="s">
        <v>173</v>
      </c>
      <c r="D17" s="153" t="s">
        <v>1512</v>
      </c>
      <c r="E17" s="153" t="s">
        <v>1513</v>
      </c>
      <c r="F17" s="154" t="s">
        <v>1514</v>
      </c>
      <c r="G17" s="8" t="s">
        <v>1515</v>
      </c>
      <c r="H17" s="192"/>
      <c r="I17" s="192"/>
      <c r="J17" s="190" t="str">
        <f t="shared" ca="1" si="2"/>
        <v/>
      </c>
    </row>
    <row r="18" spans="1:13">
      <c r="A18" s="8">
        <f t="shared" si="3"/>
        <v>16</v>
      </c>
      <c r="B18" s="8" t="s">
        <v>1516</v>
      </c>
      <c r="C18" s="8" t="s">
        <v>1517</v>
      </c>
      <c r="D18" s="153" t="s">
        <v>1518</v>
      </c>
      <c r="E18" s="153" t="s">
        <v>1519</v>
      </c>
      <c r="F18" s="154" t="s">
        <v>1520</v>
      </c>
      <c r="G18" s="8" t="s">
        <v>1521</v>
      </c>
      <c r="H18" s="192"/>
      <c r="I18" s="192"/>
      <c r="J18" s="190" t="str">
        <f t="shared" ca="1" si="2"/>
        <v/>
      </c>
    </row>
    <row r="19" spans="1:13">
      <c r="A19" s="8">
        <f t="shared" si="3"/>
        <v>17</v>
      </c>
      <c r="B19" s="8" t="s">
        <v>1522</v>
      </c>
      <c r="C19" s="8" t="s">
        <v>1523</v>
      </c>
      <c r="D19" s="153" t="s">
        <v>1524</v>
      </c>
      <c r="E19" s="153" t="s">
        <v>1525</v>
      </c>
      <c r="F19" s="154" t="s">
        <v>1526</v>
      </c>
      <c r="G19" s="8" t="s">
        <v>1527</v>
      </c>
      <c r="H19" s="192"/>
      <c r="I19" s="192"/>
      <c r="J19" s="190" t="str">
        <f t="shared" ca="1" si="2"/>
        <v/>
      </c>
    </row>
    <row r="20" spans="1:13">
      <c r="A20" s="8">
        <f t="shared" si="3"/>
        <v>18</v>
      </c>
      <c r="B20" s="8" t="s">
        <v>1528</v>
      </c>
      <c r="C20" s="8" t="s">
        <v>1523</v>
      </c>
      <c r="D20" s="153" t="s">
        <v>1529</v>
      </c>
      <c r="E20" s="153" t="s">
        <v>1530</v>
      </c>
      <c r="F20" s="154" t="s">
        <v>1531</v>
      </c>
      <c r="G20" s="8" t="s">
        <v>1532</v>
      </c>
      <c r="H20" s="192"/>
      <c r="I20" s="192"/>
      <c r="J20" s="190" t="str">
        <f t="shared" ca="1" si="2"/>
        <v/>
      </c>
    </row>
    <row r="21" spans="1:13">
      <c r="A21" s="8">
        <f t="shared" si="3"/>
        <v>19</v>
      </c>
      <c r="B21" s="8" t="s">
        <v>1283</v>
      </c>
      <c r="C21" s="8" t="s">
        <v>158</v>
      </c>
      <c r="D21" s="153" t="s">
        <v>1284</v>
      </c>
      <c r="E21" s="153" t="s">
        <v>1533</v>
      </c>
      <c r="F21" s="154" t="s">
        <v>1534</v>
      </c>
      <c r="G21" s="8" t="s">
        <v>1535</v>
      </c>
      <c r="H21" s="192"/>
      <c r="I21" s="192"/>
      <c r="J21" s="190" t="str">
        <f t="shared" ca="1" si="2"/>
        <v/>
      </c>
    </row>
    <row r="22" spans="1:13">
      <c r="A22" s="8">
        <f t="shared" si="3"/>
        <v>20</v>
      </c>
      <c r="B22" s="8" t="s">
        <v>1536</v>
      </c>
      <c r="C22" s="8" t="s">
        <v>1537</v>
      </c>
      <c r="D22" s="153" t="s">
        <v>1538</v>
      </c>
      <c r="E22" s="8"/>
      <c r="F22" s="154" t="s">
        <v>1539</v>
      </c>
      <c r="G22" s="8" t="s">
        <v>1540</v>
      </c>
      <c r="H22" s="192"/>
      <c r="I22" s="192"/>
      <c r="J22" s="190" t="str">
        <f t="shared" ca="1" si="2"/>
        <v/>
      </c>
    </row>
    <row r="23" spans="1:13">
      <c r="A23" s="8">
        <f t="shared" si="3"/>
        <v>21</v>
      </c>
      <c r="B23" s="8" t="s">
        <v>1541</v>
      </c>
      <c r="C23" s="8" t="s">
        <v>158</v>
      </c>
      <c r="D23" s="153" t="s">
        <v>1542</v>
      </c>
      <c r="E23" s="8"/>
      <c r="F23" s="154" t="s">
        <v>1543</v>
      </c>
      <c r="G23" s="8" t="s">
        <v>1544</v>
      </c>
      <c r="H23" s="192"/>
      <c r="I23" s="192"/>
      <c r="J23" s="190" t="str">
        <f t="shared" ca="1" si="2"/>
        <v/>
      </c>
    </row>
    <row r="24" spans="1:13">
      <c r="A24" s="8">
        <f t="shared" si="3"/>
        <v>22</v>
      </c>
      <c r="B24" s="8" t="s">
        <v>1545</v>
      </c>
      <c r="C24" s="8" t="s">
        <v>158</v>
      </c>
      <c r="D24" s="153" t="s">
        <v>1546</v>
      </c>
      <c r="E24" s="8"/>
      <c r="F24" s="154" t="s">
        <v>1547</v>
      </c>
      <c r="G24" s="8" t="s">
        <v>1548</v>
      </c>
      <c r="H24" s="192"/>
      <c r="I24" s="192"/>
      <c r="J24" s="190" t="str">
        <f t="shared" ca="1" si="2"/>
        <v/>
      </c>
    </row>
    <row r="25" spans="1:13">
      <c r="A25" s="8">
        <f t="shared" si="3"/>
        <v>23</v>
      </c>
      <c r="B25" s="8" t="s">
        <v>1231</v>
      </c>
      <c r="C25" s="8" t="s">
        <v>158</v>
      </c>
      <c r="D25" s="153" t="s">
        <v>1542</v>
      </c>
      <c r="E25" s="8"/>
      <c r="F25" s="154" t="s">
        <v>1549</v>
      </c>
      <c r="G25" s="8" t="s">
        <v>1550</v>
      </c>
      <c r="H25" s="192"/>
      <c r="I25" s="192"/>
      <c r="J25" s="190" t="str">
        <f t="shared" ca="1" si="2"/>
        <v/>
      </c>
    </row>
    <row r="26" spans="1:13">
      <c r="A26" s="8">
        <f t="shared" si="3"/>
        <v>24</v>
      </c>
      <c r="B26" s="8" t="s">
        <v>1551</v>
      </c>
      <c r="C26" s="8" t="s">
        <v>1506</v>
      </c>
      <c r="D26" s="153" t="s">
        <v>1552</v>
      </c>
      <c r="E26" s="8"/>
      <c r="F26" s="154" t="s">
        <v>1553</v>
      </c>
      <c r="G26" s="8" t="s">
        <v>1554</v>
      </c>
      <c r="H26" s="192"/>
      <c r="I26" s="192"/>
      <c r="J26" s="190" t="str">
        <f t="shared" ca="1" si="2"/>
        <v/>
      </c>
    </row>
    <row r="27" spans="1:13">
      <c r="A27" s="8">
        <f t="shared" si="3"/>
        <v>25</v>
      </c>
      <c r="B27" s="8" t="s">
        <v>1555</v>
      </c>
      <c r="C27" s="8" t="s">
        <v>168</v>
      </c>
      <c r="D27" s="153" t="s">
        <v>1556</v>
      </c>
      <c r="E27" s="8"/>
      <c r="F27" s="154" t="s">
        <v>1557</v>
      </c>
      <c r="G27" s="8" t="s">
        <v>1558</v>
      </c>
      <c r="H27" s="192"/>
      <c r="I27" s="192"/>
      <c r="J27" s="190" t="str">
        <f t="shared" ca="1" si="2"/>
        <v/>
      </c>
    </row>
    <row r="28" spans="1:13">
      <c r="A28" s="8">
        <f t="shared" si="3"/>
        <v>26</v>
      </c>
      <c r="B28" s="8" t="s">
        <v>1559</v>
      </c>
      <c r="C28" s="8" t="s">
        <v>158</v>
      </c>
      <c r="D28" s="153" t="s">
        <v>1560</v>
      </c>
      <c r="E28" s="8"/>
      <c r="F28" s="154" t="s">
        <v>1561</v>
      </c>
      <c r="G28" s="8" t="s">
        <v>1562</v>
      </c>
      <c r="H28" s="192"/>
      <c r="I28" s="192"/>
      <c r="J28" s="190" t="str">
        <f t="shared" ca="1" si="2"/>
        <v/>
      </c>
      <c r="M28" s="158"/>
    </row>
    <row r="29" spans="1:13">
      <c r="A29" s="8">
        <f t="shared" si="3"/>
        <v>27</v>
      </c>
      <c r="B29" s="8" t="s">
        <v>1563</v>
      </c>
      <c r="C29" s="8" t="s">
        <v>1506</v>
      </c>
      <c r="D29" s="153" t="s">
        <v>1564</v>
      </c>
      <c r="E29" s="8"/>
      <c r="F29" s="154" t="s">
        <v>1565</v>
      </c>
      <c r="G29" s="8" t="s">
        <v>1566</v>
      </c>
      <c r="H29" s="192"/>
      <c r="I29" s="192"/>
      <c r="J29" s="190" t="str">
        <f t="shared" ca="1" si="2"/>
        <v/>
      </c>
      <c r="M29" s="158"/>
    </row>
    <row r="30" spans="1:13">
      <c r="A30" s="8">
        <f t="shared" si="3"/>
        <v>28</v>
      </c>
      <c r="B30" s="8" t="s">
        <v>1567</v>
      </c>
      <c r="C30" s="8" t="s">
        <v>163</v>
      </c>
      <c r="D30" s="153" t="s">
        <v>1568</v>
      </c>
      <c r="E30" s="153" t="s">
        <v>1569</v>
      </c>
      <c r="F30" s="154" t="s">
        <v>1570</v>
      </c>
      <c r="G30" s="8" t="s">
        <v>1571</v>
      </c>
      <c r="H30" s="192"/>
      <c r="I30" s="192"/>
      <c r="J30" s="190" t="str">
        <f t="shared" ca="1" si="2"/>
        <v/>
      </c>
      <c r="M30" s="158"/>
    </row>
    <row r="31" spans="1:13">
      <c r="A31" s="8">
        <f t="shared" si="3"/>
        <v>29</v>
      </c>
      <c r="B31" s="8" t="s">
        <v>1572</v>
      </c>
      <c r="C31" s="8" t="s">
        <v>168</v>
      </c>
      <c r="D31" s="153" t="s">
        <v>1573</v>
      </c>
      <c r="E31" s="153" t="s">
        <v>1574</v>
      </c>
      <c r="F31" s="154" t="s">
        <v>1575</v>
      </c>
      <c r="G31" s="8" t="s">
        <v>1576</v>
      </c>
      <c r="H31" s="192"/>
      <c r="I31" s="192"/>
      <c r="J31" s="190" t="str">
        <f t="shared" ca="1" si="2"/>
        <v/>
      </c>
      <c r="M31" s="158"/>
    </row>
    <row r="32" spans="1:13">
      <c r="A32" s="8">
        <f t="shared" si="3"/>
        <v>30</v>
      </c>
      <c r="B32" s="8" t="s">
        <v>1577</v>
      </c>
      <c r="C32" s="8" t="s">
        <v>1578</v>
      </c>
      <c r="D32" s="153" t="s">
        <v>1579</v>
      </c>
      <c r="E32" s="153" t="s">
        <v>1580</v>
      </c>
      <c r="F32" s="154" t="s">
        <v>1581</v>
      </c>
      <c r="G32" s="8" t="s">
        <v>1582</v>
      </c>
      <c r="H32" s="192"/>
      <c r="I32" s="192"/>
      <c r="J32" s="190" t="str">
        <f t="shared" ca="1" si="2"/>
        <v/>
      </c>
    </row>
    <row r="33" spans="1:10">
      <c r="A33" s="8">
        <f t="shared" si="3"/>
        <v>31</v>
      </c>
      <c r="B33" s="8" t="s">
        <v>1583</v>
      </c>
      <c r="C33" s="8" t="s">
        <v>1584</v>
      </c>
      <c r="D33" s="153" t="s">
        <v>1585</v>
      </c>
      <c r="E33" s="153" t="s">
        <v>1586</v>
      </c>
      <c r="F33" s="154" t="s">
        <v>1587</v>
      </c>
      <c r="G33" s="8" t="s">
        <v>1588</v>
      </c>
      <c r="H33" s="192"/>
      <c r="I33" s="192"/>
      <c r="J33" s="190" t="str">
        <f t="shared" ca="1" si="2"/>
        <v/>
      </c>
    </row>
    <row r="34" spans="1:10">
      <c r="A34" s="8">
        <f t="shared" si="3"/>
        <v>32</v>
      </c>
      <c r="B34" s="8" t="s">
        <v>1589</v>
      </c>
      <c r="C34" s="8" t="s">
        <v>1590</v>
      </c>
      <c r="D34" s="153" t="s">
        <v>1591</v>
      </c>
      <c r="E34" s="153" t="s">
        <v>1592</v>
      </c>
      <c r="F34" s="154" t="s">
        <v>1593</v>
      </c>
      <c r="G34" s="8" t="s">
        <v>1594</v>
      </c>
      <c r="H34" s="192"/>
      <c r="I34" s="192"/>
      <c r="J34" s="190" t="str">
        <f t="shared" ca="1" si="2"/>
        <v/>
      </c>
    </row>
    <row r="35" spans="1:10">
      <c r="A35" s="8">
        <f t="shared" si="3"/>
        <v>33</v>
      </c>
      <c r="B35" s="8" t="s">
        <v>1595</v>
      </c>
      <c r="C35" s="8"/>
      <c r="D35" s="8"/>
      <c r="E35" s="153" t="s">
        <v>1596</v>
      </c>
      <c r="F35" s="154" t="s">
        <v>1597</v>
      </c>
      <c r="G35" s="8" t="s">
        <v>1598</v>
      </c>
      <c r="H35" s="192"/>
      <c r="I35" s="192"/>
      <c r="J35" s="190" t="str">
        <f t="shared" ca="1" si="2"/>
        <v/>
      </c>
    </row>
    <row r="36" spans="1:10">
      <c r="A36" s="8">
        <f t="shared" si="3"/>
        <v>34</v>
      </c>
      <c r="B36" s="8" t="s">
        <v>1599</v>
      </c>
      <c r="C36" s="8"/>
      <c r="D36" s="8"/>
      <c r="E36" s="153" t="s">
        <v>1600</v>
      </c>
      <c r="F36" s="154" t="s">
        <v>1601</v>
      </c>
      <c r="G36" s="8" t="s">
        <v>1602</v>
      </c>
      <c r="H36" s="192"/>
      <c r="I36" s="192"/>
      <c r="J36" s="190" t="str">
        <f t="shared" ca="1" si="2"/>
        <v/>
      </c>
    </row>
    <row r="37" spans="1:10">
      <c r="A37" s="8">
        <f t="shared" si="3"/>
        <v>35</v>
      </c>
      <c r="B37" s="8" t="s">
        <v>1603</v>
      </c>
      <c r="C37" s="8"/>
      <c r="D37" s="8"/>
      <c r="E37" s="153" t="s">
        <v>1604</v>
      </c>
      <c r="F37" s="154" t="s">
        <v>1605</v>
      </c>
      <c r="G37" s="8" t="s">
        <v>1606</v>
      </c>
      <c r="H37" s="192"/>
      <c r="I37" s="192"/>
      <c r="J37" s="190" t="str">
        <f t="shared" ca="1" si="2"/>
        <v/>
      </c>
    </row>
    <row r="38" spans="1:10">
      <c r="A38" s="8">
        <f t="shared" si="3"/>
        <v>36</v>
      </c>
      <c r="B38" s="8" t="s">
        <v>1607</v>
      </c>
      <c r="C38" s="8" t="s">
        <v>1590</v>
      </c>
      <c r="D38" s="153" t="s">
        <v>1608</v>
      </c>
      <c r="E38" s="153" t="s">
        <v>1609</v>
      </c>
      <c r="F38" s="154" t="s">
        <v>1610</v>
      </c>
      <c r="G38" s="8" t="s">
        <v>1611</v>
      </c>
      <c r="H38" s="192"/>
      <c r="I38" s="192"/>
      <c r="J38" s="190" t="str">
        <f t="shared" ca="1" si="2"/>
        <v/>
      </c>
    </row>
    <row r="39" spans="1:10">
      <c r="A39" s="8">
        <f t="shared" si="3"/>
        <v>37</v>
      </c>
      <c r="B39" s="8" t="s">
        <v>1612</v>
      </c>
      <c r="C39" s="8" t="s">
        <v>1590</v>
      </c>
      <c r="D39" s="153" t="s">
        <v>1613</v>
      </c>
      <c r="E39" s="153" t="s">
        <v>1614</v>
      </c>
      <c r="F39" s="154" t="s">
        <v>1615</v>
      </c>
      <c r="G39" s="8" t="s">
        <v>1616</v>
      </c>
      <c r="H39" s="192"/>
      <c r="I39" s="192"/>
      <c r="J39" s="190" t="str">
        <f t="shared" ca="1" si="2"/>
        <v/>
      </c>
    </row>
    <row r="40" spans="1:10">
      <c r="A40" s="8">
        <f t="shared" si="3"/>
        <v>38</v>
      </c>
      <c r="B40" s="8" t="s">
        <v>1617</v>
      </c>
      <c r="C40" s="8" t="s">
        <v>1590</v>
      </c>
      <c r="D40" s="153" t="s">
        <v>1618</v>
      </c>
      <c r="E40" s="153" t="s">
        <v>1619</v>
      </c>
      <c r="F40" s="154" t="s">
        <v>1620</v>
      </c>
      <c r="G40" s="8" t="s">
        <v>1621</v>
      </c>
      <c r="H40" s="192"/>
      <c r="I40" s="192"/>
      <c r="J40" s="190" t="str">
        <f t="shared" ca="1" si="2"/>
        <v/>
      </c>
    </row>
    <row r="41" spans="1:10">
      <c r="A41" s="8">
        <f t="shared" si="3"/>
        <v>39</v>
      </c>
      <c r="B41" s="8" t="s">
        <v>1622</v>
      </c>
      <c r="C41" s="8" t="s">
        <v>1590</v>
      </c>
      <c r="D41" s="153" t="s">
        <v>1623</v>
      </c>
      <c r="E41" s="153" t="s">
        <v>1624</v>
      </c>
      <c r="F41" s="154" t="s">
        <v>1625</v>
      </c>
      <c r="G41" s="8" t="s">
        <v>1626</v>
      </c>
      <c r="H41" s="192"/>
      <c r="I41" s="192"/>
      <c r="J41" s="190" t="str">
        <f t="shared" ca="1" si="2"/>
        <v/>
      </c>
    </row>
    <row r="42" spans="1:10">
      <c r="A42" s="8">
        <f t="shared" si="3"/>
        <v>40</v>
      </c>
      <c r="B42" s="8" t="s">
        <v>1627</v>
      </c>
      <c r="C42" s="8" t="s">
        <v>1590</v>
      </c>
      <c r="D42" s="153" t="s">
        <v>1628</v>
      </c>
      <c r="E42" s="153" t="s">
        <v>1629</v>
      </c>
      <c r="F42" s="8" t="s">
        <v>1630</v>
      </c>
      <c r="G42" s="8" t="s">
        <v>1631</v>
      </c>
      <c r="H42" s="192"/>
      <c r="I42" s="192"/>
      <c r="J42" s="190" t="str">
        <f t="shared" ref="J42:J73" ca="1" si="4">IF(I42="","",I42-TODAY())</f>
        <v/>
      </c>
    </row>
    <row r="43" spans="1:10">
      <c r="A43" s="8">
        <f t="shared" ref="A43:A78" si="5">+A42+1</f>
        <v>41</v>
      </c>
      <c r="B43" s="8" t="s">
        <v>1632</v>
      </c>
      <c r="C43" s="8" t="s">
        <v>1590</v>
      </c>
      <c r="D43" s="153" t="s">
        <v>1633</v>
      </c>
      <c r="E43" s="153" t="s">
        <v>1634</v>
      </c>
      <c r="F43" s="8" t="s">
        <v>1635</v>
      </c>
      <c r="G43" s="8" t="s">
        <v>1636</v>
      </c>
      <c r="H43" s="192"/>
      <c r="I43" s="192"/>
      <c r="J43" s="190" t="str">
        <f t="shared" ca="1" si="4"/>
        <v/>
      </c>
    </row>
    <row r="44" spans="1:10">
      <c r="A44" s="8">
        <f t="shared" si="5"/>
        <v>42</v>
      </c>
      <c r="B44" s="8" t="s">
        <v>1637</v>
      </c>
      <c r="C44" s="8" t="s">
        <v>1590</v>
      </c>
      <c r="D44" s="153" t="s">
        <v>1638</v>
      </c>
      <c r="E44" s="153" t="s">
        <v>1639</v>
      </c>
      <c r="F44" s="8" t="s">
        <v>1640</v>
      </c>
      <c r="G44" s="8" t="s">
        <v>1641</v>
      </c>
      <c r="H44" s="192"/>
      <c r="I44" s="192"/>
      <c r="J44" s="190" t="str">
        <f t="shared" ca="1" si="4"/>
        <v/>
      </c>
    </row>
    <row r="45" spans="1:10">
      <c r="A45" s="8">
        <f t="shared" si="5"/>
        <v>43</v>
      </c>
      <c r="B45" s="8" t="s">
        <v>1642</v>
      </c>
      <c r="C45" s="8" t="s">
        <v>1590</v>
      </c>
      <c r="D45" s="153" t="s">
        <v>1643</v>
      </c>
      <c r="E45" s="153" t="s">
        <v>1644</v>
      </c>
      <c r="F45" s="8" t="s">
        <v>1645</v>
      </c>
      <c r="G45" s="8" t="s">
        <v>1646</v>
      </c>
      <c r="H45" s="192"/>
      <c r="I45" s="192"/>
      <c r="J45" s="190" t="str">
        <f t="shared" ca="1" si="4"/>
        <v/>
      </c>
    </row>
    <row r="46" spans="1:10">
      <c r="A46" s="8">
        <f t="shared" si="5"/>
        <v>44</v>
      </c>
      <c r="B46" s="8" t="s">
        <v>1647</v>
      </c>
      <c r="C46" s="8" t="s">
        <v>1590</v>
      </c>
      <c r="D46" s="153" t="s">
        <v>1648</v>
      </c>
      <c r="E46" s="153" t="s">
        <v>1649</v>
      </c>
      <c r="F46" s="8" t="s">
        <v>1650</v>
      </c>
      <c r="G46" s="8" t="s">
        <v>1651</v>
      </c>
      <c r="H46" s="192"/>
      <c r="I46" s="192"/>
      <c r="J46" s="190" t="str">
        <f t="shared" ca="1" si="4"/>
        <v/>
      </c>
    </row>
    <row r="47" spans="1:10">
      <c r="A47" s="8">
        <f t="shared" si="5"/>
        <v>45</v>
      </c>
      <c r="B47" s="8" t="s">
        <v>1652</v>
      </c>
      <c r="C47" s="8" t="s">
        <v>1590</v>
      </c>
      <c r="D47" s="153" t="s">
        <v>1653</v>
      </c>
      <c r="E47" s="153" t="s">
        <v>1654</v>
      </c>
      <c r="F47" s="8" t="s">
        <v>1655</v>
      </c>
      <c r="G47" s="8" t="s">
        <v>1656</v>
      </c>
      <c r="H47" s="192"/>
      <c r="I47" s="192"/>
      <c r="J47" s="190" t="str">
        <f t="shared" ca="1" si="4"/>
        <v/>
      </c>
    </row>
    <row r="48" spans="1:10">
      <c r="A48" s="8">
        <f t="shared" si="5"/>
        <v>46</v>
      </c>
      <c r="B48" s="8" t="s">
        <v>1657</v>
      </c>
      <c r="C48" s="8" t="s">
        <v>1590</v>
      </c>
      <c r="D48" s="153" t="s">
        <v>1658</v>
      </c>
      <c r="E48" s="153" t="s">
        <v>1659</v>
      </c>
      <c r="F48" s="154" t="s">
        <v>1660</v>
      </c>
      <c r="G48" s="8"/>
      <c r="H48" s="192"/>
      <c r="I48" s="192"/>
      <c r="J48" s="190" t="str">
        <f t="shared" ca="1" si="4"/>
        <v/>
      </c>
    </row>
    <row r="49" spans="1:10">
      <c r="A49" s="8">
        <f t="shared" si="5"/>
        <v>47</v>
      </c>
      <c r="B49" s="8" t="s">
        <v>1661</v>
      </c>
      <c r="C49" s="8"/>
      <c r="D49" s="8"/>
      <c r="E49" s="8"/>
      <c r="F49" s="154" t="s">
        <v>1662</v>
      </c>
      <c r="G49" s="8" t="s">
        <v>1663</v>
      </c>
      <c r="H49" s="192"/>
      <c r="I49" s="192"/>
      <c r="J49" s="190" t="str">
        <f t="shared" ca="1" si="4"/>
        <v/>
      </c>
    </row>
    <row r="50" spans="1:10">
      <c r="A50" s="8">
        <f t="shared" si="5"/>
        <v>48</v>
      </c>
      <c r="B50" s="8" t="s">
        <v>1664</v>
      </c>
      <c r="C50" s="8"/>
      <c r="D50" s="8"/>
      <c r="E50" s="8"/>
      <c r="F50" s="154" t="s">
        <v>1665</v>
      </c>
      <c r="G50" s="8" t="s">
        <v>1666</v>
      </c>
      <c r="H50" s="192"/>
      <c r="I50" s="192"/>
      <c r="J50" s="190" t="str">
        <f t="shared" ca="1" si="4"/>
        <v/>
      </c>
    </row>
    <row r="51" spans="1:10">
      <c r="A51" s="8">
        <f t="shared" si="5"/>
        <v>49</v>
      </c>
      <c r="B51" s="8" t="s">
        <v>1667</v>
      </c>
      <c r="C51" s="8"/>
      <c r="D51" s="8"/>
      <c r="E51" s="8"/>
      <c r="F51" s="154" t="s">
        <v>1668</v>
      </c>
      <c r="G51" s="8" t="s">
        <v>1669</v>
      </c>
      <c r="H51" s="192"/>
      <c r="I51" s="192"/>
      <c r="J51" s="190" t="str">
        <f t="shared" ca="1" si="4"/>
        <v/>
      </c>
    </row>
    <row r="52" spans="1:10">
      <c r="A52" s="8">
        <f t="shared" si="5"/>
        <v>50</v>
      </c>
      <c r="B52" s="8" t="s">
        <v>1670</v>
      </c>
      <c r="C52" s="8"/>
      <c r="D52" s="8"/>
      <c r="E52" s="8"/>
      <c r="F52" s="154" t="s">
        <v>1671</v>
      </c>
      <c r="G52" s="8" t="s">
        <v>1672</v>
      </c>
      <c r="H52" s="192"/>
      <c r="I52" s="192"/>
      <c r="J52" s="190" t="str">
        <f t="shared" ca="1" si="4"/>
        <v/>
      </c>
    </row>
    <row r="53" spans="1:10">
      <c r="A53" s="8">
        <f t="shared" si="5"/>
        <v>51</v>
      </c>
      <c r="B53" s="8" t="s">
        <v>1673</v>
      </c>
      <c r="C53" s="8"/>
      <c r="D53" s="8"/>
      <c r="E53" s="8"/>
      <c r="F53" s="154" t="s">
        <v>1674</v>
      </c>
      <c r="G53" s="8" t="s">
        <v>1675</v>
      </c>
      <c r="H53" s="192"/>
      <c r="I53" s="192"/>
      <c r="J53" s="190" t="str">
        <f t="shared" ca="1" si="4"/>
        <v/>
      </c>
    </row>
    <row r="54" spans="1:10">
      <c r="A54" s="8">
        <f t="shared" si="5"/>
        <v>52</v>
      </c>
      <c r="B54" s="8" t="s">
        <v>1676</v>
      </c>
      <c r="C54" s="8"/>
      <c r="D54" s="8"/>
      <c r="E54" s="8"/>
      <c r="F54" s="154" t="s">
        <v>1677</v>
      </c>
      <c r="G54" s="8" t="s">
        <v>1678</v>
      </c>
      <c r="H54" s="192"/>
      <c r="I54" s="192"/>
      <c r="J54" s="190" t="str">
        <f t="shared" ca="1" si="4"/>
        <v/>
      </c>
    </row>
    <row r="55" spans="1:10">
      <c r="A55" s="8">
        <f t="shared" si="5"/>
        <v>53</v>
      </c>
      <c r="B55" s="8" t="s">
        <v>1679</v>
      </c>
      <c r="C55" s="8"/>
      <c r="D55" s="8"/>
      <c r="E55" s="8"/>
      <c r="F55" s="154" t="s">
        <v>1680</v>
      </c>
      <c r="G55" s="8" t="s">
        <v>1681</v>
      </c>
      <c r="H55" s="192"/>
      <c r="I55" s="192"/>
      <c r="J55" s="190" t="str">
        <f t="shared" ca="1" si="4"/>
        <v/>
      </c>
    </row>
    <row r="56" spans="1:10">
      <c r="A56" s="8">
        <f t="shared" si="5"/>
        <v>54</v>
      </c>
      <c r="B56" s="8" t="s">
        <v>1682</v>
      </c>
      <c r="C56" s="8"/>
      <c r="D56" s="8"/>
      <c r="E56" s="8"/>
      <c r="F56" s="154" t="s">
        <v>1683</v>
      </c>
      <c r="G56" s="8" t="s">
        <v>1684</v>
      </c>
      <c r="H56" s="192"/>
      <c r="I56" s="192"/>
      <c r="J56" s="190" t="str">
        <f t="shared" ca="1" si="4"/>
        <v/>
      </c>
    </row>
    <row r="57" spans="1:10">
      <c r="A57" s="8">
        <f t="shared" si="5"/>
        <v>55</v>
      </c>
      <c r="B57" s="8" t="s">
        <v>1685</v>
      </c>
      <c r="C57" s="8"/>
      <c r="D57" s="8"/>
      <c r="E57" s="8"/>
      <c r="F57" s="154" t="s">
        <v>1686</v>
      </c>
      <c r="G57" s="8" t="s">
        <v>1687</v>
      </c>
      <c r="H57" s="192"/>
      <c r="I57" s="192"/>
      <c r="J57" s="190" t="str">
        <f t="shared" ca="1" si="4"/>
        <v/>
      </c>
    </row>
    <row r="58" spans="1:10">
      <c r="A58" s="8">
        <f t="shared" si="5"/>
        <v>56</v>
      </c>
      <c r="B58" s="8" t="s">
        <v>1688</v>
      </c>
      <c r="C58" s="8"/>
      <c r="D58" s="8"/>
      <c r="E58" s="8"/>
      <c r="F58" s="154" t="s">
        <v>1689</v>
      </c>
      <c r="G58" s="8" t="s">
        <v>1690</v>
      </c>
      <c r="H58" s="192"/>
      <c r="I58" s="192"/>
      <c r="J58" s="190" t="str">
        <f t="shared" ca="1" si="4"/>
        <v/>
      </c>
    </row>
    <row r="59" spans="1:10">
      <c r="A59" s="8">
        <f t="shared" si="5"/>
        <v>57</v>
      </c>
      <c r="B59" s="8" t="s">
        <v>1691</v>
      </c>
      <c r="C59" s="8" t="s">
        <v>1692</v>
      </c>
      <c r="D59" s="153" t="s">
        <v>1693</v>
      </c>
      <c r="E59" s="8"/>
      <c r="F59" s="154"/>
      <c r="G59" s="8"/>
      <c r="H59" s="192"/>
      <c r="I59" s="192"/>
      <c r="J59" s="190" t="str">
        <f t="shared" ca="1" si="4"/>
        <v/>
      </c>
    </row>
    <row r="60" spans="1:10">
      <c r="A60" s="8">
        <f t="shared" si="5"/>
        <v>58</v>
      </c>
      <c r="B60" s="8" t="s">
        <v>1694</v>
      </c>
      <c r="C60" s="8" t="s">
        <v>1692</v>
      </c>
      <c r="D60" s="153" t="s">
        <v>1695</v>
      </c>
      <c r="E60" s="8"/>
      <c r="F60" s="154"/>
      <c r="G60" s="8"/>
      <c r="H60" s="192"/>
      <c r="I60" s="192"/>
      <c r="J60" s="190" t="str">
        <f t="shared" ca="1" si="4"/>
        <v/>
      </c>
    </row>
    <row r="61" spans="1:10">
      <c r="A61" s="8">
        <f t="shared" si="5"/>
        <v>59</v>
      </c>
      <c r="B61" s="8" t="s">
        <v>1421</v>
      </c>
      <c r="C61" s="8" t="s">
        <v>1692</v>
      </c>
      <c r="D61" s="153" t="s">
        <v>1696</v>
      </c>
      <c r="E61" s="8"/>
      <c r="F61" s="154"/>
      <c r="G61" s="8"/>
      <c r="H61" s="192"/>
      <c r="I61" s="192"/>
      <c r="J61" s="190" t="str">
        <f t="shared" ca="1" si="4"/>
        <v/>
      </c>
    </row>
    <row r="62" spans="1:10">
      <c r="A62" s="8">
        <f t="shared" si="5"/>
        <v>60</v>
      </c>
      <c r="B62" s="8" t="s">
        <v>1697</v>
      </c>
      <c r="C62" s="8" t="s">
        <v>1692</v>
      </c>
      <c r="D62" s="153" t="s">
        <v>1698</v>
      </c>
      <c r="E62" s="8"/>
      <c r="F62" s="154"/>
      <c r="G62" s="8"/>
      <c r="H62" s="192"/>
      <c r="I62" s="192"/>
      <c r="J62" s="190" t="str">
        <f t="shared" ca="1" si="4"/>
        <v/>
      </c>
    </row>
    <row r="63" spans="1:10">
      <c r="A63" s="8">
        <f t="shared" si="5"/>
        <v>61</v>
      </c>
      <c r="B63" s="8" t="s">
        <v>1699</v>
      </c>
      <c r="C63" s="8" t="s">
        <v>1692</v>
      </c>
      <c r="D63" s="153" t="s">
        <v>1700</v>
      </c>
      <c r="E63" s="8"/>
      <c r="F63" s="154"/>
      <c r="G63" s="8"/>
      <c r="H63" s="192"/>
      <c r="I63" s="192"/>
      <c r="J63" s="190" t="str">
        <f t="shared" ca="1" si="4"/>
        <v/>
      </c>
    </row>
    <row r="64" spans="1:10">
      <c r="A64" s="8">
        <f t="shared" si="5"/>
        <v>62</v>
      </c>
      <c r="B64" s="8" t="s">
        <v>1701</v>
      </c>
      <c r="C64" s="8" t="s">
        <v>1523</v>
      </c>
      <c r="D64" s="153" t="s">
        <v>1702</v>
      </c>
      <c r="E64" s="153" t="s">
        <v>1703</v>
      </c>
      <c r="F64" s="154" t="s">
        <v>1704</v>
      </c>
      <c r="G64" s="8" t="s">
        <v>1705</v>
      </c>
      <c r="H64" s="192"/>
      <c r="I64" s="192"/>
      <c r="J64" s="190" t="str">
        <f t="shared" ca="1" si="4"/>
        <v/>
      </c>
    </row>
    <row r="65" spans="1:10">
      <c r="A65" s="8">
        <f t="shared" si="5"/>
        <v>63</v>
      </c>
      <c r="B65" s="8" t="s">
        <v>1706</v>
      </c>
      <c r="C65" s="8"/>
      <c r="D65" s="8"/>
      <c r="E65" s="8"/>
      <c r="F65" s="154" t="s">
        <v>1707</v>
      </c>
      <c r="G65" s="8" t="s">
        <v>1708</v>
      </c>
      <c r="H65" s="192"/>
      <c r="I65" s="192"/>
      <c r="J65" s="190" t="str">
        <f t="shared" ca="1" si="4"/>
        <v/>
      </c>
    </row>
    <row r="66" spans="1:10">
      <c r="A66" s="8">
        <f t="shared" si="5"/>
        <v>64</v>
      </c>
      <c r="B66" s="8" t="s">
        <v>1709</v>
      </c>
      <c r="C66" s="8"/>
      <c r="D66" s="8"/>
      <c r="E66" s="8"/>
      <c r="F66" s="154" t="s">
        <v>1710</v>
      </c>
      <c r="G66" s="8" t="s">
        <v>1711</v>
      </c>
      <c r="H66" s="192"/>
      <c r="I66" s="192"/>
      <c r="J66" s="190" t="str">
        <f t="shared" ca="1" si="4"/>
        <v/>
      </c>
    </row>
    <row r="67" spans="1:10">
      <c r="A67" s="8">
        <f t="shared" si="5"/>
        <v>65</v>
      </c>
      <c r="B67" s="8" t="s">
        <v>1712</v>
      </c>
      <c r="C67" s="8"/>
      <c r="D67" s="8"/>
      <c r="E67" s="8"/>
      <c r="F67" s="154" t="s">
        <v>1713</v>
      </c>
      <c r="G67" s="8" t="s">
        <v>1714</v>
      </c>
      <c r="H67" s="192"/>
      <c r="I67" s="192"/>
      <c r="J67" s="190" t="str">
        <f t="shared" ca="1" si="4"/>
        <v/>
      </c>
    </row>
    <row r="68" spans="1:10">
      <c r="A68" s="8">
        <f t="shared" si="5"/>
        <v>66</v>
      </c>
      <c r="B68" s="8" t="s">
        <v>1715</v>
      </c>
      <c r="C68" s="8"/>
      <c r="D68" s="8"/>
      <c r="E68" s="8"/>
      <c r="F68" s="154" t="s">
        <v>1716</v>
      </c>
      <c r="G68" s="8" t="s">
        <v>1717</v>
      </c>
      <c r="H68" s="192"/>
      <c r="I68" s="192"/>
      <c r="J68" s="190" t="str">
        <f t="shared" ca="1" si="4"/>
        <v/>
      </c>
    </row>
    <row r="69" spans="1:10">
      <c r="A69" s="8">
        <f t="shared" si="5"/>
        <v>67</v>
      </c>
      <c r="B69" s="8" t="s">
        <v>1718</v>
      </c>
      <c r="C69" s="8"/>
      <c r="D69" s="8"/>
      <c r="E69" s="8"/>
      <c r="F69" s="154" t="s">
        <v>1719</v>
      </c>
      <c r="G69" s="8" t="s">
        <v>1720</v>
      </c>
      <c r="H69" s="192"/>
      <c r="I69" s="192"/>
      <c r="J69" s="190" t="str">
        <f t="shared" ca="1" si="4"/>
        <v/>
      </c>
    </row>
    <row r="70" spans="1:10">
      <c r="A70" s="8">
        <f t="shared" si="5"/>
        <v>68</v>
      </c>
      <c r="B70" s="8" t="s">
        <v>1721</v>
      </c>
      <c r="C70" s="8"/>
      <c r="D70" s="8"/>
      <c r="E70" s="8"/>
      <c r="F70" s="154" t="s">
        <v>1722</v>
      </c>
      <c r="G70" s="8" t="s">
        <v>1723</v>
      </c>
      <c r="H70" s="192"/>
      <c r="I70" s="192"/>
      <c r="J70" s="190" t="str">
        <f t="shared" ca="1" si="4"/>
        <v/>
      </c>
    </row>
    <row r="71" spans="1:10">
      <c r="A71" s="8">
        <f t="shared" si="5"/>
        <v>69</v>
      </c>
      <c r="B71" s="8" t="s">
        <v>1724</v>
      </c>
      <c r="C71" s="8"/>
      <c r="D71" s="8"/>
      <c r="E71" s="8"/>
      <c r="F71" s="154" t="s">
        <v>1725</v>
      </c>
      <c r="G71" s="8" t="s">
        <v>1726</v>
      </c>
      <c r="H71" s="192"/>
      <c r="I71" s="192"/>
      <c r="J71" s="190" t="str">
        <f t="shared" ca="1" si="4"/>
        <v/>
      </c>
    </row>
    <row r="72" spans="1:10">
      <c r="A72" s="8">
        <f t="shared" si="5"/>
        <v>70</v>
      </c>
      <c r="B72" s="8" t="s">
        <v>1727</v>
      </c>
      <c r="C72" s="8"/>
      <c r="D72" s="8"/>
      <c r="E72" s="8"/>
      <c r="F72" s="154" t="s">
        <v>1728</v>
      </c>
      <c r="G72" s="8" t="s">
        <v>1729</v>
      </c>
      <c r="H72" s="192"/>
      <c r="I72" s="192"/>
      <c r="J72" s="190" t="str">
        <f t="shared" ca="1" si="4"/>
        <v/>
      </c>
    </row>
    <row r="73" spans="1:10">
      <c r="A73" s="8">
        <f t="shared" si="5"/>
        <v>71</v>
      </c>
      <c r="B73" s="8" t="s">
        <v>1730</v>
      </c>
      <c r="C73" s="8"/>
      <c r="D73" s="8"/>
      <c r="E73" s="8"/>
      <c r="F73" s="154" t="s">
        <v>1731</v>
      </c>
      <c r="G73" s="8" t="s">
        <v>1732</v>
      </c>
      <c r="H73" s="192"/>
      <c r="I73" s="192"/>
      <c r="J73" s="190" t="str">
        <f t="shared" ca="1" si="4"/>
        <v/>
      </c>
    </row>
    <row r="74" spans="1:10">
      <c r="A74" s="8">
        <f t="shared" si="5"/>
        <v>72</v>
      </c>
      <c r="B74" s="8" t="s">
        <v>1733</v>
      </c>
      <c r="C74" s="8"/>
      <c r="D74" s="8"/>
      <c r="E74" s="8"/>
      <c r="F74" s="154" t="s">
        <v>1734</v>
      </c>
      <c r="G74" s="8" t="s">
        <v>1735</v>
      </c>
      <c r="H74" s="192"/>
      <c r="I74" s="192"/>
      <c r="J74" s="190" t="str">
        <f t="shared" ref="J74:J105" ca="1" si="6">IF(I74="","",I74-TODAY())</f>
        <v/>
      </c>
    </row>
    <row r="75" spans="1:10">
      <c r="A75" s="8">
        <f t="shared" si="5"/>
        <v>73</v>
      </c>
      <c r="B75" s="8" t="s">
        <v>1736</v>
      </c>
      <c r="C75" s="8"/>
      <c r="D75" s="8"/>
      <c r="E75" s="8"/>
      <c r="F75" s="154" t="s">
        <v>1737</v>
      </c>
      <c r="G75" s="8" t="s">
        <v>1738</v>
      </c>
      <c r="H75" s="192"/>
      <c r="I75" s="192"/>
      <c r="J75" s="190" t="str">
        <f t="shared" ca="1" si="6"/>
        <v/>
      </c>
    </row>
    <row r="76" spans="1:10">
      <c r="A76" s="8">
        <f t="shared" si="5"/>
        <v>74</v>
      </c>
      <c r="B76" s="8" t="s">
        <v>1739</v>
      </c>
      <c r="C76" s="8"/>
      <c r="D76" s="8"/>
      <c r="E76" s="8"/>
      <c r="F76" s="154" t="s">
        <v>1740</v>
      </c>
      <c r="G76" s="8" t="s">
        <v>1741</v>
      </c>
      <c r="H76" s="192"/>
      <c r="I76" s="192"/>
      <c r="J76" s="190" t="str">
        <f t="shared" ca="1" si="6"/>
        <v/>
      </c>
    </row>
    <row r="77" spans="1:10">
      <c r="A77" s="8">
        <f t="shared" si="5"/>
        <v>75</v>
      </c>
      <c r="B77" s="8" t="s">
        <v>1742</v>
      </c>
      <c r="C77" s="8"/>
      <c r="D77" s="8"/>
      <c r="E77" s="8"/>
      <c r="F77" s="154" t="s">
        <v>1743</v>
      </c>
      <c r="G77" s="8" t="s">
        <v>1744</v>
      </c>
      <c r="H77" s="192"/>
      <c r="I77" s="192"/>
      <c r="J77" s="190" t="str">
        <f t="shared" ca="1" si="6"/>
        <v/>
      </c>
    </row>
    <row r="78" spans="1:10">
      <c r="A78" s="8">
        <f t="shared" si="5"/>
        <v>76</v>
      </c>
      <c r="B78" s="8" t="s">
        <v>1745</v>
      </c>
      <c r="C78" s="8"/>
      <c r="D78" s="8"/>
      <c r="E78" s="8"/>
      <c r="F78" s="154" t="s">
        <v>1746</v>
      </c>
      <c r="G78" s="8" t="s">
        <v>1747</v>
      </c>
      <c r="H78" s="192"/>
      <c r="I78" s="192"/>
      <c r="J78" s="190" t="str">
        <f t="shared" ca="1" si="6"/>
        <v/>
      </c>
    </row>
  </sheetData>
  <autoFilter ref="A1:G78" xr:uid="{00000000-0009-0000-0000-000005000000}"/>
  <conditionalFormatting sqref="B1">
    <cfRule type="duplicateValues" dxfId="66" priority="12"/>
  </conditionalFormatting>
  <conditionalFormatting sqref="D1:D1048576">
    <cfRule type="duplicateValues" dxfId="65" priority="11"/>
  </conditionalFormatting>
  <conditionalFormatting sqref="J2:J78">
    <cfRule type="expression" dxfId="64" priority="1">
      <formula>AND(J2&lt;=0,J2&lt;&gt;"")</formula>
    </cfRule>
    <cfRule type="expression" dxfId="63" priority="2">
      <formula>AND(J2&lt;10,J2&gt;0,J2&lt;&gt;"")</formula>
    </cfRule>
    <cfRule type="expression" dxfId="62" priority="3">
      <formula>AND(J2&gt;10,J2&lt;&gt;"")</formula>
    </cfRule>
  </conditionalFormatting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9" r:id="rId8" xr:uid="{00000000-0004-0000-0500-000007000000}"/>
    <hyperlink ref="F10" r:id="rId9" xr:uid="{00000000-0004-0000-0500-000008000000}"/>
    <hyperlink ref="F11" r:id="rId10" xr:uid="{00000000-0004-0000-0500-000009000000}"/>
    <hyperlink ref="F12" r:id="rId11" xr:uid="{00000000-0004-0000-0500-00000A000000}"/>
    <hyperlink ref="F13" r:id="rId12" xr:uid="{00000000-0004-0000-0500-00000B000000}"/>
    <hyperlink ref="F14" r:id="rId13" xr:uid="{00000000-0004-0000-0500-00000C000000}"/>
    <hyperlink ref="F15" r:id="rId14" xr:uid="{00000000-0004-0000-0500-00000D000000}"/>
    <hyperlink ref="F16" r:id="rId15" xr:uid="{00000000-0004-0000-0500-00000E000000}"/>
    <hyperlink ref="F17" r:id="rId16" xr:uid="{00000000-0004-0000-0500-00000F000000}"/>
    <hyperlink ref="F18" r:id="rId17" xr:uid="{00000000-0004-0000-0500-000010000000}"/>
    <hyperlink ref="F19" r:id="rId18" xr:uid="{00000000-0004-0000-0500-000011000000}"/>
    <hyperlink ref="F20" r:id="rId19" xr:uid="{00000000-0004-0000-0500-000012000000}"/>
    <hyperlink ref="F21" r:id="rId20" xr:uid="{00000000-0004-0000-0500-000013000000}"/>
    <hyperlink ref="F22" r:id="rId21" xr:uid="{00000000-0004-0000-0500-000014000000}"/>
    <hyperlink ref="F23" r:id="rId22" xr:uid="{00000000-0004-0000-0500-000015000000}"/>
    <hyperlink ref="F24" r:id="rId23" xr:uid="{00000000-0004-0000-0500-000016000000}"/>
    <hyperlink ref="F25" r:id="rId24" xr:uid="{00000000-0004-0000-0500-000017000000}"/>
    <hyperlink ref="F26" r:id="rId25" xr:uid="{00000000-0004-0000-0500-000018000000}"/>
    <hyperlink ref="F27" r:id="rId26" xr:uid="{00000000-0004-0000-0500-000019000000}"/>
    <hyperlink ref="F28" r:id="rId27" xr:uid="{00000000-0004-0000-0500-00001A000000}"/>
    <hyperlink ref="F29" r:id="rId28" xr:uid="{00000000-0004-0000-0500-00001B000000}"/>
    <hyperlink ref="F30" r:id="rId29" xr:uid="{00000000-0004-0000-0500-00001C000000}"/>
    <hyperlink ref="F31" r:id="rId30" xr:uid="{00000000-0004-0000-0500-00001D000000}"/>
    <hyperlink ref="F32" r:id="rId31" xr:uid="{00000000-0004-0000-0500-00001E000000}"/>
    <hyperlink ref="F33" r:id="rId32" xr:uid="{00000000-0004-0000-0500-00001F000000}"/>
    <hyperlink ref="F34" r:id="rId33" xr:uid="{00000000-0004-0000-0500-000020000000}"/>
    <hyperlink ref="F35" r:id="rId34" xr:uid="{00000000-0004-0000-0500-000021000000}"/>
    <hyperlink ref="F36" r:id="rId35" xr:uid="{00000000-0004-0000-0500-000022000000}"/>
    <hyperlink ref="F37" r:id="rId36" xr:uid="{00000000-0004-0000-0500-000023000000}"/>
    <hyperlink ref="F38" r:id="rId37" xr:uid="{00000000-0004-0000-0500-000024000000}"/>
    <hyperlink ref="F39" r:id="rId38" xr:uid="{00000000-0004-0000-0500-000025000000}"/>
    <hyperlink ref="F40" r:id="rId39" xr:uid="{00000000-0004-0000-0500-000026000000}"/>
    <hyperlink ref="F41" r:id="rId40" xr:uid="{00000000-0004-0000-0500-000027000000}"/>
    <hyperlink ref="F48" r:id="rId41" xr:uid="{00000000-0004-0000-0500-000028000000}"/>
    <hyperlink ref="F49" r:id="rId42" xr:uid="{00000000-0004-0000-0500-000029000000}"/>
    <hyperlink ref="F50" r:id="rId43" xr:uid="{00000000-0004-0000-0500-00002A000000}"/>
    <hyperlink ref="F51" r:id="rId44" xr:uid="{00000000-0004-0000-0500-00002B000000}"/>
    <hyperlink ref="F52" r:id="rId45" xr:uid="{00000000-0004-0000-0500-00002C000000}"/>
    <hyperlink ref="F53" r:id="rId46" xr:uid="{00000000-0004-0000-0500-00002D000000}"/>
    <hyperlink ref="F54" r:id="rId47" xr:uid="{00000000-0004-0000-0500-00002E000000}"/>
    <hyperlink ref="F55" r:id="rId48" xr:uid="{00000000-0004-0000-0500-00002F000000}"/>
    <hyperlink ref="F56" r:id="rId49" xr:uid="{00000000-0004-0000-0500-000030000000}"/>
    <hyperlink ref="F57" r:id="rId50" xr:uid="{00000000-0004-0000-0500-000031000000}"/>
    <hyperlink ref="F58" r:id="rId51" xr:uid="{00000000-0004-0000-0500-000032000000}"/>
    <hyperlink ref="F64" r:id="rId52" xr:uid="{00000000-0004-0000-0500-000033000000}"/>
    <hyperlink ref="F65" r:id="rId53" xr:uid="{00000000-0004-0000-0500-000034000000}"/>
    <hyperlink ref="F66" r:id="rId54" xr:uid="{00000000-0004-0000-0500-000035000000}"/>
    <hyperlink ref="F67" r:id="rId55" xr:uid="{00000000-0004-0000-0500-000036000000}"/>
    <hyperlink ref="F68" r:id="rId56" xr:uid="{00000000-0004-0000-0500-000037000000}"/>
    <hyperlink ref="F69" r:id="rId57" xr:uid="{00000000-0004-0000-0500-000038000000}"/>
    <hyperlink ref="F70" r:id="rId58" xr:uid="{00000000-0004-0000-0500-000039000000}"/>
    <hyperlink ref="F71" r:id="rId59" xr:uid="{00000000-0004-0000-0500-00003A000000}"/>
    <hyperlink ref="F72" r:id="rId60" xr:uid="{00000000-0004-0000-0500-00003B000000}"/>
    <hyperlink ref="F73" r:id="rId61" xr:uid="{00000000-0004-0000-0500-00003C000000}"/>
    <hyperlink ref="F74" r:id="rId62" xr:uid="{00000000-0004-0000-0500-00003D000000}"/>
    <hyperlink ref="F75" r:id="rId63" xr:uid="{00000000-0004-0000-0500-00003E000000}"/>
    <hyperlink ref="F76" r:id="rId64" xr:uid="{00000000-0004-0000-0500-00003F000000}"/>
    <hyperlink ref="F77" r:id="rId65" xr:uid="{00000000-0004-0000-0500-000040000000}"/>
    <hyperlink ref="F78" r:id="rId66" xr:uid="{00000000-0004-0000-0500-00004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9"/>
  <sheetViews>
    <sheetView workbookViewId="0">
      <pane xSplit="4" ySplit="3" topLeftCell="E149" activePane="bottomRight" state="frozen"/>
      <selection pane="topRight" activeCell="B3" sqref="B3:I112"/>
      <selection pane="bottomLeft" activeCell="B3" sqref="B3:I112"/>
      <selection pane="bottomRight" activeCell="H153" sqref="H153"/>
    </sheetView>
  </sheetViews>
  <sheetFormatPr defaultRowHeight="15" outlineLevelCol="1"/>
  <cols>
    <col min="1" max="1" width="3.42578125" bestFit="1" customWidth="1"/>
    <col min="2" max="2" width="19" customWidth="1" outlineLevel="1"/>
    <col min="3" max="3" width="10.5703125" customWidth="1" outlineLevel="1"/>
    <col min="4" max="4" width="35.42578125" customWidth="1" outlineLevel="1"/>
    <col min="5" max="5" width="15.42578125" customWidth="1" outlineLevel="1"/>
    <col min="6" max="6" width="24.42578125" customWidth="1" outlineLevel="1"/>
    <col min="7" max="7" width="19.42578125" bestFit="1" customWidth="1"/>
    <col min="8" max="8" width="45.5703125" style="182" customWidth="1"/>
    <col min="9" max="9" width="9" bestFit="1" customWidth="1"/>
    <col min="10" max="10" width="9.42578125" bestFit="1" customWidth="1"/>
    <col min="11" max="11" width="10.42578125" bestFit="1" customWidth="1"/>
    <col min="12" max="13" width="14.5703125" customWidth="1"/>
    <col min="14" max="14" width="15.42578125" bestFit="1" customWidth="1"/>
    <col min="15" max="15" width="16.42578125" bestFit="1" customWidth="1"/>
    <col min="16" max="16" width="35.5703125" bestFit="1" customWidth="1"/>
  </cols>
  <sheetData>
    <row r="1" spans="1:16">
      <c r="L1">
        <v>6826391.3999999994</v>
      </c>
    </row>
    <row r="2" spans="1:16">
      <c r="A2" s="212"/>
      <c r="B2" s="212">
        <f t="array" aca="1" ref="B2" ca="1">COUNTA(_xlfn.UNIQUE(_xlfn._xlws.FILTER(B4:B973,SUBTOTAL(3,OFFSET(B4,ROW(B4:B973)-ROW(B4),0)))))</f>
        <v>1</v>
      </c>
      <c r="C2" s="212">
        <f t="array" aca="1" ref="C2" ca="1">COUNTA(_xlfn.UNIQUE(_xlfn._xlws.FILTER(C4:C973,SUBTOTAL(3,OFFSET(C4,ROW(C4:C973)-ROW(C4),0)))))</f>
        <v>1</v>
      </c>
      <c r="D2" s="212">
        <f t="array" aca="1" ref="D2" ca="1">COUNTA(_xlfn.UNIQUE(_xlfn._xlws.FILTER(D4:D973,SUBTOTAL(3,OFFSET(D4,ROW(D4:D973)-ROW(D4),0)))))</f>
        <v>1</v>
      </c>
      <c r="E2" s="212"/>
      <c r="F2" s="212"/>
      <c r="G2" s="212"/>
      <c r="H2" s="209"/>
      <c r="I2" s="213"/>
      <c r="J2" s="213"/>
      <c r="K2" s="213"/>
      <c r="L2" s="215">
        <f>+SUBTOTAL(9,L4:L978)</f>
        <v>667947513.5999999</v>
      </c>
      <c r="M2" s="215"/>
      <c r="N2" s="212"/>
    </row>
    <row r="3" spans="1:16">
      <c r="A3" s="212" t="s">
        <v>127</v>
      </c>
      <c r="B3" s="212" t="s">
        <v>128</v>
      </c>
      <c r="C3" s="212" t="s">
        <v>178</v>
      </c>
      <c r="D3" s="212" t="s">
        <v>179</v>
      </c>
      <c r="E3" s="212" t="s">
        <v>1748</v>
      </c>
      <c r="F3" s="212" t="s">
        <v>1749</v>
      </c>
      <c r="G3" s="212" t="s">
        <v>1750</v>
      </c>
      <c r="H3" s="209" t="s">
        <v>1751</v>
      </c>
      <c r="I3" s="213" t="s">
        <v>182</v>
      </c>
      <c r="J3" s="213" t="s">
        <v>181</v>
      </c>
      <c r="K3" s="213" t="s">
        <v>1752</v>
      </c>
      <c r="L3" s="213" t="s">
        <v>1753</v>
      </c>
      <c r="M3" s="213" t="s">
        <v>1754</v>
      </c>
      <c r="N3" s="212" t="s">
        <v>1755</v>
      </c>
      <c r="O3" s="212" t="s">
        <v>1756</v>
      </c>
      <c r="P3" s="212" t="s">
        <v>184</v>
      </c>
    </row>
    <row r="4" spans="1:16">
      <c r="A4" s="210"/>
      <c r="B4" s="210" t="s">
        <v>174</v>
      </c>
      <c r="C4" s="222" t="s">
        <v>1757</v>
      </c>
      <c r="D4" s="222" t="s">
        <v>1758</v>
      </c>
      <c r="E4" s="223">
        <v>45891</v>
      </c>
      <c r="F4" s="222" t="s">
        <v>1759</v>
      </c>
      <c r="G4" s="210" t="s">
        <v>1760</v>
      </c>
      <c r="H4" s="156" t="s">
        <v>1761</v>
      </c>
      <c r="I4" s="216">
        <v>1</v>
      </c>
      <c r="J4" s="210" t="s">
        <v>1762</v>
      </c>
      <c r="K4" s="214">
        <v>75000000</v>
      </c>
      <c r="L4" s="214">
        <f t="shared" ref="L4:L35" si="0">+I4*K4</f>
        <v>75000000</v>
      </c>
      <c r="M4" s="223"/>
      <c r="N4" s="223">
        <v>45960</v>
      </c>
      <c r="O4" s="210"/>
      <c r="P4" s="210"/>
    </row>
    <row r="5" spans="1:16">
      <c r="A5" s="210"/>
      <c r="B5" s="210" t="s">
        <v>174</v>
      </c>
      <c r="C5" s="222" t="s">
        <v>1757</v>
      </c>
      <c r="D5" s="222" t="s">
        <v>1758</v>
      </c>
      <c r="E5" s="223">
        <v>45891</v>
      </c>
      <c r="F5" s="222" t="s">
        <v>1759</v>
      </c>
      <c r="G5" s="210" t="s">
        <v>1760</v>
      </c>
      <c r="H5" s="156" t="s">
        <v>1763</v>
      </c>
      <c r="I5" s="216">
        <v>0.1</v>
      </c>
      <c r="J5" s="210" t="s">
        <v>1762</v>
      </c>
      <c r="K5" s="214">
        <v>75000000</v>
      </c>
      <c r="L5" s="214">
        <f t="shared" si="0"/>
        <v>7500000</v>
      </c>
      <c r="M5" s="223"/>
      <c r="N5" s="223">
        <v>45960</v>
      </c>
      <c r="O5" s="210"/>
      <c r="P5" s="210"/>
    </row>
    <row r="6" spans="1:16">
      <c r="A6" s="210"/>
      <c r="B6" s="210" t="s">
        <v>174</v>
      </c>
      <c r="C6" s="222" t="s">
        <v>1757</v>
      </c>
      <c r="D6" s="222" t="s">
        <v>1758</v>
      </c>
      <c r="E6" s="223">
        <v>45891</v>
      </c>
      <c r="F6" s="222" t="s">
        <v>1759</v>
      </c>
      <c r="G6" s="210" t="s">
        <v>1760</v>
      </c>
      <c r="H6" s="156" t="s">
        <v>1764</v>
      </c>
      <c r="I6" s="216">
        <v>2</v>
      </c>
      <c r="J6" s="210" t="s">
        <v>1765</v>
      </c>
      <c r="K6" s="214">
        <v>1200000</v>
      </c>
      <c r="L6" s="214">
        <f t="shared" si="0"/>
        <v>2400000</v>
      </c>
      <c r="M6" s="223"/>
      <c r="N6" s="223">
        <v>45960</v>
      </c>
      <c r="O6" s="210"/>
      <c r="P6" s="210"/>
    </row>
    <row r="7" spans="1:16">
      <c r="A7" s="210"/>
      <c r="B7" s="210" t="s">
        <v>174</v>
      </c>
      <c r="C7" s="222" t="s">
        <v>1757</v>
      </c>
      <c r="D7" s="222" t="s">
        <v>1758</v>
      </c>
      <c r="E7" s="223">
        <v>45891</v>
      </c>
      <c r="F7" s="222" t="s">
        <v>1759</v>
      </c>
      <c r="G7" s="210" t="s">
        <v>1760</v>
      </c>
      <c r="H7" s="224" t="s">
        <v>1766</v>
      </c>
      <c r="I7" s="216">
        <v>2</v>
      </c>
      <c r="J7" s="210" t="s">
        <v>1765</v>
      </c>
      <c r="K7" s="214">
        <v>150000</v>
      </c>
      <c r="L7" s="214">
        <f t="shared" si="0"/>
        <v>300000</v>
      </c>
      <c r="M7" s="223"/>
      <c r="N7" s="223">
        <v>45960</v>
      </c>
      <c r="O7" s="210"/>
      <c r="P7" s="210"/>
    </row>
    <row r="8" spans="1:16">
      <c r="A8" s="210"/>
      <c r="B8" s="210" t="s">
        <v>174</v>
      </c>
      <c r="C8" s="222" t="s">
        <v>1757</v>
      </c>
      <c r="D8" s="222" t="s">
        <v>1758</v>
      </c>
      <c r="E8" s="223">
        <v>45891</v>
      </c>
      <c r="F8" s="222" t="s">
        <v>1759</v>
      </c>
      <c r="G8" s="210" t="s">
        <v>1760</v>
      </c>
      <c r="H8" s="156" t="s">
        <v>1767</v>
      </c>
      <c r="I8" s="216">
        <v>2</v>
      </c>
      <c r="J8" s="210" t="s">
        <v>1765</v>
      </c>
      <c r="K8" s="214">
        <v>150000</v>
      </c>
      <c r="L8" s="214">
        <f t="shared" si="0"/>
        <v>300000</v>
      </c>
      <c r="M8" s="223"/>
      <c r="N8" s="223">
        <v>45960</v>
      </c>
      <c r="O8" s="210"/>
      <c r="P8" s="210"/>
    </row>
    <row r="9" spans="1:16">
      <c r="A9" s="210"/>
      <c r="B9" s="210" t="s">
        <v>174</v>
      </c>
      <c r="C9" s="222" t="s">
        <v>1757</v>
      </c>
      <c r="D9" s="222" t="s">
        <v>1758</v>
      </c>
      <c r="E9" s="223">
        <v>45891</v>
      </c>
      <c r="F9" s="222" t="s">
        <v>1759</v>
      </c>
      <c r="G9" s="210" t="s">
        <v>1768</v>
      </c>
      <c r="H9" s="156" t="s">
        <v>1769</v>
      </c>
      <c r="I9" s="216">
        <v>100</v>
      </c>
      <c r="J9" s="210" t="s">
        <v>1770</v>
      </c>
      <c r="K9" s="214">
        <v>35000</v>
      </c>
      <c r="L9" s="214">
        <f t="shared" si="0"/>
        <v>3500000</v>
      </c>
      <c r="M9" s="223"/>
      <c r="N9" s="223">
        <v>45960</v>
      </c>
      <c r="O9" s="210"/>
      <c r="P9" s="210"/>
    </row>
    <row r="10" spans="1:16">
      <c r="A10" s="210"/>
      <c r="B10" s="210" t="s">
        <v>174</v>
      </c>
      <c r="C10" s="222" t="s">
        <v>1757</v>
      </c>
      <c r="D10" s="222" t="s">
        <v>1758</v>
      </c>
      <c r="E10" s="223">
        <v>45891</v>
      </c>
      <c r="F10" s="222" t="s">
        <v>1759</v>
      </c>
      <c r="G10" s="210" t="s">
        <v>1768</v>
      </c>
      <c r="H10" s="156" t="s">
        <v>1771</v>
      </c>
      <c r="I10" s="216">
        <v>200</v>
      </c>
      <c r="J10" s="210" t="s">
        <v>1770</v>
      </c>
      <c r="K10" s="214">
        <v>55000</v>
      </c>
      <c r="L10" s="214">
        <f t="shared" si="0"/>
        <v>11000000</v>
      </c>
      <c r="M10" s="223"/>
      <c r="N10" s="223">
        <v>45960</v>
      </c>
      <c r="O10" s="210"/>
      <c r="P10" s="210"/>
    </row>
    <row r="11" spans="1:16">
      <c r="A11" s="210"/>
      <c r="B11" s="210" t="s">
        <v>174</v>
      </c>
      <c r="C11" s="222" t="s">
        <v>1757</v>
      </c>
      <c r="D11" s="222" t="s">
        <v>1758</v>
      </c>
      <c r="E11" s="223">
        <v>45891</v>
      </c>
      <c r="F11" s="222" t="s">
        <v>1759</v>
      </c>
      <c r="G11" s="210" t="s">
        <v>1768</v>
      </c>
      <c r="H11" s="156" t="s">
        <v>1772</v>
      </c>
      <c r="I11" s="216">
        <v>500</v>
      </c>
      <c r="J11" s="210" t="s">
        <v>1770</v>
      </c>
      <c r="K11" s="214">
        <v>50000</v>
      </c>
      <c r="L11" s="214">
        <f t="shared" si="0"/>
        <v>25000000</v>
      </c>
      <c r="M11" s="223"/>
      <c r="N11" s="223">
        <v>45960</v>
      </c>
      <c r="O11" s="210"/>
      <c r="P11" s="210"/>
    </row>
    <row r="12" spans="1:16">
      <c r="A12" s="210"/>
      <c r="B12" s="210" t="s">
        <v>174</v>
      </c>
      <c r="C12" s="222" t="s">
        <v>1757</v>
      </c>
      <c r="D12" s="222" t="s">
        <v>1758</v>
      </c>
      <c r="E12" s="223">
        <v>45891</v>
      </c>
      <c r="F12" s="222" t="s">
        <v>1759</v>
      </c>
      <c r="G12" s="210" t="s">
        <v>1768</v>
      </c>
      <c r="H12" s="156" t="s">
        <v>1773</v>
      </c>
      <c r="I12" s="216">
        <v>10</v>
      </c>
      <c r="J12" s="210" t="s">
        <v>192</v>
      </c>
      <c r="K12" s="214">
        <v>450000</v>
      </c>
      <c r="L12" s="214">
        <f t="shared" si="0"/>
        <v>4500000</v>
      </c>
      <c r="M12" s="223"/>
      <c r="N12" s="223">
        <v>45960</v>
      </c>
      <c r="O12" s="210"/>
      <c r="P12" s="210"/>
    </row>
    <row r="13" spans="1:16">
      <c r="A13" s="210"/>
      <c r="B13" s="210" t="s">
        <v>174</v>
      </c>
      <c r="C13" s="222" t="s">
        <v>1757</v>
      </c>
      <c r="D13" s="222" t="s">
        <v>1758</v>
      </c>
      <c r="E13" s="223">
        <v>45891</v>
      </c>
      <c r="F13" s="222" t="s">
        <v>1759</v>
      </c>
      <c r="G13" s="210" t="s">
        <v>1768</v>
      </c>
      <c r="H13" s="156" t="s">
        <v>1774</v>
      </c>
      <c r="I13" s="216">
        <v>20</v>
      </c>
      <c r="J13" s="210" t="s">
        <v>192</v>
      </c>
      <c r="K13" s="214">
        <v>75000</v>
      </c>
      <c r="L13" s="214">
        <f t="shared" si="0"/>
        <v>1500000</v>
      </c>
      <c r="M13" s="223"/>
      <c r="N13" s="223">
        <v>45960</v>
      </c>
      <c r="O13" s="210"/>
      <c r="P13" s="210"/>
    </row>
    <row r="14" spans="1:16" ht="45" customHeight="1">
      <c r="A14" s="210"/>
      <c r="B14" s="210" t="s">
        <v>174</v>
      </c>
      <c r="C14" s="222" t="s">
        <v>1775</v>
      </c>
      <c r="D14" s="222" t="s">
        <v>1578</v>
      </c>
      <c r="E14" s="223">
        <v>45961</v>
      </c>
      <c r="F14" s="222" t="s">
        <v>1776</v>
      </c>
      <c r="G14" s="210" t="s">
        <v>1760</v>
      </c>
      <c r="H14" s="156" t="s">
        <v>1777</v>
      </c>
      <c r="I14" s="216">
        <v>1</v>
      </c>
      <c r="J14" s="210" t="s">
        <v>1778</v>
      </c>
      <c r="K14" s="214">
        <v>4650000</v>
      </c>
      <c r="L14" s="214">
        <f t="shared" si="0"/>
        <v>4650000</v>
      </c>
      <c r="M14" s="223"/>
      <c r="N14" s="223">
        <v>46028</v>
      </c>
      <c r="O14" s="210"/>
      <c r="P14" s="210"/>
    </row>
    <row r="15" spans="1:16">
      <c r="A15" s="210"/>
      <c r="B15" s="210" t="s">
        <v>174</v>
      </c>
      <c r="C15" s="222" t="s">
        <v>1775</v>
      </c>
      <c r="D15" s="222" t="s">
        <v>1578</v>
      </c>
      <c r="E15" s="223">
        <v>45961</v>
      </c>
      <c r="F15" s="222" t="s">
        <v>1776</v>
      </c>
      <c r="G15" s="210" t="s">
        <v>1760</v>
      </c>
      <c r="H15" s="156" t="s">
        <v>1779</v>
      </c>
      <c r="I15" s="216">
        <v>1</v>
      </c>
      <c r="J15" s="210" t="s">
        <v>1778</v>
      </c>
      <c r="K15" s="214">
        <v>2700000</v>
      </c>
      <c r="L15" s="214">
        <f t="shared" si="0"/>
        <v>2700000</v>
      </c>
      <c r="M15" s="223"/>
      <c r="N15" s="223">
        <v>46028</v>
      </c>
      <c r="O15" s="210"/>
      <c r="P15" s="210"/>
    </row>
    <row r="16" spans="1:16">
      <c r="A16" s="210"/>
      <c r="B16" s="210" t="s">
        <v>174</v>
      </c>
      <c r="C16" s="222" t="s">
        <v>1780</v>
      </c>
      <c r="D16" s="222" t="s">
        <v>1781</v>
      </c>
      <c r="E16" s="223">
        <v>45943</v>
      </c>
      <c r="F16" s="222" t="s">
        <v>1782</v>
      </c>
      <c r="G16" s="210" t="s">
        <v>1760</v>
      </c>
      <c r="H16" s="156" t="s">
        <v>1783</v>
      </c>
      <c r="I16" s="216">
        <v>13067.71</v>
      </c>
      <c r="J16" s="210" t="s">
        <v>1784</v>
      </c>
      <c r="K16" s="214">
        <v>-1500</v>
      </c>
      <c r="L16" s="214">
        <f t="shared" si="0"/>
        <v>-19601565</v>
      </c>
      <c r="M16" s="223"/>
      <c r="N16" s="223">
        <v>46000</v>
      </c>
      <c r="O16" s="210"/>
      <c r="P16" s="210"/>
    </row>
    <row r="17" spans="1:16">
      <c r="A17" s="210"/>
      <c r="B17" s="210" t="s">
        <v>174</v>
      </c>
      <c r="C17" s="222" t="s">
        <v>1780</v>
      </c>
      <c r="D17" s="222" t="s">
        <v>1781</v>
      </c>
      <c r="E17" s="223">
        <v>45943</v>
      </c>
      <c r="F17" s="222" t="s">
        <v>1782</v>
      </c>
      <c r="G17" s="210" t="s">
        <v>1760</v>
      </c>
      <c r="H17" s="156" t="s">
        <v>1779</v>
      </c>
      <c r="I17" s="216">
        <v>1</v>
      </c>
      <c r="J17" s="210" t="s">
        <v>1778</v>
      </c>
      <c r="K17" s="214">
        <v>2700000</v>
      </c>
      <c r="L17" s="214">
        <f t="shared" si="0"/>
        <v>2700000</v>
      </c>
      <c r="M17" s="223"/>
      <c r="N17" s="223">
        <v>46000</v>
      </c>
      <c r="O17" s="210"/>
      <c r="P17" s="210"/>
    </row>
    <row r="18" spans="1:16">
      <c r="A18" s="210"/>
      <c r="B18" s="210" t="s">
        <v>174</v>
      </c>
      <c r="C18" s="222" t="s">
        <v>1780</v>
      </c>
      <c r="D18" s="222" t="s">
        <v>1781</v>
      </c>
      <c r="E18" s="223">
        <v>45943</v>
      </c>
      <c r="F18" s="222" t="s">
        <v>1782</v>
      </c>
      <c r="G18" s="210" t="s">
        <v>1760</v>
      </c>
      <c r="H18" s="156" t="s">
        <v>1785</v>
      </c>
      <c r="I18" s="216">
        <v>1</v>
      </c>
      <c r="J18" s="210" t="s">
        <v>1778</v>
      </c>
      <c r="K18" s="214">
        <v>4000000</v>
      </c>
      <c r="L18" s="214">
        <f t="shared" si="0"/>
        <v>4000000</v>
      </c>
      <c r="M18" s="223"/>
      <c r="N18" s="223">
        <v>46000</v>
      </c>
      <c r="O18" s="210"/>
      <c r="P18" s="210"/>
    </row>
    <row r="19" spans="1:16">
      <c r="A19" s="210"/>
      <c r="B19" s="210" t="s">
        <v>174</v>
      </c>
      <c r="C19" s="222" t="s">
        <v>1780</v>
      </c>
      <c r="D19" s="222" t="s">
        <v>1781</v>
      </c>
      <c r="E19" s="223">
        <v>45943</v>
      </c>
      <c r="F19" s="222" t="s">
        <v>1782</v>
      </c>
      <c r="G19" s="210" t="s">
        <v>1760</v>
      </c>
      <c r="H19" s="156" t="s">
        <v>1786</v>
      </c>
      <c r="I19" s="216">
        <v>1</v>
      </c>
      <c r="J19" s="210" t="s">
        <v>1778</v>
      </c>
      <c r="K19" s="214">
        <v>6000000</v>
      </c>
      <c r="L19" s="214">
        <f t="shared" si="0"/>
        <v>6000000</v>
      </c>
      <c r="M19" s="223"/>
      <c r="N19" s="223">
        <v>46000</v>
      </c>
      <c r="O19" s="210"/>
      <c r="P19" s="210"/>
    </row>
    <row r="20" spans="1:16">
      <c r="A20" s="210"/>
      <c r="B20" s="210" t="s">
        <v>174</v>
      </c>
      <c r="C20" s="222" t="s">
        <v>1780</v>
      </c>
      <c r="D20" s="222" t="s">
        <v>1781</v>
      </c>
      <c r="E20" s="223">
        <v>45943</v>
      </c>
      <c r="F20" s="222" t="s">
        <v>1782</v>
      </c>
      <c r="G20" s="210" t="s">
        <v>1768</v>
      </c>
      <c r="H20" s="156" t="s">
        <v>1787</v>
      </c>
      <c r="I20" s="216">
        <v>2</v>
      </c>
      <c r="J20" s="210" t="s">
        <v>1788</v>
      </c>
      <c r="K20" s="214">
        <v>6000000</v>
      </c>
      <c r="L20" s="214">
        <f t="shared" si="0"/>
        <v>12000000</v>
      </c>
      <c r="M20" s="223"/>
      <c r="N20" s="223">
        <v>46000</v>
      </c>
      <c r="O20" s="210"/>
      <c r="P20" s="210"/>
    </row>
    <row r="21" spans="1:16">
      <c r="A21" s="210"/>
      <c r="B21" s="210" t="s">
        <v>174</v>
      </c>
      <c r="C21" s="222" t="s">
        <v>1780</v>
      </c>
      <c r="D21" s="222" t="s">
        <v>1781</v>
      </c>
      <c r="E21" s="223">
        <v>45943</v>
      </c>
      <c r="F21" s="222" t="s">
        <v>1782</v>
      </c>
      <c r="G21" s="210" t="s">
        <v>1768</v>
      </c>
      <c r="H21" s="156" t="s">
        <v>1789</v>
      </c>
      <c r="I21" s="216">
        <v>12</v>
      </c>
      <c r="J21" s="210" t="s">
        <v>1790</v>
      </c>
      <c r="K21" s="214">
        <v>165000</v>
      </c>
      <c r="L21" s="214">
        <f t="shared" si="0"/>
        <v>1980000</v>
      </c>
      <c r="M21" s="223"/>
      <c r="N21" s="223">
        <v>46000</v>
      </c>
      <c r="O21" s="210"/>
      <c r="P21" s="210"/>
    </row>
    <row r="22" spans="1:16">
      <c r="A22" s="210"/>
      <c r="B22" s="210" t="s">
        <v>174</v>
      </c>
      <c r="C22" s="222" t="s">
        <v>1780</v>
      </c>
      <c r="D22" s="222" t="s">
        <v>1781</v>
      </c>
      <c r="E22" s="223">
        <v>45943</v>
      </c>
      <c r="F22" s="222" t="s">
        <v>1782</v>
      </c>
      <c r="G22" s="210" t="s">
        <v>1768</v>
      </c>
      <c r="H22" s="156" t="s">
        <v>1791</v>
      </c>
      <c r="I22" s="216">
        <v>8</v>
      </c>
      <c r="J22" s="210" t="s">
        <v>1792</v>
      </c>
      <c r="K22" s="214">
        <v>400000</v>
      </c>
      <c r="L22" s="214">
        <f t="shared" si="0"/>
        <v>3200000</v>
      </c>
      <c r="M22" s="223"/>
      <c r="N22" s="223">
        <v>46000</v>
      </c>
      <c r="O22" s="210"/>
      <c r="P22" s="210"/>
    </row>
    <row r="23" spans="1:16">
      <c r="A23" s="210"/>
      <c r="B23" s="210" t="s">
        <v>174</v>
      </c>
      <c r="C23" s="222" t="s">
        <v>1780</v>
      </c>
      <c r="D23" s="222" t="s">
        <v>1781</v>
      </c>
      <c r="E23" s="223">
        <v>45943</v>
      </c>
      <c r="F23" s="222" t="s">
        <v>1782</v>
      </c>
      <c r="G23" s="210" t="s">
        <v>1768</v>
      </c>
      <c r="H23" s="156" t="s">
        <v>1793</v>
      </c>
      <c r="I23" s="216">
        <v>4</v>
      </c>
      <c r="J23" s="210" t="s">
        <v>1794</v>
      </c>
      <c r="K23" s="214">
        <v>1000000</v>
      </c>
      <c r="L23" s="214">
        <f t="shared" si="0"/>
        <v>4000000</v>
      </c>
      <c r="M23" s="223"/>
      <c r="N23" s="223">
        <v>46000</v>
      </c>
      <c r="O23" s="210"/>
      <c r="P23" s="210"/>
    </row>
    <row r="24" spans="1:16">
      <c r="A24" s="210"/>
      <c r="B24" s="210" t="s">
        <v>174</v>
      </c>
      <c r="C24" s="222" t="s">
        <v>1780</v>
      </c>
      <c r="D24" s="222" t="s">
        <v>1781</v>
      </c>
      <c r="E24" s="223">
        <v>45943</v>
      </c>
      <c r="F24" s="222" t="s">
        <v>1782</v>
      </c>
      <c r="G24" s="210" t="s">
        <v>1768</v>
      </c>
      <c r="H24" s="156" t="s">
        <v>1795</v>
      </c>
      <c r="I24" s="216">
        <v>4</v>
      </c>
      <c r="J24" s="210" t="s">
        <v>1794</v>
      </c>
      <c r="K24" s="214">
        <v>1000000</v>
      </c>
      <c r="L24" s="214">
        <f t="shared" si="0"/>
        <v>4000000</v>
      </c>
      <c r="M24" s="223"/>
      <c r="N24" s="223">
        <v>46000</v>
      </c>
      <c r="O24" s="210"/>
      <c r="P24" s="210"/>
    </row>
    <row r="25" spans="1:16">
      <c r="A25" s="210"/>
      <c r="B25" s="210" t="s">
        <v>174</v>
      </c>
      <c r="C25" s="222" t="s">
        <v>1796</v>
      </c>
      <c r="D25" s="222" t="s">
        <v>1797</v>
      </c>
      <c r="E25" s="223">
        <v>45959</v>
      </c>
      <c r="F25" s="222" t="s">
        <v>1798</v>
      </c>
      <c r="G25" s="210" t="s">
        <v>1760</v>
      </c>
      <c r="H25" s="156" t="s">
        <v>1779</v>
      </c>
      <c r="I25" s="216">
        <v>1</v>
      </c>
      <c r="J25" s="210" t="s">
        <v>1778</v>
      </c>
      <c r="K25" s="214">
        <v>2700000</v>
      </c>
      <c r="L25" s="214">
        <f t="shared" si="0"/>
        <v>2700000</v>
      </c>
      <c r="M25" s="223"/>
      <c r="N25" s="223"/>
      <c r="O25" s="210"/>
      <c r="P25" s="210"/>
    </row>
    <row r="26" spans="1:16">
      <c r="A26" s="210"/>
      <c r="B26" s="210" t="s">
        <v>174</v>
      </c>
      <c r="C26" s="222" t="s">
        <v>1796</v>
      </c>
      <c r="D26" s="222" t="s">
        <v>1797</v>
      </c>
      <c r="E26" s="223">
        <v>45959</v>
      </c>
      <c r="F26" s="222" t="s">
        <v>1798</v>
      </c>
      <c r="G26" s="210" t="s">
        <v>1768</v>
      </c>
      <c r="H26" s="156" t="s">
        <v>1799</v>
      </c>
      <c r="I26" s="216">
        <v>2</v>
      </c>
      <c r="J26" s="210" t="s">
        <v>189</v>
      </c>
      <c r="K26" s="214">
        <v>7000000</v>
      </c>
      <c r="L26" s="214">
        <f t="shared" si="0"/>
        <v>14000000</v>
      </c>
      <c r="M26" s="223"/>
      <c r="N26" s="223"/>
      <c r="O26" s="210"/>
      <c r="P26" s="210"/>
    </row>
    <row r="27" spans="1:16">
      <c r="A27" s="210"/>
      <c r="B27" s="210" t="s">
        <v>174</v>
      </c>
      <c r="C27" s="222" t="s">
        <v>1796</v>
      </c>
      <c r="D27" s="222" t="s">
        <v>1797</v>
      </c>
      <c r="E27" s="223">
        <v>45959</v>
      </c>
      <c r="F27" s="222" t="s">
        <v>1798</v>
      </c>
      <c r="G27" s="210" t="s">
        <v>1768</v>
      </c>
      <c r="H27" s="156" t="s">
        <v>1800</v>
      </c>
      <c r="I27" s="216">
        <v>175</v>
      </c>
      <c r="J27" s="210" t="s">
        <v>1770</v>
      </c>
      <c r="K27" s="214">
        <v>35000</v>
      </c>
      <c r="L27" s="214">
        <f t="shared" si="0"/>
        <v>6125000</v>
      </c>
      <c r="M27" s="223"/>
      <c r="N27" s="223"/>
      <c r="O27" s="210"/>
      <c r="P27" s="210"/>
    </row>
    <row r="28" spans="1:16">
      <c r="A28" s="210"/>
      <c r="B28" s="210" t="s">
        <v>174</v>
      </c>
      <c r="C28" s="222" t="s">
        <v>1796</v>
      </c>
      <c r="D28" s="222" t="s">
        <v>1797</v>
      </c>
      <c r="E28" s="223">
        <v>45959</v>
      </c>
      <c r="F28" s="222" t="s">
        <v>1798</v>
      </c>
      <c r="G28" s="210" t="s">
        <v>1768</v>
      </c>
      <c r="H28" s="156" t="s">
        <v>1801</v>
      </c>
      <c r="I28" s="216">
        <v>7</v>
      </c>
      <c r="J28" s="210" t="s">
        <v>192</v>
      </c>
      <c r="K28" s="214">
        <v>250000</v>
      </c>
      <c r="L28" s="214">
        <f t="shared" si="0"/>
        <v>1750000</v>
      </c>
      <c r="M28" s="223"/>
      <c r="N28" s="223"/>
      <c r="O28" s="210"/>
      <c r="P28" s="210"/>
    </row>
    <row r="29" spans="1:16">
      <c r="A29" s="210"/>
      <c r="B29" s="210" t="s">
        <v>174</v>
      </c>
      <c r="C29" s="222" t="s">
        <v>1796</v>
      </c>
      <c r="D29" s="222" t="s">
        <v>1797</v>
      </c>
      <c r="E29" s="223">
        <v>45959</v>
      </c>
      <c r="F29" s="222" t="s">
        <v>1798</v>
      </c>
      <c r="G29" s="210" t="s">
        <v>1768</v>
      </c>
      <c r="H29" s="156" t="s">
        <v>1802</v>
      </c>
      <c r="I29" s="216">
        <v>100</v>
      </c>
      <c r="J29" s="210" t="s">
        <v>1770</v>
      </c>
      <c r="K29" s="214">
        <v>15000</v>
      </c>
      <c r="L29" s="214">
        <f t="shared" si="0"/>
        <v>1500000</v>
      </c>
      <c r="M29" s="223"/>
      <c r="N29" s="223"/>
      <c r="O29" s="210"/>
      <c r="P29" s="210"/>
    </row>
    <row r="30" spans="1:16">
      <c r="A30" s="210"/>
      <c r="B30" s="210" t="s">
        <v>174</v>
      </c>
      <c r="C30" s="222" t="s">
        <v>1803</v>
      </c>
      <c r="D30" s="222" t="s">
        <v>1804</v>
      </c>
      <c r="E30" s="223">
        <v>45965</v>
      </c>
      <c r="F30" s="222" t="s">
        <v>1805</v>
      </c>
      <c r="G30" s="210" t="s">
        <v>1760</v>
      </c>
      <c r="H30" s="156" t="s">
        <v>1783</v>
      </c>
      <c r="I30" s="216">
        <v>1488.6</v>
      </c>
      <c r="J30" s="210" t="s">
        <v>1784</v>
      </c>
      <c r="K30" s="214">
        <v>-1500</v>
      </c>
      <c r="L30" s="214">
        <f t="shared" si="0"/>
        <v>-2232900</v>
      </c>
      <c r="M30" s="223"/>
      <c r="N30" s="223">
        <v>46365</v>
      </c>
      <c r="O30" s="210"/>
      <c r="P30" s="210"/>
    </row>
    <row r="31" spans="1:16">
      <c r="A31" s="210"/>
      <c r="B31" s="210" t="s">
        <v>174</v>
      </c>
      <c r="C31" s="222" t="s">
        <v>1803</v>
      </c>
      <c r="D31" s="222" t="s">
        <v>1804</v>
      </c>
      <c r="E31" s="223">
        <v>45965</v>
      </c>
      <c r="F31" s="222" t="s">
        <v>1805</v>
      </c>
      <c r="G31" s="210" t="s">
        <v>1760</v>
      </c>
      <c r="H31" s="156" t="s">
        <v>1779</v>
      </c>
      <c r="I31" s="216">
        <v>1</v>
      </c>
      <c r="J31" s="210" t="s">
        <v>1778</v>
      </c>
      <c r="K31" s="214">
        <v>2700000</v>
      </c>
      <c r="L31" s="214">
        <f t="shared" si="0"/>
        <v>2700000</v>
      </c>
      <c r="M31" s="223"/>
      <c r="N31" s="223">
        <v>46365</v>
      </c>
      <c r="O31" s="210"/>
      <c r="P31" s="210"/>
    </row>
    <row r="32" spans="1:16" ht="30" customHeight="1">
      <c r="A32" s="210"/>
      <c r="B32" s="210" t="s">
        <v>174</v>
      </c>
      <c r="C32" s="222" t="s">
        <v>1803</v>
      </c>
      <c r="D32" s="222" t="s">
        <v>1804</v>
      </c>
      <c r="E32" s="223">
        <v>45965</v>
      </c>
      <c r="F32" s="222" t="s">
        <v>1805</v>
      </c>
      <c r="G32" s="210" t="s">
        <v>1760</v>
      </c>
      <c r="H32" s="156" t="s">
        <v>1806</v>
      </c>
      <c r="I32" s="216">
        <v>2</v>
      </c>
      <c r="J32" s="210" t="s">
        <v>1807</v>
      </c>
      <c r="K32" s="214">
        <v>1700000</v>
      </c>
      <c r="L32" s="214">
        <f t="shared" si="0"/>
        <v>3400000</v>
      </c>
      <c r="M32" s="223"/>
      <c r="N32" s="223">
        <v>46365</v>
      </c>
      <c r="O32" s="210"/>
      <c r="P32" s="210"/>
    </row>
    <row r="33" spans="1:16">
      <c r="A33" s="210"/>
      <c r="B33" s="210" t="s">
        <v>174</v>
      </c>
      <c r="C33" s="222" t="s">
        <v>1803</v>
      </c>
      <c r="D33" s="222" t="s">
        <v>1804</v>
      </c>
      <c r="E33" s="223">
        <v>45965</v>
      </c>
      <c r="F33" s="222" t="s">
        <v>1805</v>
      </c>
      <c r="G33" s="210" t="s">
        <v>1760</v>
      </c>
      <c r="H33" s="156" t="s">
        <v>1808</v>
      </c>
      <c r="I33" s="216">
        <v>14</v>
      </c>
      <c r="J33" s="210" t="s">
        <v>1770</v>
      </c>
      <c r="K33" s="214">
        <v>80000</v>
      </c>
      <c r="L33" s="214">
        <f t="shared" si="0"/>
        <v>1120000</v>
      </c>
      <c r="M33" s="223"/>
      <c r="N33" s="223">
        <v>46365</v>
      </c>
      <c r="O33" s="210"/>
      <c r="P33" s="210"/>
    </row>
    <row r="34" spans="1:16">
      <c r="A34" s="210"/>
      <c r="B34" s="210" t="s">
        <v>174</v>
      </c>
      <c r="C34" s="222" t="s">
        <v>1803</v>
      </c>
      <c r="D34" s="222" t="s">
        <v>1804</v>
      </c>
      <c r="E34" s="223">
        <v>45965</v>
      </c>
      <c r="F34" s="222" t="s">
        <v>1805</v>
      </c>
      <c r="G34" s="210" t="s">
        <v>1760</v>
      </c>
      <c r="H34" s="156" t="s">
        <v>1809</v>
      </c>
      <c r="I34" s="216">
        <v>1</v>
      </c>
      <c r="J34" s="210" t="s">
        <v>1778</v>
      </c>
      <c r="K34" s="214">
        <v>300000</v>
      </c>
      <c r="L34" s="214">
        <f t="shared" si="0"/>
        <v>300000</v>
      </c>
      <c r="M34" s="223"/>
      <c r="N34" s="223">
        <v>46365</v>
      </c>
      <c r="O34" s="210"/>
      <c r="P34" s="210"/>
    </row>
    <row r="35" spans="1:16">
      <c r="A35" s="210"/>
      <c r="B35" s="210" t="s">
        <v>174</v>
      </c>
      <c r="C35" s="222" t="s">
        <v>1803</v>
      </c>
      <c r="D35" s="222" t="s">
        <v>1804</v>
      </c>
      <c r="E35" s="223">
        <v>45965</v>
      </c>
      <c r="F35" s="222" t="s">
        <v>1805</v>
      </c>
      <c r="G35" s="210" t="s">
        <v>1760</v>
      </c>
      <c r="H35" s="156" t="s">
        <v>1810</v>
      </c>
      <c r="I35" s="216">
        <v>22</v>
      </c>
      <c r="J35" s="210" t="s">
        <v>1811</v>
      </c>
      <c r="K35" s="214">
        <v>56000</v>
      </c>
      <c r="L35" s="214">
        <f t="shared" si="0"/>
        <v>1232000</v>
      </c>
      <c r="M35" s="223"/>
      <c r="N35" s="223">
        <v>46365</v>
      </c>
      <c r="O35" s="210"/>
      <c r="P35" s="210"/>
    </row>
    <row r="36" spans="1:16">
      <c r="A36" s="210"/>
      <c r="B36" s="210" t="s">
        <v>174</v>
      </c>
      <c r="C36" s="222" t="s">
        <v>1803</v>
      </c>
      <c r="D36" s="222" t="s">
        <v>1804</v>
      </c>
      <c r="E36" s="223">
        <v>45965</v>
      </c>
      <c r="F36" s="222" t="s">
        <v>1805</v>
      </c>
      <c r="G36" s="210" t="s">
        <v>1760</v>
      </c>
      <c r="H36" s="156" t="s">
        <v>1812</v>
      </c>
      <c r="I36" s="216">
        <v>22</v>
      </c>
      <c r="J36" s="210" t="s">
        <v>1811</v>
      </c>
      <c r="K36" s="214">
        <v>44000</v>
      </c>
      <c r="L36" s="214">
        <f t="shared" ref="L36:L67" si="1">+I36*K36</f>
        <v>968000</v>
      </c>
      <c r="M36" s="223"/>
      <c r="N36" s="223">
        <v>46365</v>
      </c>
      <c r="O36" s="210"/>
      <c r="P36" s="210"/>
    </row>
    <row r="37" spans="1:16">
      <c r="A37" s="210"/>
      <c r="B37" s="210" t="s">
        <v>174</v>
      </c>
      <c r="C37" s="222" t="s">
        <v>1803</v>
      </c>
      <c r="D37" s="222" t="s">
        <v>1804</v>
      </c>
      <c r="E37" s="223">
        <v>45965</v>
      </c>
      <c r="F37" s="222" t="s">
        <v>1805</v>
      </c>
      <c r="G37" s="210" t="s">
        <v>1760</v>
      </c>
      <c r="H37" s="156" t="s">
        <v>1813</v>
      </c>
      <c r="I37" s="216">
        <v>29</v>
      </c>
      <c r="J37" s="210" t="s">
        <v>1811</v>
      </c>
      <c r="K37" s="214">
        <v>64000</v>
      </c>
      <c r="L37" s="214">
        <f t="shared" si="1"/>
        <v>1856000</v>
      </c>
      <c r="M37" s="223"/>
      <c r="N37" s="223">
        <v>46365</v>
      </c>
      <c r="O37" s="210"/>
      <c r="P37" s="210"/>
    </row>
    <row r="38" spans="1:16">
      <c r="A38" s="210"/>
      <c r="B38" s="210" t="s">
        <v>174</v>
      </c>
      <c r="C38" s="222" t="s">
        <v>567</v>
      </c>
      <c r="D38" s="222" t="s">
        <v>568</v>
      </c>
      <c r="E38" s="223">
        <v>45939</v>
      </c>
      <c r="F38" s="222" t="s">
        <v>1814</v>
      </c>
      <c r="G38" s="210" t="s">
        <v>1760</v>
      </c>
      <c r="H38" s="156" t="s">
        <v>1815</v>
      </c>
      <c r="I38" s="216">
        <v>1</v>
      </c>
      <c r="J38" s="210" t="s">
        <v>1778</v>
      </c>
      <c r="K38" s="214">
        <v>2700000</v>
      </c>
      <c r="L38" s="214">
        <f t="shared" si="1"/>
        <v>2700000</v>
      </c>
      <c r="M38" s="223"/>
      <c r="N38" s="223">
        <v>45999</v>
      </c>
      <c r="O38" s="210"/>
      <c r="P38" s="210"/>
    </row>
    <row r="39" spans="1:16">
      <c r="A39" s="210"/>
      <c r="B39" s="210" t="s">
        <v>174</v>
      </c>
      <c r="C39" s="222" t="s">
        <v>567</v>
      </c>
      <c r="D39" s="222" t="s">
        <v>568</v>
      </c>
      <c r="E39" s="223">
        <v>45939</v>
      </c>
      <c r="F39" s="222" t="s">
        <v>1814</v>
      </c>
      <c r="G39" s="210" t="s">
        <v>1760</v>
      </c>
      <c r="H39" s="156" t="s">
        <v>1816</v>
      </c>
      <c r="I39" s="216">
        <v>1193.68</v>
      </c>
      <c r="J39" s="210" t="s">
        <v>1784</v>
      </c>
      <c r="K39" s="214">
        <v>1800</v>
      </c>
      <c r="L39" s="214">
        <f t="shared" si="1"/>
        <v>2148624</v>
      </c>
      <c r="M39" s="223"/>
      <c r="N39" s="223">
        <v>45999</v>
      </c>
      <c r="O39" s="210"/>
      <c r="P39" s="210"/>
    </row>
    <row r="40" spans="1:16" ht="30" customHeight="1">
      <c r="A40" s="210"/>
      <c r="B40" s="210" t="s">
        <v>174</v>
      </c>
      <c r="C40" s="222" t="s">
        <v>567</v>
      </c>
      <c r="D40" s="222" t="s">
        <v>568</v>
      </c>
      <c r="E40" s="223">
        <v>45939</v>
      </c>
      <c r="F40" s="222" t="s">
        <v>1814</v>
      </c>
      <c r="G40" s="210" t="s">
        <v>1760</v>
      </c>
      <c r="H40" s="156" t="s">
        <v>1817</v>
      </c>
      <c r="I40" s="216">
        <v>1</v>
      </c>
      <c r="J40" s="210" t="s">
        <v>1778</v>
      </c>
      <c r="K40" s="214">
        <v>6000000</v>
      </c>
      <c r="L40" s="214">
        <f t="shared" si="1"/>
        <v>6000000</v>
      </c>
      <c r="M40" s="223"/>
      <c r="N40" s="223">
        <v>45999</v>
      </c>
      <c r="O40" s="210"/>
      <c r="P40" s="210"/>
    </row>
    <row r="41" spans="1:16">
      <c r="A41" s="210"/>
      <c r="B41" s="210" t="s">
        <v>174</v>
      </c>
      <c r="C41" s="222" t="s">
        <v>1818</v>
      </c>
      <c r="D41" s="222" t="s">
        <v>1819</v>
      </c>
      <c r="E41" s="223">
        <v>46002</v>
      </c>
      <c r="F41" s="222" t="s">
        <v>1820</v>
      </c>
      <c r="G41" s="210" t="s">
        <v>1760</v>
      </c>
      <c r="H41" s="156" t="s">
        <v>1821</v>
      </c>
      <c r="I41" s="216">
        <v>5</v>
      </c>
      <c r="J41" s="210" t="s">
        <v>1822</v>
      </c>
      <c r="K41" s="214">
        <v>1800000</v>
      </c>
      <c r="L41" s="214">
        <f t="shared" si="1"/>
        <v>9000000</v>
      </c>
      <c r="M41" s="223"/>
      <c r="N41" s="223">
        <v>46028</v>
      </c>
      <c r="O41" s="210"/>
      <c r="P41" s="210"/>
    </row>
    <row r="42" spans="1:16">
      <c r="A42" s="210"/>
      <c r="B42" s="210" t="s">
        <v>174</v>
      </c>
      <c r="C42" s="222" t="s">
        <v>1818</v>
      </c>
      <c r="D42" s="222" t="s">
        <v>1819</v>
      </c>
      <c r="E42" s="223">
        <v>46002</v>
      </c>
      <c r="F42" s="222" t="s">
        <v>1820</v>
      </c>
      <c r="G42" s="210" t="s">
        <v>1760</v>
      </c>
      <c r="H42" s="156" t="s">
        <v>1823</v>
      </c>
      <c r="I42" s="216">
        <v>5</v>
      </c>
      <c r="J42" s="210" t="s">
        <v>1822</v>
      </c>
      <c r="K42" s="214">
        <v>935000</v>
      </c>
      <c r="L42" s="214">
        <f t="shared" si="1"/>
        <v>4675000</v>
      </c>
      <c r="M42" s="223"/>
      <c r="N42" s="223">
        <v>46028</v>
      </c>
      <c r="O42" s="210"/>
      <c r="P42" s="210"/>
    </row>
    <row r="43" spans="1:16">
      <c r="A43" s="210"/>
      <c r="B43" s="210" t="s">
        <v>174</v>
      </c>
      <c r="C43" s="222" t="s">
        <v>90</v>
      </c>
      <c r="D43" s="222" t="s">
        <v>91</v>
      </c>
      <c r="E43" s="223">
        <v>45915</v>
      </c>
      <c r="F43" s="222" t="s">
        <v>1824</v>
      </c>
      <c r="G43" s="210" t="s">
        <v>1768</v>
      </c>
      <c r="H43" s="156" t="s">
        <v>1825</v>
      </c>
      <c r="I43" s="216">
        <v>1</v>
      </c>
      <c r="J43" s="210" t="s">
        <v>1826</v>
      </c>
      <c r="K43" s="214">
        <v>3000000</v>
      </c>
      <c r="L43" s="214">
        <f t="shared" si="1"/>
        <v>3000000</v>
      </c>
      <c r="M43" s="223"/>
      <c r="N43" s="223">
        <v>45999</v>
      </c>
      <c r="O43" s="210"/>
      <c r="P43" s="210"/>
    </row>
    <row r="44" spans="1:16">
      <c r="A44" s="210"/>
      <c r="B44" s="210" t="s">
        <v>174</v>
      </c>
      <c r="C44" s="222" t="s">
        <v>90</v>
      </c>
      <c r="D44" s="222" t="s">
        <v>91</v>
      </c>
      <c r="E44" s="223">
        <v>45915</v>
      </c>
      <c r="F44" s="222" t="s">
        <v>1824</v>
      </c>
      <c r="G44" s="210" t="s">
        <v>1768</v>
      </c>
      <c r="H44" s="156" t="s">
        <v>1827</v>
      </c>
      <c r="I44" s="216">
        <v>8</v>
      </c>
      <c r="J44" s="210" t="s">
        <v>1822</v>
      </c>
      <c r="K44" s="214">
        <v>1455400</v>
      </c>
      <c r="L44" s="214">
        <f t="shared" si="1"/>
        <v>11643200</v>
      </c>
      <c r="M44" s="223"/>
      <c r="N44" s="223">
        <v>45999</v>
      </c>
      <c r="O44" s="210"/>
      <c r="P44" s="210"/>
    </row>
    <row r="45" spans="1:16">
      <c r="A45" s="210"/>
      <c r="B45" s="210" t="s">
        <v>174</v>
      </c>
      <c r="C45" s="222" t="s">
        <v>90</v>
      </c>
      <c r="D45" s="222" t="s">
        <v>91</v>
      </c>
      <c r="E45" s="223">
        <v>45915</v>
      </c>
      <c r="F45" s="222" t="s">
        <v>1824</v>
      </c>
      <c r="G45" s="210" t="s">
        <v>1768</v>
      </c>
      <c r="H45" s="156" t="s">
        <v>1828</v>
      </c>
      <c r="I45" s="216">
        <v>8</v>
      </c>
      <c r="J45" s="210" t="s">
        <v>1822</v>
      </c>
      <c r="K45" s="214">
        <v>1455400</v>
      </c>
      <c r="L45" s="214">
        <f t="shared" si="1"/>
        <v>11643200</v>
      </c>
      <c r="M45" s="223"/>
      <c r="N45" s="223">
        <v>45999</v>
      </c>
      <c r="O45" s="210"/>
      <c r="P45" s="210"/>
    </row>
    <row r="46" spans="1:16" ht="30" customHeight="1">
      <c r="A46" s="210"/>
      <c r="B46" s="210" t="s">
        <v>174</v>
      </c>
      <c r="C46" s="222" t="s">
        <v>90</v>
      </c>
      <c r="D46" s="222" t="s">
        <v>91</v>
      </c>
      <c r="E46" s="223">
        <v>45915</v>
      </c>
      <c r="F46" s="222" t="s">
        <v>1824</v>
      </c>
      <c r="G46" s="210" t="s">
        <v>1768</v>
      </c>
      <c r="H46" s="156" t="s">
        <v>1829</v>
      </c>
      <c r="I46" s="216">
        <v>1</v>
      </c>
      <c r="J46" s="210" t="s">
        <v>1778</v>
      </c>
      <c r="K46" s="214">
        <v>2550000</v>
      </c>
      <c r="L46" s="214">
        <f t="shared" si="1"/>
        <v>2550000</v>
      </c>
      <c r="M46" s="223"/>
      <c r="N46" s="223">
        <v>45999</v>
      </c>
      <c r="O46" s="210"/>
      <c r="P46" s="210"/>
    </row>
    <row r="47" spans="1:16">
      <c r="A47" s="210"/>
      <c r="B47" s="210" t="s">
        <v>174</v>
      </c>
      <c r="C47" s="222" t="s">
        <v>90</v>
      </c>
      <c r="D47" s="222" t="s">
        <v>91</v>
      </c>
      <c r="E47" s="223">
        <v>45915</v>
      </c>
      <c r="F47" s="222" t="s">
        <v>1824</v>
      </c>
      <c r="G47" s="210" t="s">
        <v>1768</v>
      </c>
      <c r="H47" s="156" t="s">
        <v>1830</v>
      </c>
      <c r="I47" s="216">
        <v>1</v>
      </c>
      <c r="J47" s="210" t="s">
        <v>1778</v>
      </c>
      <c r="K47" s="214">
        <v>4500000</v>
      </c>
      <c r="L47" s="214">
        <f t="shared" si="1"/>
        <v>4500000</v>
      </c>
      <c r="M47" s="223"/>
      <c r="N47" s="223">
        <v>45999</v>
      </c>
      <c r="O47" s="210"/>
      <c r="P47" s="210"/>
    </row>
    <row r="48" spans="1:16" ht="30" customHeight="1">
      <c r="A48" s="210"/>
      <c r="B48" s="210" t="s">
        <v>174</v>
      </c>
      <c r="C48" s="222" t="s">
        <v>90</v>
      </c>
      <c r="D48" s="222" t="s">
        <v>91</v>
      </c>
      <c r="E48" s="223">
        <v>46021</v>
      </c>
      <c r="F48" s="222" t="s">
        <v>1831</v>
      </c>
      <c r="G48" s="210" t="s">
        <v>1760</v>
      </c>
      <c r="H48" s="156" t="s">
        <v>1832</v>
      </c>
      <c r="I48" s="216">
        <v>5</v>
      </c>
      <c r="J48" s="210" t="s">
        <v>1822</v>
      </c>
      <c r="K48" s="214">
        <v>2244900</v>
      </c>
      <c r="L48" s="214">
        <f t="shared" si="1"/>
        <v>11224500</v>
      </c>
      <c r="M48" s="223"/>
      <c r="N48" s="223">
        <v>46049</v>
      </c>
      <c r="O48" s="210"/>
      <c r="P48" s="210"/>
    </row>
    <row r="49" spans="1:16" ht="30" customHeight="1">
      <c r="A49" s="210"/>
      <c r="B49" s="210" t="s">
        <v>174</v>
      </c>
      <c r="C49" s="222" t="s">
        <v>90</v>
      </c>
      <c r="D49" s="222" t="s">
        <v>91</v>
      </c>
      <c r="E49" s="223">
        <v>46021</v>
      </c>
      <c r="F49" s="222" t="s">
        <v>1831</v>
      </c>
      <c r="G49" s="210" t="s">
        <v>1760</v>
      </c>
      <c r="H49" s="156" t="s">
        <v>1833</v>
      </c>
      <c r="I49" s="216">
        <v>5</v>
      </c>
      <c r="J49" s="210" t="s">
        <v>1822</v>
      </c>
      <c r="K49" s="214">
        <v>1998200</v>
      </c>
      <c r="L49" s="214">
        <f t="shared" si="1"/>
        <v>9991000</v>
      </c>
      <c r="M49" s="223"/>
      <c r="N49" s="223">
        <v>46049</v>
      </c>
      <c r="O49" s="210"/>
      <c r="P49" s="210"/>
    </row>
    <row r="50" spans="1:16">
      <c r="A50" s="210"/>
      <c r="B50" s="210" t="s">
        <v>174</v>
      </c>
      <c r="C50" s="222" t="s">
        <v>90</v>
      </c>
      <c r="D50" s="222" t="s">
        <v>91</v>
      </c>
      <c r="E50" s="223">
        <v>46021</v>
      </c>
      <c r="F50" s="222" t="s">
        <v>1831</v>
      </c>
      <c r="G50" s="210" t="s">
        <v>1760</v>
      </c>
      <c r="H50" s="156" t="s">
        <v>1834</v>
      </c>
      <c r="I50" s="216">
        <v>5</v>
      </c>
      <c r="J50" s="210" t="s">
        <v>1822</v>
      </c>
      <c r="K50" s="214">
        <v>220000</v>
      </c>
      <c r="L50" s="214">
        <f t="shared" si="1"/>
        <v>1100000</v>
      </c>
      <c r="M50" s="223"/>
      <c r="N50" s="223">
        <v>46049</v>
      </c>
      <c r="O50" s="210"/>
      <c r="P50" s="210"/>
    </row>
    <row r="51" spans="1:16">
      <c r="A51" s="210"/>
      <c r="B51" s="210" t="s">
        <v>174</v>
      </c>
      <c r="C51" s="222" t="s">
        <v>90</v>
      </c>
      <c r="D51" s="222" t="s">
        <v>91</v>
      </c>
      <c r="E51" s="223">
        <v>46021</v>
      </c>
      <c r="F51" s="222" t="s">
        <v>1831</v>
      </c>
      <c r="G51" s="210" t="s">
        <v>1760</v>
      </c>
      <c r="H51" s="156" t="s">
        <v>1835</v>
      </c>
      <c r="I51" s="216">
        <v>5</v>
      </c>
      <c r="J51" s="210" t="s">
        <v>1822</v>
      </c>
      <c r="K51" s="214">
        <v>200000</v>
      </c>
      <c r="L51" s="214">
        <f t="shared" si="1"/>
        <v>1000000</v>
      </c>
      <c r="M51" s="223"/>
      <c r="N51" s="223">
        <v>46049</v>
      </c>
      <c r="O51" s="210"/>
      <c r="P51" s="210"/>
    </row>
    <row r="52" spans="1:16">
      <c r="A52" s="210"/>
      <c r="B52" s="210" t="s">
        <v>174</v>
      </c>
      <c r="C52" s="222" t="s">
        <v>90</v>
      </c>
      <c r="D52" s="222" t="s">
        <v>91</v>
      </c>
      <c r="E52" s="223">
        <v>46021</v>
      </c>
      <c r="F52" s="222" t="s">
        <v>1831</v>
      </c>
      <c r="G52" s="210" t="s">
        <v>1768</v>
      </c>
      <c r="H52" s="156" t="s">
        <v>1836</v>
      </c>
      <c r="I52" s="216">
        <v>1</v>
      </c>
      <c r="J52" s="210" t="s">
        <v>1778</v>
      </c>
      <c r="K52" s="214">
        <v>4000000</v>
      </c>
      <c r="L52" s="214">
        <f t="shared" si="1"/>
        <v>4000000</v>
      </c>
      <c r="M52" s="223"/>
      <c r="N52" s="223">
        <v>46049</v>
      </c>
      <c r="O52" s="210"/>
      <c r="P52" s="210"/>
    </row>
    <row r="53" spans="1:16">
      <c r="A53" s="210"/>
      <c r="B53" s="210" t="s">
        <v>174</v>
      </c>
      <c r="C53" s="222" t="s">
        <v>516</v>
      </c>
      <c r="D53" s="222" t="s">
        <v>1837</v>
      </c>
      <c r="E53" s="223">
        <v>46059</v>
      </c>
      <c r="F53" s="222" t="s">
        <v>1838</v>
      </c>
      <c r="G53" s="210" t="s">
        <v>1768</v>
      </c>
      <c r="H53" s="156" t="s">
        <v>1839</v>
      </c>
      <c r="I53" s="216">
        <v>50</v>
      </c>
      <c r="J53" s="210" t="s">
        <v>1770</v>
      </c>
      <c r="K53" s="214">
        <v>35000</v>
      </c>
      <c r="L53" s="214">
        <f t="shared" si="1"/>
        <v>1750000</v>
      </c>
      <c r="M53" s="223"/>
      <c r="N53" s="223">
        <v>46135</v>
      </c>
      <c r="O53" s="210"/>
      <c r="P53" s="210"/>
    </row>
    <row r="54" spans="1:16">
      <c r="A54" s="210"/>
      <c r="B54" s="210" t="s">
        <v>174</v>
      </c>
      <c r="C54" s="222" t="s">
        <v>516</v>
      </c>
      <c r="D54" s="222" t="s">
        <v>1837</v>
      </c>
      <c r="E54" s="223">
        <v>46059</v>
      </c>
      <c r="F54" s="222" t="s">
        <v>1838</v>
      </c>
      <c r="G54" s="210" t="s">
        <v>1768</v>
      </c>
      <c r="H54" s="156" t="s">
        <v>1840</v>
      </c>
      <c r="I54" s="216">
        <v>30</v>
      </c>
      <c r="J54" s="210" t="s">
        <v>1770</v>
      </c>
      <c r="K54" s="214">
        <v>35000</v>
      </c>
      <c r="L54" s="214">
        <f t="shared" si="1"/>
        <v>1050000</v>
      </c>
      <c r="M54" s="223"/>
      <c r="N54" s="223">
        <v>46135</v>
      </c>
      <c r="O54" s="210"/>
      <c r="P54" s="210"/>
    </row>
    <row r="55" spans="1:16">
      <c r="A55" s="210"/>
      <c r="B55" s="210" t="s">
        <v>174</v>
      </c>
      <c r="C55" s="222" t="s">
        <v>1841</v>
      </c>
      <c r="D55" s="222" t="s">
        <v>1842</v>
      </c>
      <c r="E55" s="223">
        <v>46020</v>
      </c>
      <c r="F55" s="222" t="s">
        <v>1843</v>
      </c>
      <c r="G55" s="210" t="s">
        <v>1760</v>
      </c>
      <c r="H55" s="156"/>
      <c r="I55" s="216">
        <v>8236.6560000000009</v>
      </c>
      <c r="J55" s="210" t="s">
        <v>1784</v>
      </c>
      <c r="K55" s="214">
        <v>-1500</v>
      </c>
      <c r="L55" s="214">
        <f t="shared" si="1"/>
        <v>-12354984.000000002</v>
      </c>
      <c r="M55" s="223"/>
      <c r="N55" s="223">
        <v>46049</v>
      </c>
      <c r="O55" s="210"/>
      <c r="P55" s="210"/>
    </row>
    <row r="56" spans="1:16">
      <c r="A56" s="210"/>
      <c r="B56" s="210" t="s">
        <v>174</v>
      </c>
      <c r="C56" s="222" t="s">
        <v>1841</v>
      </c>
      <c r="D56" s="222" t="s">
        <v>1842</v>
      </c>
      <c r="E56" s="223">
        <v>46020</v>
      </c>
      <c r="F56" s="222" t="s">
        <v>1843</v>
      </c>
      <c r="G56" s="210" t="s">
        <v>1760</v>
      </c>
      <c r="H56" s="156" t="s">
        <v>1815</v>
      </c>
      <c r="I56" s="216">
        <v>1</v>
      </c>
      <c r="J56" s="210" t="s">
        <v>1778</v>
      </c>
      <c r="K56" s="214">
        <v>2700000</v>
      </c>
      <c r="L56" s="214">
        <f t="shared" si="1"/>
        <v>2700000</v>
      </c>
      <c r="M56" s="223"/>
      <c r="N56" s="223">
        <v>46049</v>
      </c>
      <c r="O56" s="210"/>
      <c r="P56" s="210"/>
    </row>
    <row r="57" spans="1:16">
      <c r="A57" s="210"/>
      <c r="B57" s="210" t="s">
        <v>174</v>
      </c>
      <c r="C57" s="222" t="s">
        <v>1841</v>
      </c>
      <c r="D57" s="222" t="s">
        <v>1842</v>
      </c>
      <c r="E57" s="223">
        <v>46020</v>
      </c>
      <c r="F57" s="222" t="s">
        <v>1843</v>
      </c>
      <c r="G57" s="210" t="s">
        <v>1768</v>
      </c>
      <c r="H57" s="156" t="s">
        <v>1844</v>
      </c>
      <c r="I57" s="216">
        <v>210</v>
      </c>
      <c r="J57" s="210" t="s">
        <v>1845</v>
      </c>
      <c r="K57" s="214">
        <v>45000</v>
      </c>
      <c r="L57" s="214">
        <f t="shared" si="1"/>
        <v>9450000</v>
      </c>
      <c r="M57" s="223"/>
      <c r="N57" s="223">
        <v>46049</v>
      </c>
      <c r="O57" s="210"/>
      <c r="P57" s="210"/>
    </row>
    <row r="58" spans="1:16">
      <c r="A58" s="210"/>
      <c r="B58" s="210" t="s">
        <v>174</v>
      </c>
      <c r="C58" s="222" t="s">
        <v>1841</v>
      </c>
      <c r="D58" s="222" t="s">
        <v>1842</v>
      </c>
      <c r="E58" s="223">
        <v>46020</v>
      </c>
      <c r="F58" s="222" t="s">
        <v>1843</v>
      </c>
      <c r="G58" s="210" t="s">
        <v>1768</v>
      </c>
      <c r="H58" s="156" t="s">
        <v>1846</v>
      </c>
      <c r="I58" s="216">
        <v>300</v>
      </c>
      <c r="J58" s="210" t="s">
        <v>1845</v>
      </c>
      <c r="K58" s="214">
        <v>10000</v>
      </c>
      <c r="L58" s="214">
        <f t="shared" si="1"/>
        <v>3000000</v>
      </c>
      <c r="M58" s="223"/>
      <c r="N58" s="223">
        <v>46049</v>
      </c>
      <c r="O58" s="210"/>
      <c r="P58" s="210"/>
    </row>
    <row r="59" spans="1:16">
      <c r="A59" s="210"/>
      <c r="B59" s="210" t="s">
        <v>174</v>
      </c>
      <c r="C59" s="222" t="s">
        <v>1847</v>
      </c>
      <c r="D59" s="222" t="s">
        <v>1848</v>
      </c>
      <c r="E59" s="223">
        <v>46014</v>
      </c>
      <c r="F59" s="222" t="s">
        <v>1831</v>
      </c>
      <c r="G59" s="210" t="s">
        <v>1768</v>
      </c>
      <c r="H59" s="156" t="s">
        <v>1779</v>
      </c>
      <c r="I59" s="210">
        <v>1</v>
      </c>
      <c r="J59" s="210" t="s">
        <v>1778</v>
      </c>
      <c r="K59" s="214">
        <v>2700000</v>
      </c>
      <c r="L59" s="214">
        <f t="shared" si="1"/>
        <v>2700000</v>
      </c>
      <c r="M59" s="223"/>
      <c r="N59" s="223">
        <v>46050</v>
      </c>
      <c r="O59" s="210"/>
      <c r="P59" s="210"/>
    </row>
    <row r="60" spans="1:16">
      <c r="A60" s="210"/>
      <c r="B60" s="210" t="s">
        <v>174</v>
      </c>
      <c r="C60" s="222" t="s">
        <v>1847</v>
      </c>
      <c r="D60" s="222" t="s">
        <v>1848</v>
      </c>
      <c r="E60" s="223">
        <v>46014</v>
      </c>
      <c r="F60" s="222" t="s">
        <v>1831</v>
      </c>
      <c r="G60" s="210" t="s">
        <v>1768</v>
      </c>
      <c r="H60" s="156" t="s">
        <v>1849</v>
      </c>
      <c r="I60" s="210">
        <v>1</v>
      </c>
      <c r="J60" s="210" t="s">
        <v>1778</v>
      </c>
      <c r="K60" s="214">
        <v>3300000</v>
      </c>
      <c r="L60" s="214">
        <f t="shared" si="1"/>
        <v>3300000</v>
      </c>
      <c r="M60" s="223"/>
      <c r="N60" s="223">
        <v>46050</v>
      </c>
      <c r="O60" s="210"/>
      <c r="P60" s="210"/>
    </row>
    <row r="61" spans="1:16">
      <c r="A61" s="210"/>
      <c r="B61" s="210" t="s">
        <v>174</v>
      </c>
      <c r="C61" s="222" t="s">
        <v>1847</v>
      </c>
      <c r="D61" s="222" t="s">
        <v>1848</v>
      </c>
      <c r="E61" s="223">
        <v>46014</v>
      </c>
      <c r="F61" s="222" t="s">
        <v>1831</v>
      </c>
      <c r="G61" s="210" t="s">
        <v>1768</v>
      </c>
      <c r="H61" s="156" t="s">
        <v>1850</v>
      </c>
      <c r="I61" s="210">
        <v>1</v>
      </c>
      <c r="J61" s="210" t="s">
        <v>1778</v>
      </c>
      <c r="K61" s="214">
        <v>14947622</v>
      </c>
      <c r="L61" s="214">
        <f t="shared" si="1"/>
        <v>14947622</v>
      </c>
      <c r="M61" s="223"/>
      <c r="N61" s="223">
        <v>46050</v>
      </c>
      <c r="O61" s="210"/>
      <c r="P61" s="210"/>
    </row>
    <row r="62" spans="1:16">
      <c r="A62" s="210"/>
      <c r="B62" s="210" t="s">
        <v>174</v>
      </c>
      <c r="C62" s="222" t="s">
        <v>328</v>
      </c>
      <c r="D62" s="222" t="s">
        <v>329</v>
      </c>
      <c r="E62" s="223">
        <v>46020</v>
      </c>
      <c r="F62" s="222" t="s">
        <v>1851</v>
      </c>
      <c r="G62" s="210" t="s">
        <v>1760</v>
      </c>
      <c r="H62" s="156" t="s">
        <v>1852</v>
      </c>
      <c r="I62" s="210">
        <v>7</v>
      </c>
      <c r="J62" s="210" t="s">
        <v>1853</v>
      </c>
      <c r="K62" s="214">
        <v>4600000</v>
      </c>
      <c r="L62" s="214">
        <f t="shared" si="1"/>
        <v>32200000</v>
      </c>
      <c r="M62" s="223"/>
      <c r="N62" s="223">
        <v>46118</v>
      </c>
      <c r="O62" s="210"/>
      <c r="P62" s="210"/>
    </row>
    <row r="63" spans="1:16">
      <c r="A63" s="210"/>
      <c r="B63" s="210" t="s">
        <v>174</v>
      </c>
      <c r="C63" s="222" t="s">
        <v>328</v>
      </c>
      <c r="D63" s="222" t="s">
        <v>329</v>
      </c>
      <c r="E63" s="223">
        <v>46020</v>
      </c>
      <c r="F63" s="222" t="s">
        <v>1851</v>
      </c>
      <c r="G63" s="210" t="s">
        <v>1760</v>
      </c>
      <c r="H63" s="156" t="s">
        <v>1854</v>
      </c>
      <c r="I63" s="210">
        <v>29</v>
      </c>
      <c r="J63" s="210" t="s">
        <v>1855</v>
      </c>
      <c r="K63" s="214">
        <v>250000</v>
      </c>
      <c r="L63" s="214">
        <f t="shared" si="1"/>
        <v>7250000</v>
      </c>
      <c r="M63" s="223"/>
      <c r="N63" s="223">
        <v>46118</v>
      </c>
      <c r="O63" s="210"/>
      <c r="P63" s="210"/>
    </row>
    <row r="64" spans="1:16">
      <c r="A64" s="210"/>
      <c r="B64" s="210" t="s">
        <v>174</v>
      </c>
      <c r="C64" s="222" t="s">
        <v>328</v>
      </c>
      <c r="D64" s="222" t="s">
        <v>329</v>
      </c>
      <c r="E64" s="223">
        <v>46020</v>
      </c>
      <c r="F64" s="222" t="s">
        <v>1851</v>
      </c>
      <c r="G64" s="210" t="s">
        <v>1760</v>
      </c>
      <c r="H64" s="156" t="s">
        <v>1856</v>
      </c>
      <c r="I64" s="210">
        <v>70.400000000000006</v>
      </c>
      <c r="J64" s="210" t="s">
        <v>1857</v>
      </c>
      <c r="K64" s="214">
        <v>125000</v>
      </c>
      <c r="L64" s="214">
        <f t="shared" si="1"/>
        <v>8800000</v>
      </c>
      <c r="M64" s="223"/>
      <c r="N64" s="223">
        <v>46118</v>
      </c>
      <c r="O64" s="210"/>
      <c r="P64" s="210"/>
    </row>
    <row r="65" spans="1:16" ht="30" customHeight="1">
      <c r="A65" s="210"/>
      <c r="B65" s="210" t="s">
        <v>174</v>
      </c>
      <c r="C65" s="222" t="s">
        <v>328</v>
      </c>
      <c r="D65" s="222" t="s">
        <v>329</v>
      </c>
      <c r="E65" s="223">
        <v>46020</v>
      </c>
      <c r="F65" s="222" t="s">
        <v>1851</v>
      </c>
      <c r="G65" s="210" t="s">
        <v>1760</v>
      </c>
      <c r="H65" s="156" t="s">
        <v>1858</v>
      </c>
      <c r="I65" s="210">
        <v>1</v>
      </c>
      <c r="J65" s="210" t="s">
        <v>1778</v>
      </c>
      <c r="K65" s="214">
        <v>3945000</v>
      </c>
      <c r="L65" s="214">
        <f t="shared" si="1"/>
        <v>3945000</v>
      </c>
      <c r="M65" s="223"/>
      <c r="N65" s="223">
        <v>46118</v>
      </c>
      <c r="O65" s="210"/>
      <c r="P65" s="210"/>
    </row>
    <row r="66" spans="1:16">
      <c r="A66" s="210"/>
      <c r="B66" s="210" t="s">
        <v>174</v>
      </c>
      <c r="C66" s="222" t="s">
        <v>1859</v>
      </c>
      <c r="D66" s="222" t="s">
        <v>1860</v>
      </c>
      <c r="E66" s="223">
        <v>46097</v>
      </c>
      <c r="F66" s="222" t="s">
        <v>1861</v>
      </c>
      <c r="G66" s="210" t="s">
        <v>1768</v>
      </c>
      <c r="H66" s="156" t="s">
        <v>1862</v>
      </c>
      <c r="I66" s="210">
        <v>100</v>
      </c>
      <c r="J66" s="210" t="s">
        <v>1770</v>
      </c>
      <c r="K66" s="214">
        <v>22500</v>
      </c>
      <c r="L66" s="214">
        <f t="shared" si="1"/>
        <v>2250000</v>
      </c>
      <c r="M66" s="223"/>
      <c r="N66" s="223">
        <v>46118</v>
      </c>
      <c r="O66" s="210"/>
      <c r="P66" s="210"/>
    </row>
    <row r="67" spans="1:16">
      <c r="A67" s="210"/>
      <c r="B67" s="210" t="s">
        <v>174</v>
      </c>
      <c r="C67" s="222" t="s">
        <v>1859</v>
      </c>
      <c r="D67" s="222" t="s">
        <v>1860</v>
      </c>
      <c r="E67" s="223">
        <v>46097</v>
      </c>
      <c r="F67" s="222" t="s">
        <v>1861</v>
      </c>
      <c r="G67" s="210" t="s">
        <v>1768</v>
      </c>
      <c r="H67" s="156" t="s">
        <v>1863</v>
      </c>
      <c r="I67" s="210">
        <v>1</v>
      </c>
      <c r="J67" s="210" t="s">
        <v>192</v>
      </c>
      <c r="K67" s="214">
        <v>1500000</v>
      </c>
      <c r="L67" s="214">
        <f t="shared" si="1"/>
        <v>1500000</v>
      </c>
      <c r="M67" s="223"/>
      <c r="N67" s="223">
        <v>46118</v>
      </c>
      <c r="O67" s="210"/>
      <c r="P67" s="210"/>
    </row>
    <row r="68" spans="1:16">
      <c r="A68" s="210"/>
      <c r="B68" s="210" t="s">
        <v>174</v>
      </c>
      <c r="C68" s="222" t="s">
        <v>1859</v>
      </c>
      <c r="D68" s="222" t="s">
        <v>1860</v>
      </c>
      <c r="E68" s="223">
        <v>46097</v>
      </c>
      <c r="F68" s="222" t="s">
        <v>1861</v>
      </c>
      <c r="G68" s="210" t="s">
        <v>1768</v>
      </c>
      <c r="H68" s="156" t="s">
        <v>1864</v>
      </c>
      <c r="I68" s="210">
        <v>1</v>
      </c>
      <c r="J68" s="210" t="s">
        <v>1778</v>
      </c>
      <c r="K68" s="214">
        <v>500000</v>
      </c>
      <c r="L68" s="214">
        <f t="shared" ref="L68:L99" si="2">+I68*K68</f>
        <v>500000</v>
      </c>
      <c r="M68" s="223"/>
      <c r="N68" s="223">
        <v>46118</v>
      </c>
      <c r="O68" s="210"/>
      <c r="P68" s="210"/>
    </row>
    <row r="69" spans="1:16">
      <c r="A69" s="210"/>
      <c r="B69" s="210" t="s">
        <v>174</v>
      </c>
      <c r="C69" s="222" t="s">
        <v>1859</v>
      </c>
      <c r="D69" s="222" t="s">
        <v>1860</v>
      </c>
      <c r="E69" s="223">
        <v>46097</v>
      </c>
      <c r="F69" s="222" t="s">
        <v>1861</v>
      </c>
      <c r="G69" s="210" t="s">
        <v>1768</v>
      </c>
      <c r="H69" s="156" t="s">
        <v>1865</v>
      </c>
      <c r="I69" s="210">
        <v>1</v>
      </c>
      <c r="J69" s="210" t="s">
        <v>1778</v>
      </c>
      <c r="K69" s="214">
        <v>1000000</v>
      </c>
      <c r="L69" s="214">
        <f t="shared" si="2"/>
        <v>1000000</v>
      </c>
      <c r="M69" s="223"/>
      <c r="N69" s="223">
        <v>46118</v>
      </c>
      <c r="O69" s="210"/>
      <c r="P69" s="210"/>
    </row>
    <row r="70" spans="1:16" ht="30" customHeight="1">
      <c r="A70" s="210"/>
      <c r="B70" s="210" t="s">
        <v>174</v>
      </c>
      <c r="C70" s="222" t="s">
        <v>1859</v>
      </c>
      <c r="D70" s="222" t="s">
        <v>1860</v>
      </c>
      <c r="E70" s="223">
        <v>46097</v>
      </c>
      <c r="F70" s="222" t="s">
        <v>1861</v>
      </c>
      <c r="G70" s="210" t="s">
        <v>1768</v>
      </c>
      <c r="H70" s="156" t="s">
        <v>1866</v>
      </c>
      <c r="I70" s="210">
        <v>1</v>
      </c>
      <c r="J70" s="210" t="s">
        <v>1778</v>
      </c>
      <c r="K70" s="214">
        <v>950000</v>
      </c>
      <c r="L70" s="214">
        <f t="shared" si="2"/>
        <v>950000</v>
      </c>
      <c r="M70" s="223"/>
      <c r="N70" s="223">
        <v>46118</v>
      </c>
      <c r="O70" s="210"/>
      <c r="P70" s="210"/>
    </row>
    <row r="71" spans="1:16" ht="30" customHeight="1">
      <c r="A71" s="210"/>
      <c r="B71" s="210" t="s">
        <v>174</v>
      </c>
      <c r="C71" s="222" t="s">
        <v>1859</v>
      </c>
      <c r="D71" s="222" t="s">
        <v>1860</v>
      </c>
      <c r="E71" s="223">
        <v>46097</v>
      </c>
      <c r="F71" s="222" t="s">
        <v>1861</v>
      </c>
      <c r="G71" s="210" t="s">
        <v>1768</v>
      </c>
      <c r="H71" s="156" t="s">
        <v>1867</v>
      </c>
      <c r="I71" s="210">
        <v>1</v>
      </c>
      <c r="J71" s="210" t="s">
        <v>296</v>
      </c>
      <c r="K71" s="214">
        <v>4000000</v>
      </c>
      <c r="L71" s="214">
        <f t="shared" si="2"/>
        <v>4000000</v>
      </c>
      <c r="M71" s="223"/>
      <c r="N71" s="223">
        <v>46118</v>
      </c>
      <c r="O71" s="210"/>
      <c r="P71" s="210"/>
    </row>
    <row r="72" spans="1:16">
      <c r="A72" s="210"/>
      <c r="B72" s="210" t="s">
        <v>174</v>
      </c>
      <c r="C72" s="222" t="s">
        <v>1868</v>
      </c>
      <c r="D72" s="222" t="s">
        <v>1869</v>
      </c>
      <c r="E72" s="223">
        <v>46034</v>
      </c>
      <c r="F72" s="222" t="s">
        <v>1870</v>
      </c>
      <c r="G72" s="210" t="s">
        <v>1760</v>
      </c>
      <c r="H72" s="156" t="s">
        <v>1871</v>
      </c>
      <c r="I72" s="210">
        <v>5</v>
      </c>
      <c r="J72" s="210" t="s">
        <v>1822</v>
      </c>
      <c r="K72" s="214">
        <v>600000</v>
      </c>
      <c r="L72" s="214">
        <f t="shared" si="2"/>
        <v>3000000</v>
      </c>
      <c r="M72" s="223"/>
      <c r="N72" s="223">
        <v>46051</v>
      </c>
      <c r="O72" s="210"/>
      <c r="P72" s="210"/>
    </row>
    <row r="73" spans="1:16">
      <c r="A73" s="210"/>
      <c r="B73" s="210" t="s">
        <v>174</v>
      </c>
      <c r="C73" s="222" t="s">
        <v>1868</v>
      </c>
      <c r="D73" s="222" t="s">
        <v>1869</v>
      </c>
      <c r="E73" s="223">
        <v>46034</v>
      </c>
      <c r="F73" s="222" t="s">
        <v>1870</v>
      </c>
      <c r="G73" s="210" t="s">
        <v>1760</v>
      </c>
      <c r="H73" s="156" t="s">
        <v>1872</v>
      </c>
      <c r="I73" s="210">
        <v>5</v>
      </c>
      <c r="J73" s="210" t="s">
        <v>1822</v>
      </c>
      <c r="K73" s="214">
        <v>2800000</v>
      </c>
      <c r="L73" s="214">
        <f t="shared" si="2"/>
        <v>14000000</v>
      </c>
      <c r="M73" s="223"/>
      <c r="N73" s="223">
        <v>46051</v>
      </c>
      <c r="O73" s="210"/>
      <c r="P73" s="210"/>
    </row>
    <row r="74" spans="1:16">
      <c r="A74" s="210"/>
      <c r="B74" s="210" t="s">
        <v>174</v>
      </c>
      <c r="C74" s="222" t="s">
        <v>1868</v>
      </c>
      <c r="D74" s="222" t="s">
        <v>1869</v>
      </c>
      <c r="E74" s="223">
        <v>46034</v>
      </c>
      <c r="F74" s="222" t="s">
        <v>1870</v>
      </c>
      <c r="G74" s="210" t="s">
        <v>1760</v>
      </c>
      <c r="H74" s="156" t="s">
        <v>1873</v>
      </c>
      <c r="I74" s="210">
        <v>5</v>
      </c>
      <c r="J74" s="210" t="s">
        <v>1822</v>
      </c>
      <c r="K74" s="214">
        <v>600000</v>
      </c>
      <c r="L74" s="214">
        <f t="shared" si="2"/>
        <v>3000000</v>
      </c>
      <c r="M74" s="223"/>
      <c r="N74" s="223">
        <v>46051</v>
      </c>
      <c r="O74" s="210"/>
      <c r="P74" s="210"/>
    </row>
    <row r="75" spans="1:16">
      <c r="A75" s="210"/>
      <c r="B75" s="210" t="s">
        <v>174</v>
      </c>
      <c r="C75" s="222" t="s">
        <v>1868</v>
      </c>
      <c r="D75" s="222" t="s">
        <v>1869</v>
      </c>
      <c r="E75" s="223">
        <v>46034</v>
      </c>
      <c r="F75" s="222" t="s">
        <v>1870</v>
      </c>
      <c r="G75" s="210" t="s">
        <v>1768</v>
      </c>
      <c r="H75" s="156" t="s">
        <v>1874</v>
      </c>
      <c r="I75" s="210">
        <v>5</v>
      </c>
      <c r="J75" s="210" t="s">
        <v>1822</v>
      </c>
      <c r="K75" s="214">
        <v>3900000</v>
      </c>
      <c r="L75" s="214">
        <f t="shared" si="2"/>
        <v>19500000</v>
      </c>
      <c r="M75" s="223"/>
      <c r="N75" s="223">
        <v>46051</v>
      </c>
      <c r="O75" s="210"/>
      <c r="P75" s="210"/>
    </row>
    <row r="76" spans="1:16">
      <c r="A76" s="210"/>
      <c r="B76" s="210" t="s">
        <v>174</v>
      </c>
      <c r="C76" s="222" t="s">
        <v>1868</v>
      </c>
      <c r="D76" s="222" t="s">
        <v>1869</v>
      </c>
      <c r="E76" s="223">
        <v>46034</v>
      </c>
      <c r="F76" s="222" t="s">
        <v>1870</v>
      </c>
      <c r="G76" s="210" t="s">
        <v>1768</v>
      </c>
      <c r="H76" s="156" t="s">
        <v>1873</v>
      </c>
      <c r="I76" s="210">
        <v>5</v>
      </c>
      <c r="J76" s="210" t="s">
        <v>1822</v>
      </c>
      <c r="K76" s="214">
        <v>600000</v>
      </c>
      <c r="L76" s="214">
        <f t="shared" si="2"/>
        <v>3000000</v>
      </c>
      <c r="M76" s="223"/>
      <c r="N76" s="223">
        <v>46051</v>
      </c>
      <c r="O76" s="210"/>
      <c r="P76" s="210"/>
    </row>
    <row r="77" spans="1:16" ht="30" customHeight="1">
      <c r="A77" s="210"/>
      <c r="B77" s="210" t="s">
        <v>174</v>
      </c>
      <c r="C77" s="222" t="s">
        <v>1875</v>
      </c>
      <c r="D77" s="222" t="s">
        <v>1876</v>
      </c>
      <c r="E77" s="223">
        <v>46036</v>
      </c>
      <c r="F77" s="222" t="s">
        <v>1877</v>
      </c>
      <c r="G77" s="210" t="s">
        <v>1768</v>
      </c>
      <c r="H77" s="156" t="s">
        <v>1878</v>
      </c>
      <c r="I77" s="210">
        <v>1</v>
      </c>
      <c r="J77" s="210" t="s">
        <v>1778</v>
      </c>
      <c r="K77" s="214">
        <v>4000000</v>
      </c>
      <c r="L77" s="214">
        <f t="shared" si="2"/>
        <v>4000000</v>
      </c>
      <c r="M77" s="223"/>
      <c r="N77" s="223"/>
      <c r="O77" s="210"/>
      <c r="P77" s="210"/>
    </row>
    <row r="78" spans="1:16">
      <c r="A78" s="210"/>
      <c r="B78" s="210" t="s">
        <v>174</v>
      </c>
      <c r="C78" s="222" t="s">
        <v>81</v>
      </c>
      <c r="D78" s="222" t="s">
        <v>82</v>
      </c>
      <c r="E78" s="223">
        <v>46058</v>
      </c>
      <c r="F78" s="222" t="s">
        <v>1879</v>
      </c>
      <c r="G78" s="210" t="s">
        <v>1768</v>
      </c>
      <c r="H78" s="156" t="s">
        <v>1880</v>
      </c>
      <c r="I78" s="210">
        <v>1</v>
      </c>
      <c r="J78" s="210" t="s">
        <v>199</v>
      </c>
      <c r="K78" s="214">
        <v>250000</v>
      </c>
      <c r="L78" s="214">
        <f t="shared" si="2"/>
        <v>250000</v>
      </c>
      <c r="M78" s="223"/>
      <c r="N78" s="223">
        <v>46118</v>
      </c>
      <c r="O78" s="210"/>
      <c r="P78" s="210" t="s">
        <v>1881</v>
      </c>
    </row>
    <row r="79" spans="1:16">
      <c r="A79" s="210"/>
      <c r="B79" s="210" t="s">
        <v>174</v>
      </c>
      <c r="C79" s="222" t="s">
        <v>81</v>
      </c>
      <c r="D79" s="222" t="s">
        <v>82</v>
      </c>
      <c r="E79" s="223">
        <v>46058</v>
      </c>
      <c r="F79" s="222" t="s">
        <v>1879</v>
      </c>
      <c r="G79" s="210" t="s">
        <v>1768</v>
      </c>
      <c r="H79" s="156" t="s">
        <v>1882</v>
      </c>
      <c r="I79" s="210">
        <v>2</v>
      </c>
      <c r="J79" s="210" t="s">
        <v>192</v>
      </c>
      <c r="K79" s="214">
        <v>350000</v>
      </c>
      <c r="L79" s="214">
        <f t="shared" si="2"/>
        <v>700000</v>
      </c>
      <c r="M79" s="223"/>
      <c r="N79" s="223">
        <v>46118</v>
      </c>
      <c r="O79" s="210"/>
      <c r="P79" s="210" t="s">
        <v>1881</v>
      </c>
    </row>
    <row r="80" spans="1:16" ht="30" customHeight="1">
      <c r="A80" s="210"/>
      <c r="B80" s="210" t="s">
        <v>174</v>
      </c>
      <c r="C80" s="222" t="s">
        <v>81</v>
      </c>
      <c r="D80" s="222" t="s">
        <v>82</v>
      </c>
      <c r="E80" s="223">
        <v>46058</v>
      </c>
      <c r="F80" s="222" t="s">
        <v>1879</v>
      </c>
      <c r="G80" s="210" t="s">
        <v>1768</v>
      </c>
      <c r="H80" s="156" t="s">
        <v>1883</v>
      </c>
      <c r="I80" s="210">
        <v>7</v>
      </c>
      <c r="J80" s="210" t="s">
        <v>1770</v>
      </c>
      <c r="K80" s="214">
        <v>165000</v>
      </c>
      <c r="L80" s="214">
        <f t="shared" si="2"/>
        <v>1155000</v>
      </c>
      <c r="M80" s="223"/>
      <c r="N80" s="223">
        <v>46118</v>
      </c>
      <c r="O80" s="210"/>
      <c r="P80" s="210" t="s">
        <v>1881</v>
      </c>
    </row>
    <row r="81" spans="1:16">
      <c r="A81" s="210"/>
      <c r="B81" s="210" t="s">
        <v>174</v>
      </c>
      <c r="C81" s="222" t="s">
        <v>81</v>
      </c>
      <c r="D81" s="222" t="s">
        <v>82</v>
      </c>
      <c r="E81" s="223">
        <v>46058</v>
      </c>
      <c r="F81" s="222" t="s">
        <v>1879</v>
      </c>
      <c r="G81" s="210" t="s">
        <v>1768</v>
      </c>
      <c r="H81" s="156" t="s">
        <v>1884</v>
      </c>
      <c r="I81" s="210">
        <v>60</v>
      </c>
      <c r="J81" s="210" t="s">
        <v>1770</v>
      </c>
      <c r="K81" s="214">
        <v>35000</v>
      </c>
      <c r="L81" s="214">
        <f t="shared" si="2"/>
        <v>2100000</v>
      </c>
      <c r="M81" s="223"/>
      <c r="N81" s="223">
        <v>46118</v>
      </c>
      <c r="O81" s="210"/>
      <c r="P81" s="210" t="s">
        <v>1881</v>
      </c>
    </row>
    <row r="82" spans="1:16">
      <c r="A82" s="210"/>
      <c r="B82" s="210" t="s">
        <v>174</v>
      </c>
      <c r="C82" s="222" t="s">
        <v>1885</v>
      </c>
      <c r="D82" s="222" t="s">
        <v>1886</v>
      </c>
      <c r="E82" s="223">
        <v>46062</v>
      </c>
      <c r="F82" s="222" t="s">
        <v>1887</v>
      </c>
      <c r="G82" s="210" t="s">
        <v>1768</v>
      </c>
      <c r="H82" s="156" t="s">
        <v>1888</v>
      </c>
      <c r="I82" s="210">
        <v>40</v>
      </c>
      <c r="J82" s="210" t="s">
        <v>1770</v>
      </c>
      <c r="K82" s="214">
        <v>20000</v>
      </c>
      <c r="L82" s="214">
        <f t="shared" si="2"/>
        <v>800000</v>
      </c>
      <c r="M82" s="223"/>
      <c r="N82" s="223">
        <v>46118</v>
      </c>
      <c r="O82" s="210" t="s">
        <v>1889</v>
      </c>
      <c r="P82" s="210"/>
    </row>
    <row r="83" spans="1:16">
      <c r="A83" s="210"/>
      <c r="B83" s="210" t="s">
        <v>174</v>
      </c>
      <c r="C83" s="222" t="s">
        <v>1885</v>
      </c>
      <c r="D83" s="222" t="s">
        <v>1886</v>
      </c>
      <c r="E83" s="223">
        <v>46062</v>
      </c>
      <c r="F83" s="222" t="s">
        <v>1887</v>
      </c>
      <c r="G83" s="210" t="s">
        <v>1768</v>
      </c>
      <c r="H83" s="156" t="s">
        <v>1890</v>
      </c>
      <c r="I83" s="210">
        <v>90</v>
      </c>
      <c r="J83" s="210" t="s">
        <v>1770</v>
      </c>
      <c r="K83" s="214">
        <v>35000</v>
      </c>
      <c r="L83" s="214">
        <f t="shared" si="2"/>
        <v>3150000</v>
      </c>
      <c r="M83" s="223"/>
      <c r="N83" s="223">
        <v>46118</v>
      </c>
      <c r="O83" s="210" t="s">
        <v>1889</v>
      </c>
      <c r="P83" s="210"/>
    </row>
    <row r="84" spans="1:16">
      <c r="A84" s="210"/>
      <c r="B84" s="210" t="s">
        <v>174</v>
      </c>
      <c r="C84" s="222" t="s">
        <v>1885</v>
      </c>
      <c r="D84" s="222" t="s">
        <v>1886</v>
      </c>
      <c r="E84" s="223">
        <v>46062</v>
      </c>
      <c r="F84" s="222" t="s">
        <v>1887</v>
      </c>
      <c r="G84" s="210" t="s">
        <v>1768</v>
      </c>
      <c r="H84" s="156" t="s">
        <v>1891</v>
      </c>
      <c r="I84" s="210">
        <v>120</v>
      </c>
      <c r="J84" s="210" t="s">
        <v>1770</v>
      </c>
      <c r="K84" s="214">
        <v>35000</v>
      </c>
      <c r="L84" s="214">
        <f t="shared" si="2"/>
        <v>4200000</v>
      </c>
      <c r="M84" s="223"/>
      <c r="N84" s="223">
        <v>46118</v>
      </c>
      <c r="O84" s="210" t="s">
        <v>1889</v>
      </c>
      <c r="P84" s="210"/>
    </row>
    <row r="85" spans="1:16">
      <c r="A85" s="210"/>
      <c r="B85" s="210" t="s">
        <v>174</v>
      </c>
      <c r="C85" s="222" t="s">
        <v>1885</v>
      </c>
      <c r="D85" s="222" t="s">
        <v>1886</v>
      </c>
      <c r="E85" s="223">
        <v>46062</v>
      </c>
      <c r="F85" s="222" t="s">
        <v>1887</v>
      </c>
      <c r="G85" s="210" t="s">
        <v>1768</v>
      </c>
      <c r="H85" s="156" t="s">
        <v>1892</v>
      </c>
      <c r="I85" s="210">
        <v>70</v>
      </c>
      <c r="J85" s="210" t="s">
        <v>1770</v>
      </c>
      <c r="K85" s="214">
        <v>35000</v>
      </c>
      <c r="L85" s="214">
        <f t="shared" si="2"/>
        <v>2450000</v>
      </c>
      <c r="M85" s="223"/>
      <c r="N85" s="223">
        <v>46118</v>
      </c>
      <c r="O85" s="210" t="s">
        <v>1889</v>
      </c>
      <c r="P85" s="210"/>
    </row>
    <row r="86" spans="1:16">
      <c r="A86" s="210"/>
      <c r="B86" s="210" t="s">
        <v>174</v>
      </c>
      <c r="C86" s="222" t="s">
        <v>1893</v>
      </c>
      <c r="D86" s="222" t="s">
        <v>1894</v>
      </c>
      <c r="E86" s="223">
        <v>46065</v>
      </c>
      <c r="F86" s="222" t="s">
        <v>1895</v>
      </c>
      <c r="G86" s="210" t="s">
        <v>1768</v>
      </c>
      <c r="H86" s="156" t="s">
        <v>1896</v>
      </c>
      <c r="I86" s="210">
        <v>16</v>
      </c>
      <c r="J86" s="210" t="s">
        <v>1770</v>
      </c>
      <c r="K86" s="214">
        <v>35000</v>
      </c>
      <c r="L86" s="214">
        <f t="shared" si="2"/>
        <v>560000</v>
      </c>
      <c r="M86" s="223"/>
      <c r="N86" s="223">
        <v>46135</v>
      </c>
      <c r="O86" s="210"/>
      <c r="P86" s="210"/>
    </row>
    <row r="87" spans="1:16" ht="30" customHeight="1">
      <c r="A87" s="210"/>
      <c r="B87" s="210" t="s">
        <v>174</v>
      </c>
      <c r="C87" s="222" t="s">
        <v>53</v>
      </c>
      <c r="D87" s="222" t="s">
        <v>54</v>
      </c>
      <c r="E87" s="223">
        <v>46080</v>
      </c>
      <c r="F87" s="222" t="s">
        <v>1897</v>
      </c>
      <c r="G87" s="210" t="s">
        <v>1768</v>
      </c>
      <c r="H87" s="156" t="s">
        <v>1867</v>
      </c>
      <c r="I87" s="210">
        <v>1</v>
      </c>
      <c r="J87" s="210" t="s">
        <v>296</v>
      </c>
      <c r="K87" s="214">
        <v>4000000</v>
      </c>
      <c r="L87" s="214">
        <f t="shared" si="2"/>
        <v>4000000</v>
      </c>
      <c r="M87" s="223"/>
      <c r="N87" s="223">
        <v>46147</v>
      </c>
      <c r="O87" s="210"/>
      <c r="P87" s="210"/>
    </row>
    <row r="88" spans="1:16">
      <c r="A88" s="210"/>
      <c r="B88" s="210" t="s">
        <v>174</v>
      </c>
      <c r="C88" s="222" t="s">
        <v>53</v>
      </c>
      <c r="D88" s="222" t="s">
        <v>54</v>
      </c>
      <c r="E88" s="223">
        <v>46080</v>
      </c>
      <c r="F88" s="222" t="s">
        <v>1897</v>
      </c>
      <c r="G88" s="210" t="s">
        <v>1768</v>
      </c>
      <c r="H88" s="156" t="s">
        <v>1825</v>
      </c>
      <c r="I88" s="210">
        <v>1</v>
      </c>
      <c r="J88" s="210" t="s">
        <v>296</v>
      </c>
      <c r="K88" s="214">
        <v>7000000</v>
      </c>
      <c r="L88" s="214">
        <f t="shared" si="2"/>
        <v>7000000</v>
      </c>
      <c r="M88" s="223"/>
      <c r="N88" s="223">
        <v>46147</v>
      </c>
      <c r="O88" s="210"/>
      <c r="P88" s="210"/>
    </row>
    <row r="89" spans="1:16">
      <c r="A89" s="210"/>
      <c r="B89" s="210" t="s">
        <v>174</v>
      </c>
      <c r="C89" s="222" t="s">
        <v>1898</v>
      </c>
      <c r="D89" s="222" t="s">
        <v>1899</v>
      </c>
      <c r="E89" s="223">
        <v>46093</v>
      </c>
      <c r="F89" s="222" t="s">
        <v>1900</v>
      </c>
      <c r="G89" s="210" t="s">
        <v>1768</v>
      </c>
      <c r="H89" s="156" t="s">
        <v>1901</v>
      </c>
      <c r="I89" s="210">
        <v>200</v>
      </c>
      <c r="J89" s="210" t="s">
        <v>1770</v>
      </c>
      <c r="K89" s="214">
        <v>5000</v>
      </c>
      <c r="L89" s="214">
        <f t="shared" si="2"/>
        <v>1000000</v>
      </c>
      <c r="M89" s="223"/>
      <c r="N89" s="223">
        <v>46135</v>
      </c>
      <c r="O89" s="210"/>
      <c r="P89" s="210"/>
    </row>
    <row r="90" spans="1:16">
      <c r="A90" s="210"/>
      <c r="B90" s="210" t="s">
        <v>174</v>
      </c>
      <c r="C90" s="222" t="s">
        <v>1898</v>
      </c>
      <c r="D90" s="222" t="s">
        <v>1899</v>
      </c>
      <c r="E90" s="223">
        <v>46093</v>
      </c>
      <c r="F90" s="222" t="s">
        <v>1900</v>
      </c>
      <c r="G90" s="210" t="s">
        <v>1768</v>
      </c>
      <c r="H90" s="156" t="s">
        <v>1902</v>
      </c>
      <c r="I90" s="210">
        <v>1</v>
      </c>
      <c r="J90" s="210" t="s">
        <v>192</v>
      </c>
      <c r="K90" s="214">
        <v>350000</v>
      </c>
      <c r="L90" s="214">
        <f t="shared" si="2"/>
        <v>350000</v>
      </c>
      <c r="M90" s="223"/>
      <c r="N90" s="223">
        <v>46135</v>
      </c>
      <c r="O90" s="210"/>
      <c r="P90" s="210"/>
    </row>
    <row r="91" spans="1:16">
      <c r="A91" s="210"/>
      <c r="B91" s="210" t="s">
        <v>174</v>
      </c>
      <c r="C91" s="222" t="s">
        <v>1898</v>
      </c>
      <c r="D91" s="222" t="s">
        <v>1899</v>
      </c>
      <c r="E91" s="223">
        <v>46093</v>
      </c>
      <c r="F91" s="222" t="s">
        <v>1900</v>
      </c>
      <c r="G91" s="210" t="s">
        <v>1768</v>
      </c>
      <c r="H91" s="156" t="s">
        <v>1903</v>
      </c>
      <c r="I91" s="210">
        <v>144</v>
      </c>
      <c r="J91" s="210" t="s">
        <v>1904</v>
      </c>
      <c r="K91" s="214">
        <v>40000</v>
      </c>
      <c r="L91" s="214">
        <f t="shared" si="2"/>
        <v>5760000</v>
      </c>
      <c r="M91" s="223"/>
      <c r="N91" s="223">
        <v>46135</v>
      </c>
      <c r="O91" s="210" t="s">
        <v>1905</v>
      </c>
      <c r="P91" s="210"/>
    </row>
    <row r="92" spans="1:16">
      <c r="A92" s="210"/>
      <c r="B92" s="210" t="s">
        <v>174</v>
      </c>
      <c r="C92" s="222" t="s">
        <v>1906</v>
      </c>
      <c r="D92" s="222" t="s">
        <v>1907</v>
      </c>
      <c r="E92" s="223">
        <v>46119</v>
      </c>
      <c r="F92" s="222" t="s">
        <v>1908</v>
      </c>
      <c r="G92" s="210" t="s">
        <v>1768</v>
      </c>
      <c r="H92" s="156" t="s">
        <v>1909</v>
      </c>
      <c r="I92" s="210">
        <v>50</v>
      </c>
      <c r="J92" s="210" t="s">
        <v>1770</v>
      </c>
      <c r="K92" s="214">
        <v>14000</v>
      </c>
      <c r="L92" s="214">
        <f t="shared" si="2"/>
        <v>700000</v>
      </c>
      <c r="M92" s="223"/>
      <c r="N92" s="223"/>
      <c r="O92" s="210"/>
      <c r="P92" s="210"/>
    </row>
    <row r="93" spans="1:16" ht="30" customHeight="1">
      <c r="A93" s="210"/>
      <c r="B93" s="210" t="s">
        <v>174</v>
      </c>
      <c r="C93" s="222" t="s">
        <v>1906</v>
      </c>
      <c r="D93" s="222" t="s">
        <v>1907</v>
      </c>
      <c r="E93" s="223">
        <v>46119</v>
      </c>
      <c r="F93" s="222" t="s">
        <v>1908</v>
      </c>
      <c r="G93" s="210" t="s">
        <v>1768</v>
      </c>
      <c r="H93" s="156" t="s">
        <v>1867</v>
      </c>
      <c r="I93" s="210">
        <v>1</v>
      </c>
      <c r="J93" s="210" t="s">
        <v>296</v>
      </c>
      <c r="K93" s="214">
        <v>4000000</v>
      </c>
      <c r="L93" s="214">
        <f t="shared" si="2"/>
        <v>4000000</v>
      </c>
      <c r="M93" s="223"/>
      <c r="N93" s="223"/>
      <c r="O93" s="210"/>
      <c r="P93" s="210"/>
    </row>
    <row r="94" spans="1:16">
      <c r="A94" s="210"/>
      <c r="B94" s="210" t="s">
        <v>174</v>
      </c>
      <c r="C94" s="222" t="s">
        <v>1906</v>
      </c>
      <c r="D94" s="222" t="s">
        <v>1907</v>
      </c>
      <c r="E94" s="223">
        <v>46119</v>
      </c>
      <c r="F94" s="222" t="s">
        <v>1908</v>
      </c>
      <c r="G94" s="210" t="s">
        <v>1768</v>
      </c>
      <c r="H94" s="156" t="s">
        <v>1910</v>
      </c>
      <c r="I94" s="210">
        <v>1.56</v>
      </c>
      <c r="J94" s="210" t="s">
        <v>1857</v>
      </c>
      <c r="K94" s="214">
        <v>43698</v>
      </c>
      <c r="L94" s="214">
        <f t="shared" si="2"/>
        <v>68168.88</v>
      </c>
      <c r="M94" s="223"/>
      <c r="N94" s="223"/>
      <c r="O94" s="210"/>
      <c r="P94" s="210"/>
    </row>
    <row r="95" spans="1:16">
      <c r="A95" s="210"/>
      <c r="B95" s="210" t="s">
        <v>174</v>
      </c>
      <c r="C95" s="222" t="s">
        <v>1906</v>
      </c>
      <c r="D95" s="222" t="s">
        <v>1907</v>
      </c>
      <c r="E95" s="223">
        <v>46119</v>
      </c>
      <c r="F95" s="222" t="s">
        <v>1908</v>
      </c>
      <c r="G95" s="210" t="s">
        <v>1768</v>
      </c>
      <c r="H95" s="156" t="s">
        <v>1911</v>
      </c>
      <c r="I95" s="210">
        <v>0.55000000000000004</v>
      </c>
      <c r="J95" s="210" t="s">
        <v>1857</v>
      </c>
      <c r="K95" s="214">
        <v>34656</v>
      </c>
      <c r="L95" s="214">
        <f t="shared" si="2"/>
        <v>19060.800000000003</v>
      </c>
      <c r="M95" s="223"/>
      <c r="N95" s="223"/>
      <c r="O95" s="210"/>
      <c r="P95" s="210"/>
    </row>
    <row r="96" spans="1:16" ht="30" customHeight="1">
      <c r="A96" s="210"/>
      <c r="B96" s="210" t="s">
        <v>174</v>
      </c>
      <c r="C96" s="222" t="s">
        <v>1906</v>
      </c>
      <c r="D96" s="222" t="s">
        <v>1907</v>
      </c>
      <c r="E96" s="223">
        <v>46119</v>
      </c>
      <c r="F96" s="222" t="s">
        <v>1908</v>
      </c>
      <c r="G96" s="210" t="s">
        <v>1768</v>
      </c>
      <c r="H96" s="156" t="s">
        <v>1912</v>
      </c>
      <c r="I96" s="210">
        <v>0.53</v>
      </c>
      <c r="J96" s="210" t="s">
        <v>1857</v>
      </c>
      <c r="K96" s="214">
        <v>2084061</v>
      </c>
      <c r="L96" s="214">
        <f t="shared" si="2"/>
        <v>1104552.33</v>
      </c>
      <c r="M96" s="223"/>
      <c r="N96" s="223"/>
      <c r="O96" s="210"/>
      <c r="P96" s="210"/>
    </row>
    <row r="97" spans="1:16">
      <c r="A97" s="210"/>
      <c r="B97" s="210" t="s">
        <v>174</v>
      </c>
      <c r="C97" s="222" t="s">
        <v>1906</v>
      </c>
      <c r="D97" s="222" t="s">
        <v>1907</v>
      </c>
      <c r="E97" s="223">
        <v>46119</v>
      </c>
      <c r="F97" s="222" t="s">
        <v>1908</v>
      </c>
      <c r="G97" s="210" t="s">
        <v>1768</v>
      </c>
      <c r="H97" s="156" t="s">
        <v>1913</v>
      </c>
      <c r="I97" s="210">
        <v>3.27</v>
      </c>
      <c r="J97" s="210" t="s">
        <v>1857</v>
      </c>
      <c r="K97" s="214">
        <v>483357</v>
      </c>
      <c r="L97" s="214">
        <f t="shared" si="2"/>
        <v>1580577.39</v>
      </c>
      <c r="M97" s="223"/>
      <c r="N97" s="223"/>
      <c r="O97" s="210"/>
      <c r="P97" s="210"/>
    </row>
    <row r="98" spans="1:16">
      <c r="A98" s="210"/>
      <c r="B98" s="210" t="s">
        <v>174</v>
      </c>
      <c r="C98" s="222" t="s">
        <v>1906</v>
      </c>
      <c r="D98" s="222" t="s">
        <v>1907</v>
      </c>
      <c r="E98" s="223">
        <v>46119</v>
      </c>
      <c r="F98" s="222" t="s">
        <v>1908</v>
      </c>
      <c r="G98" s="210" t="s">
        <v>1768</v>
      </c>
      <c r="H98" s="156" t="s">
        <v>1914</v>
      </c>
      <c r="I98" s="210">
        <v>0.2</v>
      </c>
      <c r="J98" s="210" t="s">
        <v>1857</v>
      </c>
      <c r="K98" s="214">
        <v>270160</v>
      </c>
      <c r="L98" s="214">
        <f t="shared" si="2"/>
        <v>54032</v>
      </c>
      <c r="M98" s="223"/>
      <c r="N98" s="223"/>
      <c r="O98" s="210"/>
      <c r="P98" s="210"/>
    </row>
    <row r="99" spans="1:16">
      <c r="A99" s="210"/>
      <c r="B99" s="210" t="s">
        <v>174</v>
      </c>
      <c r="C99" s="222" t="s">
        <v>557</v>
      </c>
      <c r="D99" s="222" t="s">
        <v>558</v>
      </c>
      <c r="E99" s="223">
        <v>46127</v>
      </c>
      <c r="F99" s="222" t="s">
        <v>1915</v>
      </c>
      <c r="G99" s="210" t="s">
        <v>1768</v>
      </c>
      <c r="H99" s="156" t="s">
        <v>1916</v>
      </c>
      <c r="I99" s="210">
        <v>90</v>
      </c>
      <c r="J99" s="210" t="s">
        <v>1770</v>
      </c>
      <c r="K99" s="214">
        <v>5000</v>
      </c>
      <c r="L99" s="214">
        <f t="shared" si="2"/>
        <v>450000</v>
      </c>
      <c r="M99" s="223">
        <v>46142</v>
      </c>
      <c r="N99" s="223">
        <v>46147</v>
      </c>
      <c r="O99" s="210" t="s">
        <v>1917</v>
      </c>
      <c r="P99" s="210"/>
    </row>
    <row r="100" spans="1:16">
      <c r="A100" s="210"/>
      <c r="B100" s="210" t="s">
        <v>174</v>
      </c>
      <c r="C100" s="222" t="s">
        <v>557</v>
      </c>
      <c r="D100" s="222" t="s">
        <v>558</v>
      </c>
      <c r="E100" s="223">
        <v>46127</v>
      </c>
      <c r="F100" s="222" t="s">
        <v>1915</v>
      </c>
      <c r="G100" s="210" t="s">
        <v>1768</v>
      </c>
      <c r="H100" s="156" t="s">
        <v>1918</v>
      </c>
      <c r="I100" s="210">
        <v>2</v>
      </c>
      <c r="J100" s="210" t="s">
        <v>192</v>
      </c>
      <c r="K100" s="214">
        <v>350000</v>
      </c>
      <c r="L100" s="214">
        <f t="shared" ref="L100:L131" si="3">+I100*K100</f>
        <v>700000</v>
      </c>
      <c r="M100" s="223">
        <v>46142</v>
      </c>
      <c r="N100" s="223">
        <v>46147</v>
      </c>
      <c r="O100" s="210" t="s">
        <v>1917</v>
      </c>
      <c r="P100" s="210"/>
    </row>
    <row r="101" spans="1:16">
      <c r="A101" s="210"/>
      <c r="B101" s="210" t="s">
        <v>174</v>
      </c>
      <c r="C101" s="222" t="s">
        <v>557</v>
      </c>
      <c r="D101" s="222" t="s">
        <v>558</v>
      </c>
      <c r="E101" s="223">
        <v>46127</v>
      </c>
      <c r="F101" s="222" t="s">
        <v>1915</v>
      </c>
      <c r="G101" s="210" t="s">
        <v>1768</v>
      </c>
      <c r="H101" s="156" t="s">
        <v>1919</v>
      </c>
      <c r="I101" s="210">
        <v>120</v>
      </c>
      <c r="J101" s="210" t="s">
        <v>1904</v>
      </c>
      <c r="K101" s="214">
        <v>40000</v>
      </c>
      <c r="L101" s="214">
        <f t="shared" si="3"/>
        <v>4800000</v>
      </c>
      <c r="M101" s="223">
        <v>46142</v>
      </c>
      <c r="N101" s="223">
        <v>46147</v>
      </c>
      <c r="O101" s="210" t="s">
        <v>1917</v>
      </c>
      <c r="P101" s="210"/>
    </row>
    <row r="102" spans="1:16">
      <c r="A102" s="210"/>
      <c r="B102" s="210" t="s">
        <v>174</v>
      </c>
      <c r="C102" s="222" t="s">
        <v>1920</v>
      </c>
      <c r="D102" s="222" t="s">
        <v>1921</v>
      </c>
      <c r="E102" s="223">
        <v>46121</v>
      </c>
      <c r="F102" s="222" t="s">
        <v>1922</v>
      </c>
      <c r="G102" s="210" t="s">
        <v>1768</v>
      </c>
      <c r="H102" s="156" t="s">
        <v>1923</v>
      </c>
      <c r="I102" s="210">
        <v>1</v>
      </c>
      <c r="J102" s="210" t="s">
        <v>1778</v>
      </c>
      <c r="K102" s="214">
        <v>2000000</v>
      </c>
      <c r="L102" s="214">
        <f t="shared" si="3"/>
        <v>2000000</v>
      </c>
      <c r="M102" s="223"/>
      <c r="N102" s="223">
        <v>46147</v>
      </c>
      <c r="O102" s="210" t="s">
        <v>1924</v>
      </c>
      <c r="P102" s="210"/>
    </row>
    <row r="103" spans="1:16">
      <c r="A103" s="210"/>
      <c r="B103" s="210" t="s">
        <v>174</v>
      </c>
      <c r="C103" s="222" t="s">
        <v>1920</v>
      </c>
      <c r="D103" s="222" t="s">
        <v>1921</v>
      </c>
      <c r="E103" s="223">
        <v>46121</v>
      </c>
      <c r="F103" s="222" t="s">
        <v>1922</v>
      </c>
      <c r="G103" s="210" t="s">
        <v>1768</v>
      </c>
      <c r="H103" s="156" t="s">
        <v>1925</v>
      </c>
      <c r="I103" s="210">
        <v>5</v>
      </c>
      <c r="J103" s="210" t="s">
        <v>1770</v>
      </c>
      <c r="K103" s="214">
        <v>130000</v>
      </c>
      <c r="L103" s="214">
        <f t="shared" si="3"/>
        <v>650000</v>
      </c>
      <c r="M103" s="223"/>
      <c r="N103" s="223">
        <v>46147</v>
      </c>
      <c r="O103" s="210" t="s">
        <v>1924</v>
      </c>
      <c r="P103" s="210"/>
    </row>
    <row r="104" spans="1:16">
      <c r="A104" s="210"/>
      <c r="B104" s="210" t="s">
        <v>174</v>
      </c>
      <c r="C104" s="222" t="s">
        <v>1920</v>
      </c>
      <c r="D104" s="222" t="s">
        <v>1921</v>
      </c>
      <c r="E104" s="223">
        <v>46121</v>
      </c>
      <c r="F104" s="222" t="s">
        <v>1922</v>
      </c>
      <c r="G104" s="210" t="s">
        <v>1768</v>
      </c>
      <c r="H104" s="156" t="s">
        <v>1926</v>
      </c>
      <c r="I104" s="210">
        <v>1</v>
      </c>
      <c r="J104" s="210" t="s">
        <v>192</v>
      </c>
      <c r="K104" s="214">
        <v>3000000</v>
      </c>
      <c r="L104" s="214">
        <f t="shared" si="3"/>
        <v>3000000</v>
      </c>
      <c r="M104" s="223"/>
      <c r="N104" s="223">
        <v>46147</v>
      </c>
      <c r="O104" s="210" t="s">
        <v>1924</v>
      </c>
      <c r="P104" s="210"/>
    </row>
    <row r="105" spans="1:16">
      <c r="A105" s="210"/>
      <c r="B105" s="210" t="s">
        <v>174</v>
      </c>
      <c r="C105" s="222" t="s">
        <v>1920</v>
      </c>
      <c r="D105" s="222" t="s">
        <v>1921</v>
      </c>
      <c r="E105" s="223">
        <v>46121</v>
      </c>
      <c r="F105" s="222" t="s">
        <v>1922</v>
      </c>
      <c r="G105" s="210" t="s">
        <v>1768</v>
      </c>
      <c r="H105" s="156" t="s">
        <v>1927</v>
      </c>
      <c r="I105" s="210">
        <v>3</v>
      </c>
      <c r="J105" s="210" t="s">
        <v>1853</v>
      </c>
      <c r="K105" s="214">
        <v>400000</v>
      </c>
      <c r="L105" s="214">
        <f t="shared" si="3"/>
        <v>1200000</v>
      </c>
      <c r="M105" s="223"/>
      <c r="N105" s="223">
        <v>46147</v>
      </c>
      <c r="O105" s="210" t="s">
        <v>1924</v>
      </c>
      <c r="P105" s="210"/>
    </row>
    <row r="106" spans="1:16" ht="30" customHeight="1">
      <c r="A106" s="210"/>
      <c r="B106" s="210" t="s">
        <v>174</v>
      </c>
      <c r="C106" s="222" t="s">
        <v>1898</v>
      </c>
      <c r="D106" s="222" t="s">
        <v>1899</v>
      </c>
      <c r="E106" s="223">
        <v>46122</v>
      </c>
      <c r="F106" s="222" t="s">
        <v>1928</v>
      </c>
      <c r="G106" s="210" t="s">
        <v>1768</v>
      </c>
      <c r="H106" s="156" t="s">
        <v>1929</v>
      </c>
      <c r="I106" s="210">
        <v>288</v>
      </c>
      <c r="J106" s="210" t="s">
        <v>1770</v>
      </c>
      <c r="K106" s="214">
        <v>35000</v>
      </c>
      <c r="L106" s="214">
        <f t="shared" si="3"/>
        <v>10080000</v>
      </c>
      <c r="M106" s="223">
        <v>46176</v>
      </c>
      <c r="N106" s="223">
        <v>46230</v>
      </c>
      <c r="O106" s="210" t="s">
        <v>1930</v>
      </c>
      <c r="P106" s="210"/>
    </row>
    <row r="107" spans="1:16">
      <c r="A107" s="210"/>
      <c r="B107" s="210" t="s">
        <v>174</v>
      </c>
      <c r="C107" s="222" t="s">
        <v>1885</v>
      </c>
      <c r="D107" s="222" t="s">
        <v>1886</v>
      </c>
      <c r="E107" s="223">
        <v>46128</v>
      </c>
      <c r="F107" s="222" t="s">
        <v>1931</v>
      </c>
      <c r="G107" s="210" t="s">
        <v>1768</v>
      </c>
      <c r="H107" s="156" t="s">
        <v>1932</v>
      </c>
      <c r="I107" s="210">
        <v>1</v>
      </c>
      <c r="J107" s="210" t="s">
        <v>1933</v>
      </c>
      <c r="K107" s="214">
        <v>1508284</v>
      </c>
      <c r="L107" s="214">
        <f t="shared" si="3"/>
        <v>1508284</v>
      </c>
      <c r="M107" s="223"/>
      <c r="N107" s="223">
        <v>46147</v>
      </c>
      <c r="O107" s="210" t="s">
        <v>1934</v>
      </c>
      <c r="P107" s="210"/>
    </row>
    <row r="108" spans="1:16">
      <c r="A108" s="210"/>
      <c r="B108" s="210" t="s">
        <v>174</v>
      </c>
      <c r="C108" s="222" t="s">
        <v>1885</v>
      </c>
      <c r="D108" s="222" t="s">
        <v>1886</v>
      </c>
      <c r="E108" s="223">
        <v>46128</v>
      </c>
      <c r="F108" s="222" t="s">
        <v>1931</v>
      </c>
      <c r="G108" s="210" t="s">
        <v>1768</v>
      </c>
      <c r="H108" s="156" t="s">
        <v>1935</v>
      </c>
      <c r="I108" s="210">
        <v>1</v>
      </c>
      <c r="J108" s="210" t="s">
        <v>189</v>
      </c>
      <c r="K108" s="214">
        <v>4542700</v>
      </c>
      <c r="L108" s="214">
        <f t="shared" si="3"/>
        <v>4542700</v>
      </c>
      <c r="M108" s="223"/>
      <c r="N108" s="223">
        <v>46147</v>
      </c>
      <c r="O108" s="210" t="s">
        <v>1934</v>
      </c>
      <c r="P108" s="210"/>
    </row>
    <row r="109" spans="1:16">
      <c r="A109" s="210"/>
      <c r="B109" s="210" t="s">
        <v>174</v>
      </c>
      <c r="C109" s="222" t="s">
        <v>1885</v>
      </c>
      <c r="D109" s="222" t="s">
        <v>1886</v>
      </c>
      <c r="E109" s="223">
        <v>46128</v>
      </c>
      <c r="F109" s="222" t="s">
        <v>1931</v>
      </c>
      <c r="G109" s="210" t="s">
        <v>1768</v>
      </c>
      <c r="H109" s="156" t="s">
        <v>1936</v>
      </c>
      <c r="I109" s="210">
        <v>1</v>
      </c>
      <c r="J109" s="210" t="s">
        <v>189</v>
      </c>
      <c r="K109" s="214">
        <v>1500000</v>
      </c>
      <c r="L109" s="214">
        <f t="shared" si="3"/>
        <v>1500000</v>
      </c>
      <c r="M109" s="223"/>
      <c r="N109" s="223">
        <v>46147</v>
      </c>
      <c r="O109" s="210" t="s">
        <v>1934</v>
      </c>
      <c r="P109" s="210"/>
    </row>
    <row r="110" spans="1:16">
      <c r="A110" s="210"/>
      <c r="B110" s="210" t="s">
        <v>174</v>
      </c>
      <c r="C110" s="222" t="s">
        <v>1885</v>
      </c>
      <c r="D110" s="222" t="s">
        <v>1886</v>
      </c>
      <c r="E110" s="223">
        <v>46128</v>
      </c>
      <c r="F110" s="222" t="s">
        <v>1931</v>
      </c>
      <c r="G110" s="210" t="s">
        <v>1768</v>
      </c>
      <c r="H110" s="156" t="s">
        <v>1937</v>
      </c>
      <c r="I110" s="210">
        <v>1</v>
      </c>
      <c r="J110" s="210" t="s">
        <v>189</v>
      </c>
      <c r="K110" s="214">
        <v>3300000</v>
      </c>
      <c r="L110" s="214">
        <f t="shared" si="3"/>
        <v>3300000</v>
      </c>
      <c r="M110" s="223"/>
      <c r="N110" s="223">
        <v>46147</v>
      </c>
      <c r="O110" s="210" t="s">
        <v>1934</v>
      </c>
      <c r="P110" s="210"/>
    </row>
    <row r="111" spans="1:16">
      <c r="A111" s="210"/>
      <c r="B111" s="210" t="s">
        <v>174</v>
      </c>
      <c r="C111" s="222" t="s">
        <v>1938</v>
      </c>
      <c r="D111" s="222" t="s">
        <v>1939</v>
      </c>
      <c r="E111" s="223">
        <v>46128</v>
      </c>
      <c r="F111" s="222" t="s">
        <v>1940</v>
      </c>
      <c r="G111" s="210" t="s">
        <v>1760</v>
      </c>
      <c r="H111" s="156" t="s">
        <v>1941</v>
      </c>
      <c r="I111" s="210">
        <v>5</v>
      </c>
      <c r="J111" s="210" t="s">
        <v>1822</v>
      </c>
      <c r="K111" s="214">
        <v>2240140</v>
      </c>
      <c r="L111" s="214">
        <f t="shared" si="3"/>
        <v>11200700</v>
      </c>
      <c r="M111" s="223">
        <v>46142</v>
      </c>
      <c r="N111" s="223">
        <v>46147</v>
      </c>
      <c r="O111" s="210" t="s">
        <v>1942</v>
      </c>
      <c r="P111" s="210"/>
    </row>
    <row r="112" spans="1:16">
      <c r="A112" s="210"/>
      <c r="B112" s="210" t="s">
        <v>174</v>
      </c>
      <c r="C112" s="222" t="s">
        <v>1938</v>
      </c>
      <c r="D112" s="222" t="s">
        <v>1939</v>
      </c>
      <c r="E112" s="223">
        <v>46128</v>
      </c>
      <c r="F112" s="222" t="s">
        <v>1940</v>
      </c>
      <c r="G112" s="210" t="s">
        <v>1760</v>
      </c>
      <c r="H112" s="156" t="s">
        <v>1943</v>
      </c>
      <c r="I112" s="210">
        <v>5</v>
      </c>
      <c r="J112" s="210" t="s">
        <v>189</v>
      </c>
      <c r="K112" s="214">
        <v>2150414</v>
      </c>
      <c r="L112" s="214">
        <f t="shared" si="3"/>
        <v>10752070</v>
      </c>
      <c r="M112" s="223">
        <v>46142</v>
      </c>
      <c r="N112" s="223">
        <v>46147</v>
      </c>
      <c r="O112" s="210" t="s">
        <v>1942</v>
      </c>
      <c r="P112" s="210"/>
    </row>
    <row r="113" spans="1:16">
      <c r="A113" s="210"/>
      <c r="B113" s="210" t="s">
        <v>174</v>
      </c>
      <c r="C113" s="222" t="s">
        <v>1944</v>
      </c>
      <c r="D113" s="222" t="s">
        <v>1945</v>
      </c>
      <c r="E113" s="223">
        <v>46133</v>
      </c>
      <c r="F113" s="222" t="s">
        <v>1946</v>
      </c>
      <c r="G113" s="210" t="s">
        <v>1760</v>
      </c>
      <c r="H113" s="156" t="s">
        <v>1947</v>
      </c>
      <c r="I113" s="210">
        <v>6</v>
      </c>
      <c r="J113" s="210" t="s">
        <v>1822</v>
      </c>
      <c r="K113" s="214">
        <v>1590044</v>
      </c>
      <c r="L113" s="214">
        <f t="shared" si="3"/>
        <v>9540264</v>
      </c>
      <c r="M113" s="223">
        <v>46176</v>
      </c>
      <c r="N113" s="223"/>
      <c r="O113" s="210"/>
      <c r="P113" s="210" t="s">
        <v>1948</v>
      </c>
    </row>
    <row r="114" spans="1:16">
      <c r="A114" s="210"/>
      <c r="B114" s="210" t="s">
        <v>174</v>
      </c>
      <c r="C114" s="222" t="s">
        <v>1944</v>
      </c>
      <c r="D114" s="222" t="s">
        <v>1945</v>
      </c>
      <c r="E114" s="223">
        <v>46133</v>
      </c>
      <c r="F114" s="222" t="s">
        <v>1946</v>
      </c>
      <c r="G114" s="210" t="s">
        <v>1760</v>
      </c>
      <c r="H114" s="156" t="s">
        <v>1949</v>
      </c>
      <c r="I114" s="210">
        <v>6</v>
      </c>
      <c r="J114" s="210" t="s">
        <v>1822</v>
      </c>
      <c r="K114" s="214">
        <v>1383200</v>
      </c>
      <c r="L114" s="214">
        <f t="shared" si="3"/>
        <v>8299200</v>
      </c>
      <c r="M114" s="223">
        <v>46176</v>
      </c>
      <c r="N114" s="223"/>
      <c r="O114" s="210"/>
      <c r="P114" s="210"/>
    </row>
    <row r="115" spans="1:16">
      <c r="A115" s="210"/>
      <c r="B115" s="210" t="s">
        <v>174</v>
      </c>
      <c r="C115" s="222" t="s">
        <v>1950</v>
      </c>
      <c r="D115" s="222" t="s">
        <v>1951</v>
      </c>
      <c r="E115" s="223">
        <v>46140</v>
      </c>
      <c r="F115" s="222" t="s">
        <v>1952</v>
      </c>
      <c r="G115" s="210" t="s">
        <v>1768</v>
      </c>
      <c r="H115" s="156" t="s">
        <v>1953</v>
      </c>
      <c r="I115" s="210">
        <v>30</v>
      </c>
      <c r="J115" s="210" t="s">
        <v>1770</v>
      </c>
      <c r="K115" s="214">
        <v>35000</v>
      </c>
      <c r="L115" s="214">
        <f t="shared" si="3"/>
        <v>1050000</v>
      </c>
      <c r="M115" s="223"/>
      <c r="N115" s="223">
        <v>46147</v>
      </c>
      <c r="O115" s="210" t="s">
        <v>1954</v>
      </c>
      <c r="P115" s="210"/>
    </row>
    <row r="116" spans="1:16">
      <c r="A116" s="210"/>
      <c r="B116" s="210" t="s">
        <v>174</v>
      </c>
      <c r="C116" s="222" t="s">
        <v>1955</v>
      </c>
      <c r="D116" s="222" t="s">
        <v>1956</v>
      </c>
      <c r="E116" s="223">
        <v>46146</v>
      </c>
      <c r="F116" s="222" t="s">
        <v>1957</v>
      </c>
      <c r="G116" s="210" t="s">
        <v>1760</v>
      </c>
      <c r="H116" s="156" t="s">
        <v>1958</v>
      </c>
      <c r="I116" s="210">
        <v>6</v>
      </c>
      <c r="J116" s="210" t="s">
        <v>1822</v>
      </c>
      <c r="K116" s="214">
        <v>1667400</v>
      </c>
      <c r="L116" s="214">
        <f t="shared" si="3"/>
        <v>10004400</v>
      </c>
      <c r="M116" s="223">
        <v>46176</v>
      </c>
      <c r="N116" s="223"/>
      <c r="O116" s="210"/>
      <c r="P116" s="210" t="s">
        <v>1959</v>
      </c>
    </row>
    <row r="117" spans="1:16">
      <c r="A117" s="210"/>
      <c r="B117" s="210" t="s">
        <v>174</v>
      </c>
      <c r="C117" s="222" t="s">
        <v>1955</v>
      </c>
      <c r="D117" s="222" t="s">
        <v>1956</v>
      </c>
      <c r="E117" s="223">
        <v>46146</v>
      </c>
      <c r="F117" s="222" t="s">
        <v>1957</v>
      </c>
      <c r="G117" s="210" t="s">
        <v>1760</v>
      </c>
      <c r="H117" s="156" t="s">
        <v>1960</v>
      </c>
      <c r="I117" s="210">
        <v>6</v>
      </c>
      <c r="J117" s="210" t="s">
        <v>1822</v>
      </c>
      <c r="K117" s="214">
        <v>1667400</v>
      </c>
      <c r="L117" s="214">
        <f t="shared" si="3"/>
        <v>10004400</v>
      </c>
      <c r="M117" s="223">
        <v>46176</v>
      </c>
      <c r="N117" s="223"/>
      <c r="O117" s="210"/>
      <c r="P117" s="210" t="s">
        <v>1959</v>
      </c>
    </row>
    <row r="118" spans="1:16">
      <c r="A118" s="210"/>
      <c r="B118" s="210" t="s">
        <v>174</v>
      </c>
      <c r="C118" s="222" t="s">
        <v>53</v>
      </c>
      <c r="D118" s="222" t="s">
        <v>54</v>
      </c>
      <c r="E118" s="223">
        <v>46163</v>
      </c>
      <c r="F118" s="222" t="s">
        <v>1961</v>
      </c>
      <c r="G118" s="210" t="s">
        <v>1768</v>
      </c>
      <c r="H118" s="156" t="s">
        <v>1962</v>
      </c>
      <c r="I118" s="210">
        <v>1</v>
      </c>
      <c r="J118" s="210" t="s">
        <v>296</v>
      </c>
      <c r="K118" s="214">
        <v>9500000</v>
      </c>
      <c r="L118" s="214">
        <f t="shared" si="3"/>
        <v>9500000</v>
      </c>
      <c r="M118" s="223">
        <v>46176</v>
      </c>
      <c r="N118" s="223"/>
      <c r="O118" s="210"/>
      <c r="P118" s="210"/>
    </row>
    <row r="119" spans="1:16">
      <c r="A119" s="210"/>
      <c r="B119" s="210" t="s">
        <v>174</v>
      </c>
      <c r="C119" s="222" t="s">
        <v>53</v>
      </c>
      <c r="D119" s="222" t="s">
        <v>54</v>
      </c>
      <c r="E119" s="223">
        <v>46163</v>
      </c>
      <c r="F119" s="222" t="s">
        <v>1961</v>
      </c>
      <c r="G119" s="210" t="s">
        <v>1768</v>
      </c>
      <c r="H119" s="156" t="s">
        <v>1963</v>
      </c>
      <c r="I119" s="210">
        <v>4</v>
      </c>
      <c r="J119" s="210" t="s">
        <v>1822</v>
      </c>
      <c r="K119" s="214">
        <v>1000000</v>
      </c>
      <c r="L119" s="214">
        <f t="shared" si="3"/>
        <v>4000000</v>
      </c>
      <c r="M119" s="223">
        <v>46176</v>
      </c>
      <c r="N119" s="223"/>
      <c r="O119" s="210"/>
      <c r="P119" s="210"/>
    </row>
    <row r="120" spans="1:16">
      <c r="A120" s="210"/>
      <c r="B120" s="210" t="s">
        <v>174</v>
      </c>
      <c r="C120" s="222" t="s">
        <v>1964</v>
      </c>
      <c r="D120" s="222" t="s">
        <v>1965</v>
      </c>
      <c r="E120" s="223">
        <v>46150</v>
      </c>
      <c r="F120" s="222" t="s">
        <v>1966</v>
      </c>
      <c r="G120" s="210" t="s">
        <v>1760</v>
      </c>
      <c r="H120" s="156" t="s">
        <v>1967</v>
      </c>
      <c r="I120" s="210">
        <v>22270.78</v>
      </c>
      <c r="J120" s="210" t="s">
        <v>1968</v>
      </c>
      <c r="K120" s="214">
        <v>-1500</v>
      </c>
      <c r="L120" s="214">
        <f t="shared" si="3"/>
        <v>-33406170</v>
      </c>
      <c r="M120" s="223">
        <v>46157</v>
      </c>
      <c r="N120" s="223">
        <v>46183</v>
      </c>
      <c r="O120" s="210" t="s">
        <v>1969</v>
      </c>
      <c r="P120" s="210"/>
    </row>
    <row r="121" spans="1:16">
      <c r="A121" s="210"/>
      <c r="B121" s="210" t="s">
        <v>174</v>
      </c>
      <c r="C121" s="222" t="s">
        <v>1970</v>
      </c>
      <c r="D121" s="222" t="s">
        <v>1971</v>
      </c>
      <c r="E121" s="223">
        <v>46154</v>
      </c>
      <c r="F121" s="222" t="s">
        <v>1972</v>
      </c>
      <c r="G121" s="210" t="s">
        <v>1760</v>
      </c>
      <c r="H121" s="156" t="s">
        <v>1967</v>
      </c>
      <c r="I121" s="210">
        <v>18868.812000000002</v>
      </c>
      <c r="J121" s="210" t="s">
        <v>1968</v>
      </c>
      <c r="K121" s="214">
        <v>-1500</v>
      </c>
      <c r="L121" s="214">
        <f t="shared" si="3"/>
        <v>-28303218.000000004</v>
      </c>
      <c r="M121" s="223">
        <v>46157</v>
      </c>
      <c r="N121" s="223">
        <v>46183</v>
      </c>
      <c r="O121" s="210" t="s">
        <v>1973</v>
      </c>
      <c r="P121" s="210"/>
    </row>
    <row r="122" spans="1:16">
      <c r="A122" s="210"/>
      <c r="B122" s="210" t="s">
        <v>174</v>
      </c>
      <c r="C122" s="222" t="s">
        <v>1955</v>
      </c>
      <c r="D122" s="222" t="s">
        <v>1956</v>
      </c>
      <c r="E122" s="223">
        <v>46154</v>
      </c>
      <c r="F122" s="222" t="s">
        <v>1974</v>
      </c>
      <c r="G122" s="210" t="s">
        <v>1760</v>
      </c>
      <c r="H122" s="156" t="s">
        <v>1967</v>
      </c>
      <c r="I122" s="210">
        <v>57349.8</v>
      </c>
      <c r="J122" s="210" t="s">
        <v>1968</v>
      </c>
      <c r="K122" s="214">
        <v>-1200</v>
      </c>
      <c r="L122" s="214">
        <f t="shared" si="3"/>
        <v>-68819760</v>
      </c>
      <c r="M122" s="223">
        <v>46157</v>
      </c>
      <c r="N122" s="223">
        <v>46183</v>
      </c>
      <c r="O122" s="210" t="s">
        <v>1975</v>
      </c>
      <c r="P122" s="210"/>
    </row>
    <row r="123" spans="1:16">
      <c r="A123" s="210"/>
      <c r="B123" s="210" t="s">
        <v>174</v>
      </c>
      <c r="C123" s="222" t="s">
        <v>1976</v>
      </c>
      <c r="D123" s="222" t="s">
        <v>1977</v>
      </c>
      <c r="E123" s="223">
        <v>46155</v>
      </c>
      <c r="F123" s="222" t="s">
        <v>1978</v>
      </c>
      <c r="G123" s="210" t="s">
        <v>1760</v>
      </c>
      <c r="H123" s="156" t="s">
        <v>1979</v>
      </c>
      <c r="I123" s="210">
        <v>1</v>
      </c>
      <c r="J123" s="210" t="s">
        <v>1853</v>
      </c>
      <c r="K123" s="214">
        <v>5000000</v>
      </c>
      <c r="L123" s="214">
        <f t="shared" si="3"/>
        <v>5000000</v>
      </c>
      <c r="M123" s="223">
        <v>46176</v>
      </c>
      <c r="N123" s="223"/>
      <c r="O123" s="210"/>
      <c r="P123" s="210"/>
    </row>
    <row r="124" spans="1:16">
      <c r="A124" s="210"/>
      <c r="B124" s="210" t="s">
        <v>174</v>
      </c>
      <c r="C124" s="222" t="s">
        <v>1980</v>
      </c>
      <c r="D124" s="222" t="s">
        <v>1981</v>
      </c>
      <c r="E124" s="223">
        <v>46154</v>
      </c>
      <c r="F124" s="222" t="s">
        <v>1982</v>
      </c>
      <c r="G124" s="210" t="s">
        <v>1760</v>
      </c>
      <c r="H124" s="156" t="s">
        <v>1967</v>
      </c>
      <c r="I124" s="210">
        <v>18868.812000000002</v>
      </c>
      <c r="J124" s="210" t="s">
        <v>1968</v>
      </c>
      <c r="K124" s="214">
        <v>1200</v>
      </c>
      <c r="L124" s="214">
        <f t="shared" si="3"/>
        <v>22642574.400000002</v>
      </c>
      <c r="M124" s="223"/>
      <c r="N124" s="223"/>
      <c r="O124" s="210"/>
      <c r="P124" s="210"/>
    </row>
    <row r="125" spans="1:16">
      <c r="A125" s="210"/>
      <c r="B125" s="210" t="s">
        <v>174</v>
      </c>
      <c r="C125" s="222" t="s">
        <v>1983</v>
      </c>
      <c r="D125" s="222" t="s">
        <v>1984</v>
      </c>
      <c r="E125" s="223">
        <v>46163</v>
      </c>
      <c r="F125" s="222" t="s">
        <v>1985</v>
      </c>
      <c r="G125" s="210" t="s">
        <v>1760</v>
      </c>
      <c r="H125" s="156" t="s">
        <v>1967</v>
      </c>
      <c r="I125" s="210">
        <v>16910.317999999999</v>
      </c>
      <c r="J125" s="210" t="s">
        <v>1968</v>
      </c>
      <c r="K125" s="214">
        <v>1500</v>
      </c>
      <c r="L125" s="214">
        <f t="shared" si="3"/>
        <v>25365477</v>
      </c>
      <c r="M125" s="223"/>
      <c r="N125" s="223"/>
      <c r="O125" s="210"/>
      <c r="P125" s="210"/>
    </row>
    <row r="126" spans="1:16" ht="30" customHeight="1">
      <c r="A126" s="210"/>
      <c r="B126" s="210" t="s">
        <v>174</v>
      </c>
      <c r="C126" s="222" t="s">
        <v>1068</v>
      </c>
      <c r="D126" s="222" t="s">
        <v>1069</v>
      </c>
      <c r="E126" s="223">
        <v>46170</v>
      </c>
      <c r="F126" s="222" t="s">
        <v>1986</v>
      </c>
      <c r="G126" s="210" t="s">
        <v>1760</v>
      </c>
      <c r="H126" s="156" t="s">
        <v>1987</v>
      </c>
      <c r="I126" s="210">
        <v>13517.71</v>
      </c>
      <c r="J126" s="210" t="s">
        <v>1968</v>
      </c>
      <c r="K126" s="214">
        <v>1500</v>
      </c>
      <c r="L126" s="214">
        <f t="shared" si="3"/>
        <v>20276565</v>
      </c>
      <c r="M126" s="223"/>
      <c r="N126" s="223"/>
      <c r="O126" s="210"/>
      <c r="P126" s="210"/>
    </row>
    <row r="127" spans="1:16">
      <c r="A127" s="243"/>
      <c r="B127" s="243" t="s">
        <v>174</v>
      </c>
      <c r="C127" s="244" t="s">
        <v>1885</v>
      </c>
      <c r="D127" s="244" t="s">
        <v>1886</v>
      </c>
      <c r="E127" s="245">
        <v>46193</v>
      </c>
      <c r="F127" s="244"/>
      <c r="G127" s="243" t="s">
        <v>1768</v>
      </c>
      <c r="H127" s="246" t="s">
        <v>1988</v>
      </c>
      <c r="I127" s="243">
        <v>1</v>
      </c>
      <c r="J127" s="243" t="s">
        <v>1933</v>
      </c>
      <c r="K127" s="247">
        <v>1660915</v>
      </c>
      <c r="L127" s="247">
        <f t="shared" si="3"/>
        <v>1660915</v>
      </c>
      <c r="M127" s="248"/>
      <c r="N127" s="248"/>
      <c r="O127" s="243"/>
      <c r="P127" s="243" t="s">
        <v>1989</v>
      </c>
    </row>
    <row r="128" spans="1:16">
      <c r="A128" s="210"/>
      <c r="B128" s="210" t="s">
        <v>174</v>
      </c>
      <c r="C128" s="8" t="s">
        <v>1990</v>
      </c>
      <c r="D128" s="8" t="s">
        <v>1991</v>
      </c>
      <c r="E128" s="12">
        <v>46196</v>
      </c>
      <c r="F128" s="222" t="s">
        <v>1992</v>
      </c>
      <c r="G128" s="210" t="s">
        <v>1760</v>
      </c>
      <c r="H128" s="156" t="s">
        <v>1993</v>
      </c>
      <c r="I128" s="210">
        <v>1</v>
      </c>
      <c r="J128" s="210" t="s">
        <v>1778</v>
      </c>
      <c r="K128" s="214">
        <v>7000000</v>
      </c>
      <c r="L128" s="214">
        <f t="shared" si="3"/>
        <v>7000000</v>
      </c>
      <c r="M128" s="12"/>
      <c r="N128" s="12"/>
      <c r="O128" s="210"/>
      <c r="P128" s="210"/>
    </row>
    <row r="129" spans="1:16">
      <c r="A129" s="210">
        <v>1</v>
      </c>
      <c r="B129" s="210" t="s">
        <v>174</v>
      </c>
      <c r="C129" s="222" t="s">
        <v>81</v>
      </c>
      <c r="D129" s="222" t="s">
        <v>82</v>
      </c>
      <c r="E129" s="12">
        <v>46203</v>
      </c>
      <c r="F129" s="222" t="s">
        <v>1994</v>
      </c>
      <c r="G129" s="210" t="s">
        <v>1768</v>
      </c>
      <c r="H129" s="156" t="s">
        <v>1880</v>
      </c>
      <c r="I129" s="210">
        <v>9</v>
      </c>
      <c r="J129" s="210" t="s">
        <v>199</v>
      </c>
      <c r="K129" s="214">
        <v>250000</v>
      </c>
      <c r="L129" s="214">
        <f t="shared" si="3"/>
        <v>2250000</v>
      </c>
      <c r="M129" s="12"/>
      <c r="N129" s="12"/>
      <c r="O129" s="210"/>
      <c r="P129" s="210"/>
    </row>
    <row r="130" spans="1:16">
      <c r="A130" s="210">
        <v>2</v>
      </c>
      <c r="B130" s="210" t="s">
        <v>174</v>
      </c>
      <c r="C130" s="222" t="s">
        <v>81</v>
      </c>
      <c r="D130" s="222" t="s">
        <v>82</v>
      </c>
      <c r="E130" s="12">
        <v>46203</v>
      </c>
      <c r="F130" s="222" t="s">
        <v>1994</v>
      </c>
      <c r="G130" s="210" t="s">
        <v>1768</v>
      </c>
      <c r="H130" s="156" t="s">
        <v>1882</v>
      </c>
      <c r="I130" s="210">
        <v>18</v>
      </c>
      <c r="J130" s="210" t="s">
        <v>192</v>
      </c>
      <c r="K130" s="214">
        <v>350000</v>
      </c>
      <c r="L130" s="214">
        <f t="shared" si="3"/>
        <v>6300000</v>
      </c>
      <c r="M130" s="12"/>
      <c r="N130" s="12"/>
      <c r="O130" s="210"/>
      <c r="P130" s="210"/>
    </row>
    <row r="131" spans="1:16" ht="30" customHeight="1">
      <c r="A131" s="210">
        <v>3</v>
      </c>
      <c r="B131" s="210" t="s">
        <v>174</v>
      </c>
      <c r="C131" s="222" t="s">
        <v>81</v>
      </c>
      <c r="D131" s="222" t="s">
        <v>82</v>
      </c>
      <c r="E131" s="12">
        <v>46203</v>
      </c>
      <c r="F131" s="222" t="s">
        <v>1994</v>
      </c>
      <c r="G131" s="210" t="s">
        <v>1768</v>
      </c>
      <c r="H131" s="156" t="s">
        <v>1883</v>
      </c>
      <c r="I131" s="210">
        <v>7</v>
      </c>
      <c r="J131" s="210" t="s">
        <v>1770</v>
      </c>
      <c r="K131" s="214">
        <v>165000</v>
      </c>
      <c r="L131" s="214">
        <f t="shared" si="3"/>
        <v>1155000</v>
      </c>
      <c r="M131" s="12"/>
      <c r="N131" s="12"/>
      <c r="O131" s="210"/>
      <c r="P131" s="210"/>
    </row>
    <row r="132" spans="1:16">
      <c r="A132" s="210">
        <v>4</v>
      </c>
      <c r="B132" s="210" t="s">
        <v>174</v>
      </c>
      <c r="C132" s="222" t="s">
        <v>81</v>
      </c>
      <c r="D132" s="222" t="s">
        <v>82</v>
      </c>
      <c r="E132" s="12">
        <v>46203</v>
      </c>
      <c r="F132" s="222" t="s">
        <v>1994</v>
      </c>
      <c r="G132" s="210" t="s">
        <v>1768</v>
      </c>
      <c r="H132" s="156" t="s">
        <v>1995</v>
      </c>
      <c r="I132" s="210">
        <v>540</v>
      </c>
      <c r="J132" s="210" t="s">
        <v>1770</v>
      </c>
      <c r="K132" s="214">
        <v>35000</v>
      </c>
      <c r="L132" s="214">
        <f t="shared" ref="L132:L163" si="4">+I132*K132</f>
        <v>18900000</v>
      </c>
      <c r="M132" s="12"/>
      <c r="N132" s="12"/>
      <c r="O132" s="210"/>
      <c r="P132" s="210"/>
    </row>
    <row r="133" spans="1:16">
      <c r="A133" s="210">
        <v>5</v>
      </c>
      <c r="B133" s="210" t="s">
        <v>174</v>
      </c>
      <c r="C133" s="222" t="s">
        <v>81</v>
      </c>
      <c r="D133" s="222" t="s">
        <v>82</v>
      </c>
      <c r="E133" s="12">
        <v>46203</v>
      </c>
      <c r="F133" s="222" t="s">
        <v>1994</v>
      </c>
      <c r="G133" s="210" t="s">
        <v>1768</v>
      </c>
      <c r="H133" s="156" t="s">
        <v>1996</v>
      </c>
      <c r="I133" s="210">
        <v>4</v>
      </c>
      <c r="J133" s="210" t="s">
        <v>192</v>
      </c>
      <c r="K133" s="214">
        <v>250000</v>
      </c>
      <c r="L133" s="214">
        <f t="shared" si="4"/>
        <v>1000000</v>
      </c>
      <c r="M133" s="12"/>
      <c r="N133" s="12"/>
      <c r="O133" s="210"/>
      <c r="P133" s="210"/>
    </row>
    <row r="134" spans="1:16">
      <c r="A134" s="210">
        <v>1</v>
      </c>
      <c r="B134" s="210" t="s">
        <v>174</v>
      </c>
      <c r="C134" s="204" t="s">
        <v>1997</v>
      </c>
      <c r="D134" s="221" t="s">
        <v>1998</v>
      </c>
      <c r="E134" s="223">
        <v>46205</v>
      </c>
      <c r="F134" s="222" t="s">
        <v>1999</v>
      </c>
      <c r="G134" s="210" t="s">
        <v>1760</v>
      </c>
      <c r="H134" s="156" t="s">
        <v>2000</v>
      </c>
      <c r="I134" s="210">
        <v>5</v>
      </c>
      <c r="J134" s="210" t="s">
        <v>1822</v>
      </c>
      <c r="K134" s="214">
        <v>2116300</v>
      </c>
      <c r="L134" s="214">
        <f t="shared" si="4"/>
        <v>10581500</v>
      </c>
      <c r="M134" s="12"/>
      <c r="N134" s="12"/>
      <c r="O134" s="210"/>
      <c r="P134" s="210"/>
    </row>
    <row r="135" spans="1:16">
      <c r="A135" s="210">
        <v>2</v>
      </c>
      <c r="B135" s="210" t="s">
        <v>174</v>
      </c>
      <c r="C135" s="204" t="s">
        <v>1997</v>
      </c>
      <c r="D135" s="221" t="s">
        <v>1998</v>
      </c>
      <c r="E135" s="223">
        <v>46205</v>
      </c>
      <c r="F135" s="222" t="s">
        <v>1999</v>
      </c>
      <c r="G135" s="210" t="s">
        <v>1760</v>
      </c>
      <c r="H135" s="156" t="s">
        <v>2001</v>
      </c>
      <c r="I135" s="210">
        <v>5</v>
      </c>
      <c r="J135" s="210" t="s">
        <v>1822</v>
      </c>
      <c r="K135" s="214">
        <v>2116300</v>
      </c>
      <c r="L135" s="214">
        <f t="shared" si="4"/>
        <v>10581500</v>
      </c>
      <c r="M135" s="12"/>
      <c r="N135" s="12"/>
      <c r="O135" s="210"/>
      <c r="P135" s="210"/>
    </row>
    <row r="136" spans="1:16">
      <c r="A136" s="210">
        <v>1</v>
      </c>
      <c r="B136" s="210" t="s">
        <v>174</v>
      </c>
      <c r="C136" s="204" t="s">
        <v>1997</v>
      </c>
      <c r="D136" s="221" t="s">
        <v>1998</v>
      </c>
      <c r="E136" s="223">
        <v>46163</v>
      </c>
      <c r="F136" s="222" t="s">
        <v>1999</v>
      </c>
      <c r="G136" s="210" t="s">
        <v>1760</v>
      </c>
      <c r="H136" s="156" t="s">
        <v>1967</v>
      </c>
      <c r="I136" s="210">
        <v>8762.0400000000009</v>
      </c>
      <c r="J136" s="210" t="s">
        <v>1784</v>
      </c>
      <c r="K136" s="214">
        <v>1500</v>
      </c>
      <c r="L136" s="214">
        <f t="shared" si="4"/>
        <v>13143060.000000002</v>
      </c>
      <c r="M136" s="12"/>
      <c r="N136" s="12"/>
      <c r="O136" s="210"/>
      <c r="P136" s="210"/>
    </row>
    <row r="137" spans="1:16" ht="30" customHeight="1">
      <c r="A137" s="210">
        <v>1</v>
      </c>
      <c r="B137" s="210" t="s">
        <v>174</v>
      </c>
      <c r="C137" s="204" t="s">
        <v>2002</v>
      </c>
      <c r="D137" s="221" t="s">
        <v>2003</v>
      </c>
      <c r="E137" s="223">
        <v>46218</v>
      </c>
      <c r="F137" s="222" t="s">
        <v>2004</v>
      </c>
      <c r="G137" s="210" t="s">
        <v>1768</v>
      </c>
      <c r="H137" s="156" t="s">
        <v>1867</v>
      </c>
      <c r="I137" s="210">
        <v>1</v>
      </c>
      <c r="J137" s="210" t="s">
        <v>296</v>
      </c>
      <c r="K137" s="214">
        <v>4000000</v>
      </c>
      <c r="L137" s="214">
        <f t="shared" si="4"/>
        <v>4000000</v>
      </c>
      <c r="M137" s="12"/>
      <c r="N137" s="12"/>
      <c r="O137" s="210"/>
      <c r="P137" s="210"/>
    </row>
    <row r="138" spans="1:16" ht="30" customHeight="1">
      <c r="A138" s="210">
        <v>1</v>
      </c>
      <c r="B138" s="210" t="s">
        <v>174</v>
      </c>
      <c r="C138" s="204" t="s">
        <v>2005</v>
      </c>
      <c r="D138" s="221" t="s">
        <v>2006</v>
      </c>
      <c r="E138" s="223">
        <v>46218</v>
      </c>
      <c r="F138" s="222" t="s">
        <v>2007</v>
      </c>
      <c r="G138" s="210" t="s">
        <v>1768</v>
      </c>
      <c r="H138" s="156" t="s">
        <v>1867</v>
      </c>
      <c r="I138" s="210">
        <v>1</v>
      </c>
      <c r="J138" s="210" t="s">
        <v>296</v>
      </c>
      <c r="K138" s="214">
        <v>4000000</v>
      </c>
      <c r="L138" s="214">
        <f t="shared" si="4"/>
        <v>4000000</v>
      </c>
      <c r="M138" s="12"/>
      <c r="N138" s="12"/>
      <c r="O138" s="210"/>
      <c r="P138" s="210"/>
    </row>
    <row r="139" spans="1:16">
      <c r="A139" s="210">
        <v>1</v>
      </c>
      <c r="B139" s="210" t="s">
        <v>174</v>
      </c>
      <c r="C139" s="204" t="s">
        <v>2008</v>
      </c>
      <c r="D139" s="221" t="s">
        <v>2009</v>
      </c>
      <c r="E139" s="223">
        <v>46221</v>
      </c>
      <c r="F139" s="222" t="s">
        <v>2010</v>
      </c>
      <c r="G139" s="210" t="s">
        <v>2011</v>
      </c>
      <c r="H139" s="156" t="s">
        <v>2012</v>
      </c>
      <c r="I139" s="210">
        <v>1</v>
      </c>
      <c r="J139" s="210" t="s">
        <v>1778</v>
      </c>
      <c r="K139" s="214">
        <v>1662500</v>
      </c>
      <c r="L139" s="214">
        <f t="shared" si="4"/>
        <v>1662500</v>
      </c>
      <c r="M139" s="12"/>
      <c r="N139" s="12"/>
      <c r="O139" s="210"/>
      <c r="P139" s="210"/>
    </row>
    <row r="140" spans="1:16">
      <c r="A140" s="210">
        <v>2</v>
      </c>
      <c r="B140" s="210" t="s">
        <v>174</v>
      </c>
      <c r="C140" s="204" t="s">
        <v>2008</v>
      </c>
      <c r="D140" s="221" t="s">
        <v>2009</v>
      </c>
      <c r="E140" s="223">
        <v>46221</v>
      </c>
      <c r="F140" s="222" t="s">
        <v>2010</v>
      </c>
      <c r="G140" s="210" t="s">
        <v>2011</v>
      </c>
      <c r="H140" s="156" t="s">
        <v>2013</v>
      </c>
      <c r="I140" s="210">
        <v>1</v>
      </c>
      <c r="J140" s="210" t="s">
        <v>1778</v>
      </c>
      <c r="K140" s="214">
        <v>1662500</v>
      </c>
      <c r="L140" s="214">
        <f t="shared" si="4"/>
        <v>1662500</v>
      </c>
      <c r="M140" s="12"/>
      <c r="N140" s="12"/>
      <c r="O140" s="210"/>
      <c r="P140" s="210"/>
    </row>
    <row r="141" spans="1:16">
      <c r="A141" s="210">
        <v>3</v>
      </c>
      <c r="B141" s="210" t="s">
        <v>174</v>
      </c>
      <c r="C141" s="204" t="s">
        <v>2008</v>
      </c>
      <c r="D141" s="221" t="s">
        <v>2009</v>
      </c>
      <c r="E141" s="223">
        <v>46221</v>
      </c>
      <c r="F141" s="222" t="s">
        <v>2010</v>
      </c>
      <c r="G141" s="210" t="s">
        <v>2011</v>
      </c>
      <c r="H141" s="156" t="s">
        <v>2014</v>
      </c>
      <c r="I141" s="210">
        <v>7</v>
      </c>
      <c r="J141" s="210" t="s">
        <v>1853</v>
      </c>
      <c r="K141" s="214">
        <v>500000</v>
      </c>
      <c r="L141" s="214">
        <f t="shared" si="4"/>
        <v>3500000</v>
      </c>
      <c r="M141" s="12"/>
      <c r="N141" s="12"/>
      <c r="O141" s="210"/>
      <c r="P141" s="210"/>
    </row>
    <row r="142" spans="1:16">
      <c r="A142" s="210">
        <v>4</v>
      </c>
      <c r="B142" s="210" t="s">
        <v>174</v>
      </c>
      <c r="C142" s="204" t="s">
        <v>2008</v>
      </c>
      <c r="D142" s="221" t="s">
        <v>2009</v>
      </c>
      <c r="E142" s="223">
        <v>46221</v>
      </c>
      <c r="F142" s="222" t="s">
        <v>2010</v>
      </c>
      <c r="G142" s="210" t="s">
        <v>2011</v>
      </c>
      <c r="H142" s="156" t="s">
        <v>2015</v>
      </c>
      <c r="I142" s="210">
        <v>5</v>
      </c>
      <c r="J142" s="210" t="s">
        <v>1853</v>
      </c>
      <c r="K142" s="214">
        <v>500000</v>
      </c>
      <c r="L142" s="214">
        <f t="shared" si="4"/>
        <v>2500000</v>
      </c>
      <c r="M142" s="12"/>
      <c r="N142" s="12"/>
      <c r="O142" s="210"/>
      <c r="P142" s="210"/>
    </row>
    <row r="143" spans="1:16">
      <c r="A143" s="210">
        <v>1</v>
      </c>
      <c r="B143" s="210" t="s">
        <v>174</v>
      </c>
      <c r="C143" s="204" t="s">
        <v>2008</v>
      </c>
      <c r="D143" s="221" t="s">
        <v>2009</v>
      </c>
      <c r="E143" s="223">
        <v>46221</v>
      </c>
      <c r="F143" s="222" t="s">
        <v>2010</v>
      </c>
      <c r="G143" s="210" t="s">
        <v>1760</v>
      </c>
      <c r="H143" s="156" t="s">
        <v>2016</v>
      </c>
      <c r="I143" s="210">
        <v>22120.78</v>
      </c>
      <c r="J143" s="210" t="s">
        <v>1784</v>
      </c>
      <c r="K143" s="214">
        <v>1500</v>
      </c>
      <c r="L143" s="214">
        <f t="shared" si="4"/>
        <v>33181170</v>
      </c>
      <c r="M143" s="12"/>
      <c r="N143" s="12"/>
      <c r="O143" s="210"/>
      <c r="P143" s="210"/>
    </row>
    <row r="144" spans="1:16" ht="30" customHeight="1">
      <c r="A144" s="210">
        <v>1</v>
      </c>
      <c r="B144" s="210" t="s">
        <v>174</v>
      </c>
      <c r="C144" s="204" t="s">
        <v>2017</v>
      </c>
      <c r="D144" s="221" t="s">
        <v>2018</v>
      </c>
      <c r="E144" s="223">
        <v>46221</v>
      </c>
      <c r="F144" s="222" t="s">
        <v>2019</v>
      </c>
      <c r="G144" s="210" t="s">
        <v>1760</v>
      </c>
      <c r="H144" s="156" t="s">
        <v>2020</v>
      </c>
      <c r="I144" s="210">
        <v>600</v>
      </c>
      <c r="J144" s="210" t="s">
        <v>2021</v>
      </c>
      <c r="K144" s="214">
        <v>15000</v>
      </c>
      <c r="L144" s="214">
        <f t="shared" si="4"/>
        <v>9000000</v>
      </c>
      <c r="M144" s="12"/>
      <c r="N144" s="12"/>
      <c r="O144" s="210"/>
      <c r="P144" s="210"/>
    </row>
    <row r="145" spans="1:16">
      <c r="A145" s="210">
        <v>2</v>
      </c>
      <c r="B145" s="210" t="s">
        <v>174</v>
      </c>
      <c r="C145" s="204" t="s">
        <v>2017</v>
      </c>
      <c r="D145" s="221" t="s">
        <v>2018</v>
      </c>
      <c r="E145" s="223">
        <v>46221</v>
      </c>
      <c r="F145" s="222" t="s">
        <v>2019</v>
      </c>
      <c r="G145" s="210" t="s">
        <v>1760</v>
      </c>
      <c r="H145" s="156" t="s">
        <v>2022</v>
      </c>
      <c r="I145" s="210">
        <v>1</v>
      </c>
      <c r="J145" s="210" t="s">
        <v>1778</v>
      </c>
      <c r="K145" s="214">
        <v>1500000</v>
      </c>
      <c r="L145" s="214">
        <f t="shared" si="4"/>
        <v>1500000</v>
      </c>
      <c r="M145" s="12"/>
      <c r="N145" s="12"/>
      <c r="O145" s="210"/>
      <c r="P145" s="210"/>
    </row>
    <row r="146" spans="1:16">
      <c r="A146" s="210">
        <v>1</v>
      </c>
      <c r="B146" s="210" t="s">
        <v>174</v>
      </c>
      <c r="C146" s="204" t="s">
        <v>2023</v>
      </c>
      <c r="D146" s="221" t="s">
        <v>2024</v>
      </c>
      <c r="E146" s="223">
        <v>46223</v>
      </c>
      <c r="F146" s="222" t="s">
        <v>2025</v>
      </c>
      <c r="G146" s="210" t="s">
        <v>1760</v>
      </c>
      <c r="H146" s="156" t="s">
        <v>1852</v>
      </c>
      <c r="I146" s="210">
        <v>1</v>
      </c>
      <c r="J146" s="210" t="s">
        <v>1778</v>
      </c>
      <c r="K146" s="214">
        <v>5000000</v>
      </c>
      <c r="L146" s="214">
        <f t="shared" si="4"/>
        <v>5000000</v>
      </c>
      <c r="M146" s="12"/>
      <c r="N146" s="12"/>
      <c r="O146" s="210"/>
      <c r="P146" s="210"/>
    </row>
    <row r="147" spans="1:16">
      <c r="A147" s="243"/>
      <c r="B147" s="243" t="s">
        <v>174</v>
      </c>
      <c r="C147" s="244" t="s">
        <v>1885</v>
      </c>
      <c r="D147" s="244" t="s">
        <v>1886</v>
      </c>
      <c r="E147" s="245">
        <v>46193</v>
      </c>
      <c r="F147" s="244"/>
      <c r="G147" s="243" t="s">
        <v>1768</v>
      </c>
      <c r="H147" s="246" t="s">
        <v>2026</v>
      </c>
      <c r="I147" s="243">
        <v>1</v>
      </c>
      <c r="J147" s="243" t="s">
        <v>1933</v>
      </c>
      <c r="K147" s="247">
        <v>1893011</v>
      </c>
      <c r="L147" s="247">
        <f t="shared" si="4"/>
        <v>1893011</v>
      </c>
      <c r="M147" s="248"/>
      <c r="N147" s="248"/>
      <c r="O147" s="243"/>
      <c r="P147" s="243" t="s">
        <v>1989</v>
      </c>
    </row>
    <row r="148" spans="1:16" ht="30" customHeight="1">
      <c r="A148" s="210">
        <v>1</v>
      </c>
      <c r="B148" s="210" t="s">
        <v>174</v>
      </c>
      <c r="C148" s="204" t="s">
        <v>2027</v>
      </c>
      <c r="D148" s="221" t="s">
        <v>2028</v>
      </c>
      <c r="E148" s="223">
        <v>46227</v>
      </c>
      <c r="F148" s="222" t="s">
        <v>2029</v>
      </c>
      <c r="G148" s="210" t="s">
        <v>1768</v>
      </c>
      <c r="H148" s="156" t="s">
        <v>1867</v>
      </c>
      <c r="I148" s="210">
        <v>1</v>
      </c>
      <c r="J148" s="210" t="s">
        <v>296</v>
      </c>
      <c r="K148" s="214">
        <v>4000000</v>
      </c>
      <c r="L148" s="214">
        <f t="shared" si="4"/>
        <v>4000000</v>
      </c>
      <c r="M148" s="12"/>
      <c r="N148" s="12"/>
      <c r="O148" s="210"/>
      <c r="P148" s="210"/>
    </row>
    <row r="149" spans="1:16">
      <c r="A149" s="210">
        <v>2</v>
      </c>
      <c r="B149" s="210" t="s">
        <v>174</v>
      </c>
      <c r="C149" s="204" t="s">
        <v>2027</v>
      </c>
      <c r="D149" s="221" t="s">
        <v>2028</v>
      </c>
      <c r="E149" s="223">
        <v>46227</v>
      </c>
      <c r="F149" s="222" t="s">
        <v>2029</v>
      </c>
      <c r="G149" s="210" t="s">
        <v>1768</v>
      </c>
      <c r="H149" s="156" t="s">
        <v>1910</v>
      </c>
      <c r="I149" s="210">
        <v>1.56</v>
      </c>
      <c r="J149" s="210" t="s">
        <v>1857</v>
      </c>
      <c r="K149" s="214">
        <v>43698</v>
      </c>
      <c r="L149" s="214">
        <f t="shared" si="4"/>
        <v>68168.88</v>
      </c>
      <c r="M149" s="12"/>
      <c r="N149" s="12"/>
      <c r="O149" s="210"/>
      <c r="P149" s="210"/>
    </row>
    <row r="150" spans="1:16">
      <c r="A150" s="210">
        <v>3</v>
      </c>
      <c r="B150" s="210" t="s">
        <v>174</v>
      </c>
      <c r="C150" s="204" t="s">
        <v>2027</v>
      </c>
      <c r="D150" s="221" t="s">
        <v>2028</v>
      </c>
      <c r="E150" s="223">
        <v>46227</v>
      </c>
      <c r="F150" s="222" t="s">
        <v>2029</v>
      </c>
      <c r="G150" s="210" t="s">
        <v>1768</v>
      </c>
      <c r="H150" s="156" t="s">
        <v>1911</v>
      </c>
      <c r="I150" s="210">
        <v>0.55000000000000004</v>
      </c>
      <c r="J150" s="210" t="s">
        <v>1857</v>
      </c>
      <c r="K150" s="214">
        <v>34656</v>
      </c>
      <c r="L150" s="214">
        <f t="shared" si="4"/>
        <v>19060.800000000003</v>
      </c>
      <c r="M150" s="12"/>
      <c r="N150" s="12"/>
      <c r="O150" s="210"/>
      <c r="P150" s="210"/>
    </row>
    <row r="151" spans="1:16" ht="30" customHeight="1">
      <c r="A151" s="210">
        <v>4</v>
      </c>
      <c r="B151" s="210" t="s">
        <v>174</v>
      </c>
      <c r="C151" s="204" t="s">
        <v>2027</v>
      </c>
      <c r="D151" s="221" t="s">
        <v>2028</v>
      </c>
      <c r="E151" s="223">
        <v>46227</v>
      </c>
      <c r="F151" s="222" t="s">
        <v>2029</v>
      </c>
      <c r="G151" s="210" t="s">
        <v>1768</v>
      </c>
      <c r="H151" s="156" t="s">
        <v>1912</v>
      </c>
      <c r="I151" s="210">
        <v>0.53</v>
      </c>
      <c r="J151" s="210" t="s">
        <v>1857</v>
      </c>
      <c r="K151" s="214">
        <v>2084061</v>
      </c>
      <c r="L151" s="214">
        <f t="shared" si="4"/>
        <v>1104552.33</v>
      </c>
      <c r="M151" s="12"/>
      <c r="N151" s="12"/>
      <c r="O151" s="210"/>
      <c r="P151" s="210"/>
    </row>
    <row r="152" spans="1:16">
      <c r="A152" s="210">
        <v>5</v>
      </c>
      <c r="B152" s="210" t="s">
        <v>174</v>
      </c>
      <c r="C152" s="204" t="s">
        <v>2027</v>
      </c>
      <c r="D152" s="221" t="s">
        <v>2028</v>
      </c>
      <c r="E152" s="223">
        <v>46227</v>
      </c>
      <c r="F152" s="222" t="s">
        <v>2029</v>
      </c>
      <c r="G152" s="210" t="s">
        <v>1768</v>
      </c>
      <c r="H152" s="156" t="s">
        <v>1913</v>
      </c>
      <c r="I152" s="210">
        <v>3.27</v>
      </c>
      <c r="J152" s="210" t="s">
        <v>1857</v>
      </c>
      <c r="K152" s="214">
        <v>483357</v>
      </c>
      <c r="L152" s="214">
        <f t="shared" si="4"/>
        <v>1580577.39</v>
      </c>
      <c r="M152" s="12"/>
      <c r="N152" s="12"/>
      <c r="O152" s="210"/>
      <c r="P152" s="210"/>
    </row>
    <row r="153" spans="1:16">
      <c r="A153" s="210">
        <v>6</v>
      </c>
      <c r="B153" s="210" t="s">
        <v>174</v>
      </c>
      <c r="C153" s="204" t="s">
        <v>2027</v>
      </c>
      <c r="D153" s="221" t="s">
        <v>2028</v>
      </c>
      <c r="E153" s="223">
        <v>46227</v>
      </c>
      <c r="F153" s="222" t="s">
        <v>2029</v>
      </c>
      <c r="G153" s="210" t="s">
        <v>1768</v>
      </c>
      <c r="H153" s="156" t="s">
        <v>1914</v>
      </c>
      <c r="I153" s="210">
        <v>0.2</v>
      </c>
      <c r="J153" s="210" t="s">
        <v>1857</v>
      </c>
      <c r="K153" s="214">
        <v>270160</v>
      </c>
      <c r="L153" s="214">
        <f t="shared" si="4"/>
        <v>54032</v>
      </c>
      <c r="M153" s="12"/>
      <c r="N153" s="12"/>
      <c r="O153" s="210"/>
      <c r="P153" s="210"/>
    </row>
    <row r="154" spans="1:16">
      <c r="A154" s="210">
        <v>1</v>
      </c>
      <c r="B154" s="210" t="s">
        <v>174</v>
      </c>
      <c r="C154" s="204" t="s">
        <v>2008</v>
      </c>
      <c r="D154" s="221" t="s">
        <v>2009</v>
      </c>
      <c r="E154" s="223">
        <v>46231</v>
      </c>
      <c r="F154" s="222" t="s">
        <v>2030</v>
      </c>
      <c r="G154" s="210" t="s">
        <v>2031</v>
      </c>
      <c r="H154" s="156" t="s">
        <v>2012</v>
      </c>
      <c r="I154" s="210">
        <v>1</v>
      </c>
      <c r="J154" s="210" t="s">
        <v>1778</v>
      </c>
      <c r="K154" s="214">
        <v>1662500</v>
      </c>
      <c r="L154" s="214">
        <f t="shared" si="4"/>
        <v>1662500</v>
      </c>
      <c r="M154" s="12"/>
      <c r="N154" s="12"/>
      <c r="O154" s="210"/>
      <c r="P154" s="210"/>
    </row>
    <row r="155" spans="1:16">
      <c r="A155" s="210">
        <v>2</v>
      </c>
      <c r="B155" s="210" t="s">
        <v>174</v>
      </c>
      <c r="C155" s="204" t="s">
        <v>2008</v>
      </c>
      <c r="D155" s="221" t="s">
        <v>2009</v>
      </c>
      <c r="E155" s="223">
        <v>46231</v>
      </c>
      <c r="F155" s="222" t="s">
        <v>2030</v>
      </c>
      <c r="G155" s="210" t="s">
        <v>2031</v>
      </c>
      <c r="H155" s="156" t="s">
        <v>2013</v>
      </c>
      <c r="I155" s="210">
        <v>1</v>
      </c>
      <c r="J155" s="210" t="s">
        <v>1778</v>
      </c>
      <c r="K155" s="214">
        <v>1662500</v>
      </c>
      <c r="L155" s="214">
        <f t="shared" si="4"/>
        <v>1662500</v>
      </c>
      <c r="M155" s="12"/>
      <c r="N155" s="12"/>
      <c r="O155" s="210"/>
      <c r="P155" s="210"/>
    </row>
    <row r="156" spans="1:16">
      <c r="A156" s="210">
        <v>3</v>
      </c>
      <c r="B156" s="210" t="s">
        <v>174</v>
      </c>
      <c r="C156" s="204" t="s">
        <v>2008</v>
      </c>
      <c r="D156" s="221" t="s">
        <v>2009</v>
      </c>
      <c r="E156" s="223">
        <v>46231</v>
      </c>
      <c r="F156" s="222" t="s">
        <v>2030</v>
      </c>
      <c r="G156" s="210" t="s">
        <v>2031</v>
      </c>
      <c r="H156" s="156" t="s">
        <v>2014</v>
      </c>
      <c r="I156" s="210">
        <v>7</v>
      </c>
      <c r="J156" s="210" t="s">
        <v>1853</v>
      </c>
      <c r="K156" s="214">
        <v>500000</v>
      </c>
      <c r="L156" s="214">
        <f t="shared" si="4"/>
        <v>3500000</v>
      </c>
      <c r="M156" s="12"/>
      <c r="N156" s="12"/>
      <c r="O156" s="210"/>
      <c r="P156" s="210"/>
    </row>
    <row r="157" spans="1:16">
      <c r="A157" s="210">
        <v>4</v>
      </c>
      <c r="B157" s="210" t="s">
        <v>174</v>
      </c>
      <c r="C157" s="204" t="s">
        <v>2008</v>
      </c>
      <c r="D157" s="221" t="s">
        <v>2009</v>
      </c>
      <c r="E157" s="223">
        <v>46231</v>
      </c>
      <c r="F157" s="222" t="s">
        <v>2030</v>
      </c>
      <c r="G157" s="210" t="s">
        <v>2031</v>
      </c>
      <c r="H157" s="156" t="s">
        <v>2015</v>
      </c>
      <c r="I157" s="210">
        <v>5</v>
      </c>
      <c r="J157" s="210" t="s">
        <v>1853</v>
      </c>
      <c r="K157" s="214">
        <v>500000</v>
      </c>
      <c r="L157" s="214">
        <f t="shared" si="4"/>
        <v>2500000</v>
      </c>
      <c r="M157" s="12"/>
      <c r="N157" s="12"/>
      <c r="O157" s="210"/>
      <c r="P157" s="210"/>
    </row>
    <row r="158" spans="1:16" ht="30" customHeight="1">
      <c r="A158" s="210">
        <v>1</v>
      </c>
      <c r="B158" s="210" t="s">
        <v>174</v>
      </c>
      <c r="C158" s="204" t="s">
        <v>2032</v>
      </c>
      <c r="D158" s="221" t="s">
        <v>2033</v>
      </c>
      <c r="E158" s="223">
        <v>46232</v>
      </c>
      <c r="F158" s="222" t="s">
        <v>2034</v>
      </c>
      <c r="G158" s="210" t="s">
        <v>1768</v>
      </c>
      <c r="H158" s="156" t="s">
        <v>1867</v>
      </c>
      <c r="I158" s="210">
        <v>1</v>
      </c>
      <c r="J158" s="210" t="s">
        <v>296</v>
      </c>
      <c r="K158" s="214">
        <v>4000000</v>
      </c>
      <c r="L158" s="214">
        <f t="shared" si="4"/>
        <v>4000000</v>
      </c>
      <c r="M158" s="12"/>
      <c r="N158" s="12"/>
      <c r="O158" s="210"/>
      <c r="P158" s="210"/>
    </row>
    <row r="159" spans="1:16">
      <c r="A159" s="210">
        <v>2</v>
      </c>
      <c r="B159" s="210" t="s">
        <v>174</v>
      </c>
      <c r="C159" s="204" t="s">
        <v>2032</v>
      </c>
      <c r="D159" s="221" t="s">
        <v>2033</v>
      </c>
      <c r="E159" s="223">
        <v>46232</v>
      </c>
      <c r="F159" s="222" t="s">
        <v>2034</v>
      </c>
      <c r="G159" s="210" t="s">
        <v>1768</v>
      </c>
      <c r="H159" s="156" t="s">
        <v>1910</v>
      </c>
      <c r="I159" s="210">
        <v>1.56</v>
      </c>
      <c r="J159" s="210" t="s">
        <v>1857</v>
      </c>
      <c r="K159" s="214">
        <v>43698</v>
      </c>
      <c r="L159" s="214">
        <f t="shared" si="4"/>
        <v>68168.88</v>
      </c>
      <c r="M159" s="12"/>
      <c r="N159" s="12"/>
      <c r="O159" s="210"/>
      <c r="P159" s="210"/>
    </row>
    <row r="160" spans="1:16">
      <c r="A160" s="210">
        <v>3</v>
      </c>
      <c r="B160" s="210" t="s">
        <v>174</v>
      </c>
      <c r="C160" s="204" t="s">
        <v>2032</v>
      </c>
      <c r="D160" s="221" t="s">
        <v>2033</v>
      </c>
      <c r="E160" s="223">
        <v>46232</v>
      </c>
      <c r="F160" s="222" t="s">
        <v>2034</v>
      </c>
      <c r="G160" s="210" t="s">
        <v>1768</v>
      </c>
      <c r="H160" s="156" t="s">
        <v>1911</v>
      </c>
      <c r="I160" s="210">
        <v>0.55000000000000004</v>
      </c>
      <c r="J160" s="210" t="s">
        <v>1857</v>
      </c>
      <c r="K160" s="214">
        <v>34656</v>
      </c>
      <c r="L160" s="214">
        <f t="shared" si="4"/>
        <v>19060.800000000003</v>
      </c>
      <c r="M160" s="12"/>
      <c r="N160" s="12"/>
      <c r="O160" s="210"/>
      <c r="P160" s="210"/>
    </row>
    <row r="161" spans="1:16" ht="30" customHeight="1">
      <c r="A161" s="210">
        <v>4</v>
      </c>
      <c r="B161" s="210" t="s">
        <v>174</v>
      </c>
      <c r="C161" s="204" t="s">
        <v>2032</v>
      </c>
      <c r="D161" s="221" t="s">
        <v>2033</v>
      </c>
      <c r="E161" s="223">
        <v>46232</v>
      </c>
      <c r="F161" s="222" t="s">
        <v>2034</v>
      </c>
      <c r="G161" s="210" t="s">
        <v>1768</v>
      </c>
      <c r="H161" s="156" t="s">
        <v>1912</v>
      </c>
      <c r="I161" s="210">
        <v>0.53</v>
      </c>
      <c r="J161" s="210" t="s">
        <v>1857</v>
      </c>
      <c r="K161" s="214">
        <v>2084061</v>
      </c>
      <c r="L161" s="214">
        <f t="shared" si="4"/>
        <v>1104552.33</v>
      </c>
      <c r="M161" s="12"/>
      <c r="N161" s="12"/>
      <c r="O161" s="210"/>
      <c r="P161" s="210"/>
    </row>
    <row r="162" spans="1:16">
      <c r="A162" s="276">
        <v>5</v>
      </c>
      <c r="B162" s="276" t="s">
        <v>174</v>
      </c>
      <c r="C162" s="204" t="s">
        <v>2032</v>
      </c>
      <c r="D162" s="221" t="s">
        <v>2033</v>
      </c>
      <c r="E162" s="223">
        <v>46232</v>
      </c>
      <c r="F162" s="222" t="s">
        <v>2034</v>
      </c>
      <c r="G162" s="276" t="s">
        <v>1768</v>
      </c>
      <c r="H162" s="277" t="s">
        <v>1913</v>
      </c>
      <c r="I162" s="276">
        <v>3.27</v>
      </c>
      <c r="J162" s="276" t="s">
        <v>1857</v>
      </c>
      <c r="K162" s="278">
        <v>483357</v>
      </c>
      <c r="L162" s="278">
        <f t="shared" si="4"/>
        <v>1580577.39</v>
      </c>
      <c r="M162" s="12"/>
      <c r="N162" s="12"/>
      <c r="O162" s="276"/>
      <c r="P162" s="276"/>
    </row>
    <row r="163" spans="1:16">
      <c r="A163" s="276">
        <v>6</v>
      </c>
      <c r="B163" s="276" t="s">
        <v>174</v>
      </c>
      <c r="C163" s="204" t="s">
        <v>2032</v>
      </c>
      <c r="D163" s="221" t="s">
        <v>2033</v>
      </c>
      <c r="E163" s="223">
        <v>46232</v>
      </c>
      <c r="F163" s="222" t="s">
        <v>2034</v>
      </c>
      <c r="G163" s="276" t="s">
        <v>1768</v>
      </c>
      <c r="H163" s="277" t="s">
        <v>1914</v>
      </c>
      <c r="I163" s="276">
        <v>0.2</v>
      </c>
      <c r="J163" s="276" t="s">
        <v>1857</v>
      </c>
      <c r="K163" s="278">
        <v>270160</v>
      </c>
      <c r="L163" s="278">
        <f t="shared" si="4"/>
        <v>54032</v>
      </c>
      <c r="M163" s="12"/>
      <c r="N163" s="12"/>
      <c r="O163" s="276"/>
      <c r="P163" s="276"/>
    </row>
    <row r="164" spans="1:16">
      <c r="A164" s="276"/>
      <c r="B164" s="276"/>
      <c r="C164" s="204"/>
      <c r="D164" s="221"/>
      <c r="E164" s="223"/>
      <c r="F164" s="222"/>
      <c r="G164" s="276"/>
      <c r="H164" s="277"/>
      <c r="I164" s="276"/>
      <c r="J164" s="276"/>
      <c r="K164" s="278"/>
      <c r="L164" s="278"/>
      <c r="M164" s="12"/>
      <c r="N164" s="12"/>
      <c r="O164" s="276"/>
      <c r="P164" s="276"/>
    </row>
    <row r="165" spans="1:16">
      <c r="A165" s="276"/>
      <c r="B165" s="276"/>
      <c r="C165" s="204"/>
      <c r="D165" s="221"/>
      <c r="E165" s="223"/>
      <c r="F165" s="222"/>
      <c r="G165" s="276"/>
      <c r="H165" s="277"/>
      <c r="I165" s="276"/>
      <c r="J165" s="276"/>
      <c r="K165" s="278"/>
      <c r="L165" s="278"/>
      <c r="M165" s="12"/>
      <c r="N165" s="12"/>
      <c r="O165" s="276"/>
      <c r="P165" s="276"/>
    </row>
    <row r="166" spans="1:16">
      <c r="A166" s="276"/>
      <c r="B166" s="276"/>
      <c r="C166" s="204"/>
      <c r="D166" s="221"/>
      <c r="E166" s="223"/>
      <c r="F166" s="222"/>
      <c r="G166" s="276"/>
      <c r="H166" s="277"/>
      <c r="I166" s="276"/>
      <c r="J166" s="276"/>
      <c r="K166" s="278"/>
      <c r="L166" s="278"/>
      <c r="M166" s="12"/>
      <c r="N166" s="12"/>
      <c r="O166" s="276"/>
      <c r="P166" s="276"/>
    </row>
    <row r="167" spans="1:16">
      <c r="A167" s="276"/>
      <c r="B167" s="276"/>
      <c r="C167" s="204"/>
      <c r="D167" s="221"/>
      <c r="E167" s="223"/>
      <c r="F167" s="222"/>
      <c r="G167" s="276"/>
      <c r="H167" s="277"/>
      <c r="I167" s="276"/>
      <c r="J167" s="276"/>
      <c r="K167" s="278"/>
      <c r="L167" s="278"/>
      <c r="M167" s="12"/>
      <c r="N167" s="12"/>
      <c r="O167" s="276"/>
      <c r="P167" s="276"/>
    </row>
    <row r="168" spans="1:16">
      <c r="A168" s="276"/>
      <c r="B168" s="276"/>
      <c r="C168" s="204"/>
      <c r="D168" s="221"/>
      <c r="E168" s="223"/>
      <c r="F168" s="222"/>
      <c r="G168" s="276"/>
      <c r="H168" s="277"/>
      <c r="I168" s="276"/>
      <c r="J168" s="276"/>
      <c r="K168" s="278"/>
      <c r="L168" s="278"/>
      <c r="M168" s="12"/>
      <c r="N168" s="12"/>
      <c r="O168" s="276"/>
      <c r="P168" s="276"/>
    </row>
    <row r="169" spans="1:16">
      <c r="A169" s="276"/>
      <c r="B169" s="276"/>
      <c r="C169" s="204"/>
      <c r="D169" s="221"/>
      <c r="E169" s="223"/>
      <c r="F169" s="222"/>
      <c r="G169" s="276"/>
      <c r="H169" s="277"/>
      <c r="I169" s="276"/>
      <c r="J169" s="276"/>
      <c r="K169" s="278"/>
      <c r="L169" s="278"/>
      <c r="M169" s="12"/>
      <c r="N169" s="12"/>
      <c r="O169" s="276"/>
      <c r="P169" s="276"/>
    </row>
    <row r="170" spans="1:16">
      <c r="A170" s="276"/>
      <c r="B170" s="276"/>
      <c r="C170" s="204"/>
      <c r="D170" s="221"/>
      <c r="E170" s="223"/>
      <c r="F170" s="222"/>
      <c r="G170" s="276"/>
      <c r="H170" s="277"/>
      <c r="I170" s="276"/>
      <c r="J170" s="276"/>
      <c r="K170" s="278"/>
      <c r="L170" s="278"/>
      <c r="M170" s="12"/>
      <c r="N170" s="12"/>
      <c r="O170" s="276"/>
      <c r="P170" s="276"/>
    </row>
    <row r="171" spans="1:16">
      <c r="A171" s="276"/>
      <c r="B171" s="276"/>
      <c r="C171" s="204"/>
      <c r="D171" s="221"/>
      <c r="E171" s="223"/>
      <c r="F171" s="222"/>
      <c r="G171" s="276"/>
      <c r="H171" s="277"/>
      <c r="I171" s="276"/>
      <c r="J171" s="276"/>
      <c r="K171" s="278"/>
      <c r="L171" s="278"/>
      <c r="M171" s="12"/>
      <c r="N171" s="12"/>
      <c r="O171" s="276"/>
      <c r="P171" s="276"/>
    </row>
    <row r="172" spans="1:16">
      <c r="A172" s="276"/>
      <c r="B172" s="276"/>
      <c r="C172" s="204"/>
      <c r="D172" s="221"/>
      <c r="E172" s="223"/>
      <c r="F172" s="222"/>
      <c r="G172" s="276"/>
      <c r="H172" s="277"/>
      <c r="I172" s="276"/>
      <c r="J172" s="276"/>
      <c r="K172" s="278"/>
      <c r="L172" s="278"/>
      <c r="M172" s="12"/>
      <c r="N172" s="12"/>
      <c r="O172" s="276"/>
      <c r="P172" s="276"/>
    </row>
    <row r="173" spans="1:16">
      <c r="A173" s="276"/>
      <c r="B173" s="276"/>
      <c r="C173" s="204"/>
      <c r="D173" s="221"/>
      <c r="E173" s="223"/>
      <c r="F173" s="222"/>
      <c r="G173" s="276"/>
      <c r="H173" s="277"/>
      <c r="I173" s="276"/>
      <c r="J173" s="276"/>
      <c r="K173" s="278"/>
      <c r="L173" s="278"/>
      <c r="M173" s="12"/>
      <c r="N173" s="12"/>
      <c r="O173" s="276"/>
      <c r="P173" s="276"/>
    </row>
    <row r="174" spans="1:16">
      <c r="A174" s="276"/>
      <c r="B174" s="276"/>
      <c r="C174" s="204"/>
      <c r="D174" s="221"/>
      <c r="E174" s="223"/>
      <c r="F174" s="222"/>
      <c r="G174" s="276"/>
      <c r="H174" s="277"/>
      <c r="I174" s="276"/>
      <c r="J174" s="276"/>
      <c r="K174" s="278"/>
      <c r="L174" s="278"/>
      <c r="M174" s="12"/>
      <c r="N174" s="12"/>
      <c r="O174" s="276"/>
      <c r="P174" s="276"/>
    </row>
    <row r="175" spans="1:16">
      <c r="A175" s="276"/>
      <c r="B175" s="276"/>
      <c r="C175" s="204"/>
      <c r="D175" s="221"/>
      <c r="E175" s="223"/>
      <c r="F175" s="222"/>
      <c r="G175" s="276"/>
      <c r="H175" s="277"/>
      <c r="I175" s="276"/>
      <c r="J175" s="276"/>
      <c r="K175" s="278"/>
      <c r="L175" s="278"/>
      <c r="M175" s="12"/>
      <c r="N175" s="12"/>
      <c r="O175" s="276"/>
      <c r="P175" s="276"/>
    </row>
    <row r="176" spans="1:16">
      <c r="A176" s="276"/>
      <c r="B176" s="276"/>
      <c r="C176" s="204"/>
      <c r="D176" s="221"/>
      <c r="E176" s="223"/>
      <c r="F176" s="222"/>
      <c r="G176" s="276"/>
      <c r="H176" s="277"/>
      <c r="I176" s="276"/>
      <c r="J176" s="276"/>
      <c r="K176" s="278"/>
      <c r="L176" s="278"/>
      <c r="M176" s="12"/>
      <c r="N176" s="12"/>
      <c r="O176" s="276"/>
      <c r="P176" s="276"/>
    </row>
    <row r="177" spans="1:16">
      <c r="A177" s="276"/>
      <c r="B177" s="276"/>
      <c r="C177" s="204"/>
      <c r="D177" s="221"/>
      <c r="E177" s="223"/>
      <c r="F177" s="222"/>
      <c r="G177" s="276"/>
      <c r="H177" s="277"/>
      <c r="I177" s="276"/>
      <c r="J177" s="276"/>
      <c r="K177" s="278"/>
      <c r="L177" s="278"/>
      <c r="M177" s="12"/>
      <c r="N177" s="12"/>
      <c r="O177" s="276"/>
      <c r="P177" s="276"/>
    </row>
    <row r="178" spans="1:16">
      <c r="A178" s="276"/>
      <c r="B178" s="276"/>
      <c r="C178" s="204"/>
      <c r="D178" s="221"/>
      <c r="E178" s="223"/>
      <c r="F178" s="222"/>
      <c r="G178" s="276"/>
      <c r="H178" s="277"/>
      <c r="I178" s="276"/>
      <c r="J178" s="276"/>
      <c r="K178" s="278"/>
      <c r="L178" s="278"/>
      <c r="M178" s="12"/>
      <c r="N178" s="12"/>
      <c r="O178" s="276"/>
      <c r="P178" s="276"/>
    </row>
    <row r="179" spans="1:16">
      <c r="A179" s="276"/>
      <c r="B179" s="276"/>
      <c r="C179" s="204"/>
      <c r="D179" s="221"/>
      <c r="E179" s="223"/>
      <c r="F179" s="222"/>
      <c r="G179" s="276"/>
      <c r="H179" s="277"/>
      <c r="I179" s="276"/>
      <c r="J179" s="276"/>
      <c r="K179" s="278"/>
      <c r="L179" s="278"/>
      <c r="M179" s="12"/>
      <c r="N179" s="12"/>
      <c r="O179" s="276"/>
      <c r="P179" s="276"/>
    </row>
  </sheetData>
  <autoFilter ref="B3:P157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J7"/>
  <sheetViews>
    <sheetView workbookViewId="0">
      <selection activeCell="C3" sqref="C3:J5"/>
    </sheetView>
  </sheetViews>
  <sheetFormatPr defaultRowHeight="15"/>
  <cols>
    <col min="3" max="3" width="21" bestFit="1" customWidth="1"/>
    <col min="4" max="4" width="15.85546875" bestFit="1" customWidth="1"/>
    <col min="5" max="5" width="20.5703125" bestFit="1" customWidth="1"/>
    <col min="6" max="6" width="7.85546875" customWidth="1"/>
    <col min="7" max="7" width="9.85546875" bestFit="1" customWidth="1"/>
    <col min="8" max="8" width="11.140625" bestFit="1" customWidth="1"/>
    <col min="9" max="9" width="12.140625" bestFit="1" customWidth="1"/>
    <col min="10" max="10" width="8.85546875" bestFit="1" customWidth="1"/>
  </cols>
  <sheetData>
    <row r="3" spans="3:10" ht="28.35" customHeight="1">
      <c r="C3" s="8"/>
      <c r="D3" s="196" t="s">
        <v>178</v>
      </c>
      <c r="E3" s="196" t="s">
        <v>179</v>
      </c>
      <c r="F3" s="197" t="s">
        <v>2035</v>
      </c>
      <c r="G3" s="196" t="s">
        <v>46</v>
      </c>
      <c r="H3" s="196" t="s">
        <v>47</v>
      </c>
      <c r="I3" s="197" t="s">
        <v>2036</v>
      </c>
      <c r="J3" s="196" t="s">
        <v>19</v>
      </c>
    </row>
    <row r="4" spans="3:10">
      <c r="C4" s="8" t="s">
        <v>2037</v>
      </c>
      <c r="D4" s="8" t="s">
        <v>103</v>
      </c>
      <c r="E4" s="8" t="s">
        <v>102</v>
      </c>
      <c r="F4" s="8" t="s">
        <v>2038</v>
      </c>
      <c r="G4" s="284" t="s">
        <v>106</v>
      </c>
      <c r="H4" s="284" t="s">
        <v>107</v>
      </c>
      <c r="I4" s="190">
        <v>44</v>
      </c>
      <c r="J4" s="190"/>
    </row>
    <row r="5" spans="3:10">
      <c r="C5" s="8" t="s">
        <v>1150</v>
      </c>
      <c r="D5" s="8" t="s">
        <v>2039</v>
      </c>
      <c r="E5" s="8" t="s">
        <v>2040</v>
      </c>
      <c r="F5" s="8" t="s">
        <v>2041</v>
      </c>
      <c r="G5" s="284" t="s">
        <v>2042</v>
      </c>
      <c r="H5" s="284" t="s">
        <v>2043</v>
      </c>
      <c r="I5" s="190" t="s">
        <v>2044</v>
      </c>
      <c r="J5" s="190"/>
    </row>
    <row r="7" spans="3:10">
      <c r="D7" t="s">
        <v>104</v>
      </c>
      <c r="E7" t="s">
        <v>105</v>
      </c>
    </row>
  </sheetData>
  <pageMargins left="0.70866141732283472" right="0.70866141732283472" top="0.74803149606299213" bottom="0.74803149606299213" header="0.31496062992125978" footer="0.31496062992125978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V126"/>
  <sheetViews>
    <sheetView workbookViewId="0">
      <pane xSplit="4" ySplit="3" topLeftCell="E116" activePane="bottomRight" state="frozen"/>
      <selection pane="topRight" activeCell="B3" sqref="B3:I112"/>
      <selection pane="bottomLeft" activeCell="B3" sqref="B3:I112"/>
      <selection pane="bottomRight" activeCell="B3" sqref="B3:C3"/>
    </sheetView>
  </sheetViews>
  <sheetFormatPr defaultRowHeight="15" outlineLevelCol="1"/>
  <cols>
    <col min="1" max="1" width="4" bestFit="1" customWidth="1"/>
    <col min="2" max="2" width="14.42578125" bestFit="1" customWidth="1"/>
    <col min="3" max="3" width="36.5703125" customWidth="1"/>
    <col min="4" max="4" width="11.42578125" bestFit="1" customWidth="1"/>
    <col min="5" max="5" width="16.5703125" customWidth="1" outlineLevel="1"/>
    <col min="6" max="6" width="30.42578125" customWidth="1" outlineLevel="1"/>
    <col min="7" max="7" width="14.140625" bestFit="1" customWidth="1"/>
    <col min="8" max="8" width="13.42578125" customWidth="1"/>
    <col min="9" max="12" width="13.5703125" customWidth="1"/>
    <col min="13" max="13" width="19.5703125" customWidth="1"/>
    <col min="14" max="14" width="48.85546875" customWidth="1"/>
    <col min="15" max="15" width="76.5703125" customWidth="1"/>
    <col min="18" max="18" width="15.5703125" bestFit="1" customWidth="1"/>
    <col min="19" max="19" width="14.5703125" customWidth="1"/>
    <col min="20" max="20" width="21.5703125" customWidth="1"/>
    <col min="21" max="21" width="25.5703125" customWidth="1"/>
    <col min="22" max="22" width="10.5703125" bestFit="1" customWidth="1"/>
  </cols>
  <sheetData>
    <row r="1" spans="1:22">
      <c r="A1" t="s">
        <v>2045</v>
      </c>
    </row>
    <row r="2" spans="1:22" ht="30" customHeight="1">
      <c r="R2" s="219" t="s">
        <v>2046</v>
      </c>
      <c r="S2" s="219" t="s">
        <v>2047</v>
      </c>
      <c r="T2" s="219" t="s">
        <v>2048</v>
      </c>
      <c r="U2" s="219" t="s">
        <v>2049</v>
      </c>
      <c r="V2" s="219" t="s">
        <v>2050</v>
      </c>
    </row>
    <row r="3" spans="1:22" ht="30" customHeight="1">
      <c r="A3" s="196" t="s">
        <v>127</v>
      </c>
      <c r="B3" s="196" t="s">
        <v>2051</v>
      </c>
      <c r="C3" s="196" t="s">
        <v>2052</v>
      </c>
      <c r="D3" s="196" t="s">
        <v>15</v>
      </c>
      <c r="E3" s="196" t="s">
        <v>16</v>
      </c>
      <c r="F3" s="196" t="s">
        <v>17</v>
      </c>
      <c r="G3" s="196" t="s">
        <v>2053</v>
      </c>
      <c r="H3" s="196" t="s">
        <v>2054</v>
      </c>
      <c r="I3" s="197" t="s">
        <v>2055</v>
      </c>
      <c r="J3" s="196" t="s">
        <v>2056</v>
      </c>
      <c r="K3" s="197" t="s">
        <v>2057</v>
      </c>
      <c r="L3" s="196" t="s">
        <v>2058</v>
      </c>
      <c r="M3" s="196" t="s">
        <v>2059</v>
      </c>
      <c r="N3" s="196" t="s">
        <v>184</v>
      </c>
      <c r="O3" s="275" t="s">
        <v>2060</v>
      </c>
      <c r="R3" s="204" t="s">
        <v>2061</v>
      </c>
      <c r="S3" s="204" t="s">
        <v>2062</v>
      </c>
      <c r="T3" s="218" t="s">
        <v>2063</v>
      </c>
      <c r="U3" s="218" t="s">
        <v>2064</v>
      </c>
      <c r="V3" s="204"/>
    </row>
    <row r="4" spans="1:22" hidden="1">
      <c r="A4" s="239">
        <v>1</v>
      </c>
      <c r="B4" s="8" t="s">
        <v>1898</v>
      </c>
      <c r="C4" s="8" t="s">
        <v>1899</v>
      </c>
      <c r="D4" s="8" t="s">
        <v>68</v>
      </c>
      <c r="E4" s="8" t="s">
        <v>2065</v>
      </c>
      <c r="F4" s="8" t="s">
        <v>2066</v>
      </c>
      <c r="G4" s="180" t="s">
        <v>2067</v>
      </c>
      <c r="H4" s="190">
        <v>10600</v>
      </c>
      <c r="I4" s="12">
        <v>46125</v>
      </c>
      <c r="J4" s="12"/>
      <c r="K4" s="12"/>
      <c r="L4" s="12">
        <v>45596</v>
      </c>
      <c r="M4" s="12" t="str">
        <f t="shared" ref="M4:M35" si="0">+IF(L4&lt;&gt;"","Done Boram",IF(K4&lt;&gt;"","SPBR submit to PLN",IF(J4&lt;&gt;"","SPBR Release",IF(I4&lt;&gt;"","Submit App SPBR",""))))</f>
        <v>Done Boram</v>
      </c>
      <c r="N4" s="8" t="s">
        <v>2068</v>
      </c>
    </row>
    <row r="5" spans="1:22" hidden="1">
      <c r="A5" s="239">
        <v>2</v>
      </c>
      <c r="B5" s="8" t="s">
        <v>1898</v>
      </c>
      <c r="C5" s="8" t="s">
        <v>1899</v>
      </c>
      <c r="D5" s="8" t="s">
        <v>798</v>
      </c>
      <c r="E5" s="8" t="s">
        <v>2069</v>
      </c>
      <c r="F5" s="8" t="s">
        <v>2070</v>
      </c>
      <c r="G5" s="180" t="s">
        <v>2071</v>
      </c>
      <c r="H5" s="190">
        <v>10600</v>
      </c>
      <c r="I5" s="12"/>
      <c r="J5" s="12"/>
      <c r="K5" s="12">
        <v>46125</v>
      </c>
      <c r="L5" s="12">
        <v>46136</v>
      </c>
      <c r="M5" s="12" t="str">
        <f t="shared" si="0"/>
        <v>Done Boram</v>
      </c>
      <c r="N5" s="8" t="s">
        <v>2072</v>
      </c>
    </row>
    <row r="6" spans="1:22" hidden="1">
      <c r="A6" s="190">
        <v>3</v>
      </c>
      <c r="B6" s="8" t="s">
        <v>2073</v>
      </c>
      <c r="C6" s="8" t="s">
        <v>2074</v>
      </c>
      <c r="D6" s="8" t="s">
        <v>68</v>
      </c>
      <c r="E6" s="8" t="s">
        <v>2075</v>
      </c>
      <c r="F6" s="8" t="s">
        <v>2076</v>
      </c>
      <c r="G6" s="180" t="s">
        <v>2077</v>
      </c>
      <c r="H6" s="190"/>
      <c r="I6" s="12">
        <v>45721</v>
      </c>
      <c r="J6" s="12">
        <v>45804</v>
      </c>
      <c r="K6" s="12">
        <v>45805</v>
      </c>
      <c r="L6" s="12">
        <v>45957</v>
      </c>
      <c r="M6" s="12" t="str">
        <f t="shared" si="0"/>
        <v>Done Boram</v>
      </c>
      <c r="N6" s="8"/>
    </row>
    <row r="7" spans="1:22" hidden="1">
      <c r="A7" s="190">
        <v>4</v>
      </c>
      <c r="B7" s="8" t="s">
        <v>2078</v>
      </c>
      <c r="C7" s="8" t="s">
        <v>2079</v>
      </c>
      <c r="D7" s="8" t="s">
        <v>68</v>
      </c>
      <c r="E7" s="8" t="s">
        <v>2080</v>
      </c>
      <c r="F7" s="8" t="s">
        <v>2081</v>
      </c>
      <c r="G7" s="180" t="s">
        <v>2082</v>
      </c>
      <c r="H7" s="190"/>
      <c r="I7" s="12">
        <v>45888</v>
      </c>
      <c r="J7" s="12">
        <v>45894</v>
      </c>
      <c r="K7" s="12">
        <v>45895</v>
      </c>
      <c r="L7" s="12">
        <v>45922</v>
      </c>
      <c r="M7" s="12" t="str">
        <f t="shared" si="0"/>
        <v>Done Boram</v>
      </c>
      <c r="N7" s="8"/>
    </row>
    <row r="8" spans="1:22" hidden="1">
      <c r="A8" s="190">
        <v>5</v>
      </c>
      <c r="B8" s="8" t="s">
        <v>2083</v>
      </c>
      <c r="C8" s="8" t="s">
        <v>2084</v>
      </c>
      <c r="D8" s="8" t="s">
        <v>55</v>
      </c>
      <c r="E8" s="8" t="s">
        <v>2085</v>
      </c>
      <c r="F8" s="8" t="s">
        <v>2084</v>
      </c>
      <c r="G8" s="180" t="s">
        <v>2086</v>
      </c>
      <c r="H8" s="190"/>
      <c r="I8" s="12">
        <v>45844</v>
      </c>
      <c r="J8" s="12">
        <v>45845</v>
      </c>
      <c r="K8" s="12">
        <v>45846</v>
      </c>
      <c r="L8" s="12">
        <v>45858</v>
      </c>
      <c r="M8" s="12" t="str">
        <f t="shared" si="0"/>
        <v>Done Boram</v>
      </c>
      <c r="N8" s="8"/>
    </row>
    <row r="9" spans="1:22" hidden="1">
      <c r="A9" s="190">
        <v>6</v>
      </c>
      <c r="B9" s="8" t="s">
        <v>90</v>
      </c>
      <c r="C9" s="8" t="s">
        <v>91</v>
      </c>
      <c r="D9" s="8" t="s">
        <v>68</v>
      </c>
      <c r="E9" s="8" t="s">
        <v>92</v>
      </c>
      <c r="F9" s="8" t="s">
        <v>93</v>
      </c>
      <c r="G9" s="180" t="s">
        <v>2087</v>
      </c>
      <c r="H9" s="190"/>
      <c r="I9" s="12">
        <v>46014</v>
      </c>
      <c r="J9" s="12">
        <v>46029</v>
      </c>
      <c r="K9" s="12">
        <v>46029</v>
      </c>
      <c r="L9" s="12">
        <v>46072</v>
      </c>
      <c r="M9" s="12" t="str">
        <f t="shared" si="0"/>
        <v>Done Boram</v>
      </c>
      <c r="N9" s="8"/>
    </row>
    <row r="10" spans="1:22" hidden="1">
      <c r="A10" s="190">
        <v>7</v>
      </c>
      <c r="B10" s="8" t="s">
        <v>2088</v>
      </c>
      <c r="C10" s="8" t="s">
        <v>2089</v>
      </c>
      <c r="D10" s="8" t="s">
        <v>68</v>
      </c>
      <c r="E10" s="8" t="s">
        <v>2090</v>
      </c>
      <c r="F10" s="8" t="s">
        <v>2091</v>
      </c>
      <c r="G10" s="180" t="s">
        <v>2092</v>
      </c>
      <c r="H10" s="190"/>
      <c r="I10" s="12">
        <v>45802</v>
      </c>
      <c r="J10" s="12">
        <v>45803</v>
      </c>
      <c r="K10" s="12">
        <v>45804</v>
      </c>
      <c r="L10" s="12">
        <v>45826</v>
      </c>
      <c r="M10" s="12" t="str">
        <f t="shared" si="0"/>
        <v>Done Boram</v>
      </c>
      <c r="N10" s="8"/>
    </row>
    <row r="11" spans="1:22" hidden="1">
      <c r="A11" s="190">
        <v>8</v>
      </c>
      <c r="B11" s="8" t="s">
        <v>328</v>
      </c>
      <c r="C11" s="8" t="s">
        <v>329</v>
      </c>
      <c r="D11" s="8" t="s">
        <v>55</v>
      </c>
      <c r="E11" s="8" t="s">
        <v>2093</v>
      </c>
      <c r="F11" s="8" t="s">
        <v>2094</v>
      </c>
      <c r="G11" s="180" t="s">
        <v>2095</v>
      </c>
      <c r="H11" s="190"/>
      <c r="I11" s="12">
        <v>46002</v>
      </c>
      <c r="J11" s="12">
        <v>46008</v>
      </c>
      <c r="K11" s="12">
        <v>46008</v>
      </c>
      <c r="L11" s="12">
        <v>46013</v>
      </c>
      <c r="M11" s="12" t="str">
        <f t="shared" si="0"/>
        <v>Done Boram</v>
      </c>
      <c r="N11" s="8"/>
    </row>
    <row r="12" spans="1:22" hidden="1">
      <c r="A12" s="190">
        <v>9</v>
      </c>
      <c r="B12" s="8" t="s">
        <v>2096</v>
      </c>
      <c r="C12" s="8" t="s">
        <v>2097</v>
      </c>
      <c r="D12" s="8" t="s">
        <v>68</v>
      </c>
      <c r="E12" s="8" t="s">
        <v>2098</v>
      </c>
      <c r="F12" s="8" t="s">
        <v>2099</v>
      </c>
      <c r="G12" s="180" t="s">
        <v>2100</v>
      </c>
      <c r="H12" s="190"/>
      <c r="I12" s="12">
        <v>45922</v>
      </c>
      <c r="J12" s="12">
        <v>45922</v>
      </c>
      <c r="K12" s="12">
        <v>45923</v>
      </c>
      <c r="L12" s="12">
        <v>45948</v>
      </c>
      <c r="M12" s="12" t="str">
        <f t="shared" si="0"/>
        <v>Done Boram</v>
      </c>
      <c r="N12" s="8"/>
    </row>
    <row r="13" spans="1:22" hidden="1">
      <c r="A13" s="190">
        <v>10</v>
      </c>
      <c r="B13" s="8" t="s">
        <v>2096</v>
      </c>
      <c r="C13" s="8" t="s">
        <v>2097</v>
      </c>
      <c r="D13" s="8" t="s">
        <v>55</v>
      </c>
      <c r="E13" s="8" t="s">
        <v>2101</v>
      </c>
      <c r="F13" s="8" t="s">
        <v>2102</v>
      </c>
      <c r="G13" s="180" t="s">
        <v>2103</v>
      </c>
      <c r="H13" s="190"/>
      <c r="I13" s="12">
        <v>45921</v>
      </c>
      <c r="J13" s="12">
        <v>45922</v>
      </c>
      <c r="K13" s="12">
        <v>45923</v>
      </c>
      <c r="L13" s="12">
        <v>45940</v>
      </c>
      <c r="M13" s="12" t="str">
        <f t="shared" si="0"/>
        <v>Done Boram</v>
      </c>
      <c r="N13" s="8"/>
    </row>
    <row r="14" spans="1:22" hidden="1">
      <c r="A14" s="190">
        <v>11</v>
      </c>
      <c r="B14" s="8" t="s">
        <v>464</v>
      </c>
      <c r="C14" s="8" t="s">
        <v>465</v>
      </c>
      <c r="D14" s="8" t="s">
        <v>55</v>
      </c>
      <c r="E14" s="8" t="s">
        <v>2104</v>
      </c>
      <c r="F14" s="8" t="s">
        <v>465</v>
      </c>
      <c r="G14" s="180" t="s">
        <v>2105</v>
      </c>
      <c r="H14" s="190"/>
      <c r="I14" s="12">
        <v>46153</v>
      </c>
      <c r="J14" s="12">
        <v>46153</v>
      </c>
      <c r="K14" s="12">
        <v>46153</v>
      </c>
      <c r="L14" s="12">
        <v>46164</v>
      </c>
      <c r="M14" s="12" t="str">
        <f t="shared" si="0"/>
        <v>Done Boram</v>
      </c>
      <c r="N14" s="8" t="s">
        <v>2106</v>
      </c>
    </row>
    <row r="15" spans="1:22" hidden="1">
      <c r="A15" s="239">
        <v>12</v>
      </c>
      <c r="B15" s="8" t="s">
        <v>464</v>
      </c>
      <c r="C15" s="8" t="s">
        <v>465</v>
      </c>
      <c r="D15" s="8" t="s">
        <v>798</v>
      </c>
      <c r="E15" s="8" t="s">
        <v>2107</v>
      </c>
      <c r="F15" s="8" t="s">
        <v>465</v>
      </c>
      <c r="G15" s="180" t="s">
        <v>2108</v>
      </c>
      <c r="H15" s="190">
        <v>10600</v>
      </c>
      <c r="I15" s="12">
        <v>46153</v>
      </c>
      <c r="J15" s="12">
        <v>46175</v>
      </c>
      <c r="K15" s="12">
        <v>46175</v>
      </c>
      <c r="L15" s="12">
        <v>46206</v>
      </c>
      <c r="M15" s="12" t="str">
        <f t="shared" si="0"/>
        <v>Done Boram</v>
      </c>
      <c r="N15" s="8"/>
    </row>
    <row r="16" spans="1:22" hidden="1">
      <c r="A16" s="190">
        <v>13</v>
      </c>
      <c r="B16" s="8" t="s">
        <v>2109</v>
      </c>
      <c r="C16" s="8" t="s">
        <v>2110</v>
      </c>
      <c r="D16" s="8" t="s">
        <v>68</v>
      </c>
      <c r="E16" s="8" t="s">
        <v>2111</v>
      </c>
      <c r="F16" s="8" t="s">
        <v>2112</v>
      </c>
      <c r="G16" s="180" t="s">
        <v>2113</v>
      </c>
      <c r="H16" s="190"/>
      <c r="I16" s="12">
        <v>45929</v>
      </c>
      <c r="J16" s="12">
        <v>45931</v>
      </c>
      <c r="K16" s="12">
        <v>45935</v>
      </c>
      <c r="L16" s="12">
        <v>45940</v>
      </c>
      <c r="M16" s="12" t="str">
        <f t="shared" si="0"/>
        <v>Done Boram</v>
      </c>
      <c r="N16" s="8"/>
    </row>
    <row r="17" spans="1:14" hidden="1">
      <c r="A17" s="190">
        <v>14</v>
      </c>
      <c r="B17" s="8" t="s">
        <v>2114</v>
      </c>
      <c r="C17" s="8" t="s">
        <v>2115</v>
      </c>
      <c r="D17" s="8" t="s">
        <v>68</v>
      </c>
      <c r="E17" s="8" t="s">
        <v>2116</v>
      </c>
      <c r="F17" s="8" t="s">
        <v>2117</v>
      </c>
      <c r="G17" s="180" t="s">
        <v>2118</v>
      </c>
      <c r="H17" s="190"/>
      <c r="I17" s="12"/>
      <c r="J17" s="12"/>
      <c r="K17" s="12"/>
      <c r="L17" s="12"/>
      <c r="M17" s="12" t="str">
        <f t="shared" si="0"/>
        <v/>
      </c>
      <c r="N17" s="8"/>
    </row>
    <row r="18" spans="1:14" hidden="1">
      <c r="A18" s="190">
        <v>15</v>
      </c>
      <c r="B18" s="8" t="s">
        <v>2114</v>
      </c>
      <c r="C18" s="8" t="s">
        <v>2115</v>
      </c>
      <c r="D18" s="8" t="s">
        <v>798</v>
      </c>
      <c r="E18" s="8"/>
      <c r="F18" s="8"/>
      <c r="G18" s="180" t="s">
        <v>2119</v>
      </c>
      <c r="H18" s="190">
        <v>7700</v>
      </c>
      <c r="I18" s="12"/>
      <c r="J18" s="12"/>
      <c r="K18" s="12"/>
      <c r="L18" s="12"/>
      <c r="M18" s="12" t="str">
        <f t="shared" si="0"/>
        <v/>
      </c>
      <c r="N18" s="8"/>
    </row>
    <row r="19" spans="1:14" hidden="1">
      <c r="A19" s="190">
        <v>16</v>
      </c>
      <c r="B19" s="8" t="s">
        <v>2120</v>
      </c>
      <c r="C19" s="8" t="s">
        <v>2121</v>
      </c>
      <c r="D19" s="8" t="s">
        <v>68</v>
      </c>
      <c r="E19" s="8" t="s">
        <v>2122</v>
      </c>
      <c r="F19" s="8" t="s">
        <v>2123</v>
      </c>
      <c r="G19" s="180" t="s">
        <v>2124</v>
      </c>
      <c r="H19" s="190"/>
      <c r="I19" s="12">
        <v>45936</v>
      </c>
      <c r="J19" s="12">
        <v>45930</v>
      </c>
      <c r="K19" s="12">
        <v>45931</v>
      </c>
      <c r="L19" s="12">
        <v>45957</v>
      </c>
      <c r="M19" s="12" t="str">
        <f t="shared" si="0"/>
        <v>Done Boram</v>
      </c>
      <c r="N19" s="8"/>
    </row>
    <row r="20" spans="1:14" hidden="1">
      <c r="A20" s="239">
        <v>17</v>
      </c>
      <c r="B20" s="8" t="s">
        <v>516</v>
      </c>
      <c r="C20" s="8" t="s">
        <v>1837</v>
      </c>
      <c r="D20" s="8" t="s">
        <v>68</v>
      </c>
      <c r="E20" s="8" t="s">
        <v>2125</v>
      </c>
      <c r="F20" s="8" t="s">
        <v>2126</v>
      </c>
      <c r="G20" s="180" t="s">
        <v>2127</v>
      </c>
      <c r="H20" s="190">
        <v>5500</v>
      </c>
      <c r="I20" s="12">
        <v>46030</v>
      </c>
      <c r="J20" s="12">
        <v>46030</v>
      </c>
      <c r="K20" s="12">
        <v>46041</v>
      </c>
      <c r="L20" s="12">
        <v>46042</v>
      </c>
      <c r="M20" s="12" t="str">
        <f t="shared" si="0"/>
        <v>Done Boram</v>
      </c>
      <c r="N20" s="8"/>
    </row>
    <row r="21" spans="1:14" hidden="1">
      <c r="A21" s="239">
        <v>18</v>
      </c>
      <c r="B21" s="8" t="s">
        <v>516</v>
      </c>
      <c r="C21" s="8" t="s">
        <v>1837</v>
      </c>
      <c r="D21" s="8" t="s">
        <v>55</v>
      </c>
      <c r="E21" s="8" t="s">
        <v>2128</v>
      </c>
      <c r="F21" s="8" t="s">
        <v>1837</v>
      </c>
      <c r="G21" s="180" t="s">
        <v>2129</v>
      </c>
      <c r="H21" s="190">
        <v>13200</v>
      </c>
      <c r="I21" s="12">
        <v>46030</v>
      </c>
      <c r="J21" s="12">
        <v>46030</v>
      </c>
      <c r="K21" s="12">
        <v>46041</v>
      </c>
      <c r="L21" s="12">
        <v>46042</v>
      </c>
      <c r="M21" s="12" t="str">
        <f t="shared" si="0"/>
        <v>Done Boram</v>
      </c>
      <c r="N21" s="8"/>
    </row>
    <row r="22" spans="1:14" hidden="1">
      <c r="A22" s="190">
        <v>19</v>
      </c>
      <c r="B22" s="8" t="s">
        <v>1841</v>
      </c>
      <c r="C22" s="8" t="s">
        <v>1842</v>
      </c>
      <c r="D22" s="8" t="s">
        <v>68</v>
      </c>
      <c r="E22" s="8" t="s">
        <v>2130</v>
      </c>
      <c r="F22" s="8" t="s">
        <v>2131</v>
      </c>
      <c r="G22" s="180" t="s">
        <v>2132</v>
      </c>
      <c r="H22" s="190">
        <v>13200</v>
      </c>
      <c r="I22" s="12">
        <v>45996</v>
      </c>
      <c r="J22" s="12">
        <v>46001</v>
      </c>
      <c r="K22" s="12">
        <v>46001</v>
      </c>
      <c r="L22" s="12">
        <v>46010</v>
      </c>
      <c r="M22" s="12" t="str">
        <f t="shared" si="0"/>
        <v>Done Boram</v>
      </c>
      <c r="N22" s="8"/>
    </row>
    <row r="23" spans="1:14" hidden="1">
      <c r="A23" s="190">
        <v>20</v>
      </c>
      <c r="B23" s="8" t="s">
        <v>1841</v>
      </c>
      <c r="C23" s="8" t="s">
        <v>1842</v>
      </c>
      <c r="D23" s="8" t="s">
        <v>55</v>
      </c>
      <c r="E23" s="8" t="s">
        <v>2133</v>
      </c>
      <c r="F23" s="8" t="s">
        <v>2134</v>
      </c>
      <c r="G23" s="180" t="s">
        <v>2135</v>
      </c>
      <c r="H23" s="190">
        <v>6600</v>
      </c>
      <c r="I23" s="12">
        <v>45996</v>
      </c>
      <c r="J23" s="12">
        <v>46001</v>
      </c>
      <c r="K23" s="12">
        <v>46001</v>
      </c>
      <c r="L23" s="12">
        <v>46010</v>
      </c>
      <c r="M23" s="12" t="str">
        <f t="shared" si="0"/>
        <v>Done Boram</v>
      </c>
      <c r="N23" s="8"/>
    </row>
    <row r="24" spans="1:14" hidden="1">
      <c r="A24" s="190">
        <v>21</v>
      </c>
      <c r="B24" s="8" t="s">
        <v>1841</v>
      </c>
      <c r="C24" s="8" t="s">
        <v>1842</v>
      </c>
      <c r="D24" s="8" t="s">
        <v>798</v>
      </c>
      <c r="E24" s="8" t="s">
        <v>2136</v>
      </c>
      <c r="F24" s="8" t="s">
        <v>2137</v>
      </c>
      <c r="G24" s="180" t="s">
        <v>2138</v>
      </c>
      <c r="H24" s="190">
        <v>10600</v>
      </c>
      <c r="I24" s="12">
        <v>45996</v>
      </c>
      <c r="J24" s="12">
        <v>46006</v>
      </c>
      <c r="K24" s="12">
        <v>46006</v>
      </c>
      <c r="L24" s="12">
        <v>46010</v>
      </c>
      <c r="M24" s="12" t="str">
        <f t="shared" si="0"/>
        <v>Done Boram</v>
      </c>
      <c r="N24" s="8"/>
    </row>
    <row r="25" spans="1:14" hidden="1">
      <c r="A25" s="190">
        <v>22</v>
      </c>
      <c r="B25" s="8" t="s">
        <v>1859</v>
      </c>
      <c r="C25" s="8" t="s">
        <v>1860</v>
      </c>
      <c r="D25" s="8" t="s">
        <v>68</v>
      </c>
      <c r="E25" s="8" t="s">
        <v>2139</v>
      </c>
      <c r="F25" s="8" t="s">
        <v>2140</v>
      </c>
      <c r="G25" s="180" t="s">
        <v>2141</v>
      </c>
      <c r="H25" s="190"/>
      <c r="I25" s="12">
        <v>45871</v>
      </c>
      <c r="J25" s="12">
        <v>45877</v>
      </c>
      <c r="K25" s="12">
        <v>45878</v>
      </c>
      <c r="L25" s="12">
        <v>45926</v>
      </c>
      <c r="M25" s="12" t="str">
        <f t="shared" si="0"/>
        <v>Done Boram</v>
      </c>
      <c r="N25" s="8"/>
    </row>
    <row r="26" spans="1:14" hidden="1">
      <c r="A26" s="190">
        <v>23</v>
      </c>
      <c r="B26" s="8" t="s">
        <v>1859</v>
      </c>
      <c r="C26" s="8" t="s">
        <v>1860</v>
      </c>
      <c r="D26" s="8" t="s">
        <v>55</v>
      </c>
      <c r="E26" s="8" t="s">
        <v>2142</v>
      </c>
      <c r="F26" s="8" t="s">
        <v>1860</v>
      </c>
      <c r="G26" s="180" t="s">
        <v>2143</v>
      </c>
      <c r="H26" s="190"/>
      <c r="I26" s="12">
        <v>45935</v>
      </c>
      <c r="J26" s="12">
        <v>45936</v>
      </c>
      <c r="K26" s="12">
        <v>45937</v>
      </c>
      <c r="L26" s="12">
        <v>45941</v>
      </c>
      <c r="M26" s="12" t="str">
        <f t="shared" si="0"/>
        <v>Done Boram</v>
      </c>
      <c r="N26" s="8"/>
    </row>
    <row r="27" spans="1:14" hidden="1">
      <c r="A27" s="190">
        <v>24</v>
      </c>
      <c r="B27" s="8" t="s">
        <v>1859</v>
      </c>
      <c r="C27" s="8" t="s">
        <v>1860</v>
      </c>
      <c r="D27" s="8" t="s">
        <v>798</v>
      </c>
      <c r="E27" s="8"/>
      <c r="F27" s="8"/>
      <c r="G27" s="180" t="s">
        <v>2144</v>
      </c>
      <c r="H27" s="190"/>
      <c r="I27" s="12">
        <v>45904</v>
      </c>
      <c r="J27" s="12">
        <v>45974</v>
      </c>
      <c r="K27" s="12">
        <v>45974</v>
      </c>
      <c r="L27" s="12">
        <v>45982</v>
      </c>
      <c r="M27" s="12" t="str">
        <f t="shared" si="0"/>
        <v>Done Boram</v>
      </c>
      <c r="N27" s="8"/>
    </row>
    <row r="28" spans="1:14" hidden="1">
      <c r="A28" s="190">
        <v>25</v>
      </c>
      <c r="B28" s="8" t="s">
        <v>2145</v>
      </c>
      <c r="C28" s="8" t="s">
        <v>2146</v>
      </c>
      <c r="D28" s="8" t="s">
        <v>68</v>
      </c>
      <c r="E28" s="8" t="s">
        <v>2147</v>
      </c>
      <c r="F28" s="8" t="s">
        <v>2148</v>
      </c>
      <c r="G28" s="180" t="s">
        <v>2149</v>
      </c>
      <c r="H28" s="190"/>
      <c r="I28" s="12">
        <v>45975</v>
      </c>
      <c r="J28" s="12">
        <v>45989</v>
      </c>
      <c r="K28" s="12">
        <v>45989</v>
      </c>
      <c r="L28" s="12" t="s">
        <v>2150</v>
      </c>
      <c r="M28" s="12" t="str">
        <f t="shared" si="0"/>
        <v>Done Boram</v>
      </c>
      <c r="N28" s="8"/>
    </row>
    <row r="29" spans="1:14" hidden="1">
      <c r="A29" s="239">
        <v>26</v>
      </c>
      <c r="B29" s="8" t="s">
        <v>557</v>
      </c>
      <c r="C29" s="8" t="s">
        <v>558</v>
      </c>
      <c r="D29" s="8" t="s">
        <v>68</v>
      </c>
      <c r="E29" s="8" t="s">
        <v>2151</v>
      </c>
      <c r="F29" s="8" t="s">
        <v>2152</v>
      </c>
      <c r="G29" s="180" t="s">
        <v>2153</v>
      </c>
      <c r="H29" s="190">
        <v>23000</v>
      </c>
      <c r="I29" s="12">
        <v>46120</v>
      </c>
      <c r="J29" s="12">
        <v>46128</v>
      </c>
      <c r="K29" s="12">
        <v>46129</v>
      </c>
      <c r="L29" s="12">
        <v>46133</v>
      </c>
      <c r="M29" s="12" t="str">
        <f t="shared" si="0"/>
        <v>Done Boram</v>
      </c>
      <c r="N29" s="8"/>
    </row>
    <row r="30" spans="1:14" hidden="1">
      <c r="A30" s="190">
        <v>27</v>
      </c>
      <c r="B30" s="8" t="s">
        <v>2145</v>
      </c>
      <c r="C30" s="8" t="s">
        <v>2146</v>
      </c>
      <c r="D30" s="8" t="s">
        <v>55</v>
      </c>
      <c r="E30" s="8" t="s">
        <v>2154</v>
      </c>
      <c r="F30" s="8" t="s">
        <v>2146</v>
      </c>
      <c r="G30" s="180" t="s">
        <v>2155</v>
      </c>
      <c r="H30" s="190"/>
      <c r="I30" s="12">
        <v>45975</v>
      </c>
      <c r="J30" s="12">
        <v>45988</v>
      </c>
      <c r="K30" s="12">
        <v>45988</v>
      </c>
      <c r="L30" s="12">
        <v>46000</v>
      </c>
      <c r="M30" s="12" t="str">
        <f t="shared" si="0"/>
        <v>Done Boram</v>
      </c>
      <c r="N30" s="8"/>
    </row>
    <row r="31" spans="1:14" hidden="1">
      <c r="A31" s="239">
        <v>28</v>
      </c>
      <c r="B31" s="8" t="s">
        <v>557</v>
      </c>
      <c r="C31" s="8" t="s">
        <v>558</v>
      </c>
      <c r="D31" s="8" t="s">
        <v>55</v>
      </c>
      <c r="E31" s="8" t="s">
        <v>2156</v>
      </c>
      <c r="F31" s="8" t="s">
        <v>558</v>
      </c>
      <c r="G31" s="180" t="s">
        <v>2157</v>
      </c>
      <c r="H31" s="190">
        <v>10600</v>
      </c>
      <c r="I31" s="12">
        <v>46120</v>
      </c>
      <c r="J31" s="12">
        <v>46127</v>
      </c>
      <c r="K31" s="12">
        <v>46127</v>
      </c>
      <c r="L31" s="12">
        <v>46133</v>
      </c>
      <c r="M31" s="12" t="str">
        <f t="shared" si="0"/>
        <v>Done Boram</v>
      </c>
      <c r="N31" s="8"/>
    </row>
    <row r="32" spans="1:14" hidden="1">
      <c r="A32" s="190">
        <v>29</v>
      </c>
      <c r="B32" s="8" t="s">
        <v>1757</v>
      </c>
      <c r="C32" s="8" t="s">
        <v>1758</v>
      </c>
      <c r="D32" s="8" t="s">
        <v>68</v>
      </c>
      <c r="E32" s="8" t="s">
        <v>2158</v>
      </c>
      <c r="F32" s="8" t="s">
        <v>2159</v>
      </c>
      <c r="G32" s="180" t="s">
        <v>2160</v>
      </c>
      <c r="H32" s="190"/>
      <c r="I32" s="12">
        <v>45869</v>
      </c>
      <c r="J32" s="12">
        <v>45869</v>
      </c>
      <c r="K32" s="12">
        <v>45870</v>
      </c>
      <c r="L32" s="12">
        <v>45883</v>
      </c>
      <c r="M32" s="12" t="str">
        <f t="shared" si="0"/>
        <v>Done Boram</v>
      </c>
      <c r="N32" s="8"/>
    </row>
    <row r="33" spans="1:14" hidden="1">
      <c r="A33" s="190">
        <v>30</v>
      </c>
      <c r="B33" s="8" t="s">
        <v>1757</v>
      </c>
      <c r="C33" s="8" t="s">
        <v>1758</v>
      </c>
      <c r="D33" s="8" t="s">
        <v>55</v>
      </c>
      <c r="E33" s="8" t="s">
        <v>2161</v>
      </c>
      <c r="F33" s="8" t="s">
        <v>2162</v>
      </c>
      <c r="G33" s="180" t="s">
        <v>2163</v>
      </c>
      <c r="H33" s="190"/>
      <c r="I33" s="12">
        <v>45869</v>
      </c>
      <c r="J33" s="12">
        <v>45870</v>
      </c>
      <c r="K33" s="12">
        <v>45871</v>
      </c>
      <c r="L33" s="12">
        <v>45878</v>
      </c>
      <c r="M33" s="12" t="str">
        <f t="shared" si="0"/>
        <v>Done Boram</v>
      </c>
      <c r="N33" s="8"/>
    </row>
    <row r="34" spans="1:14" hidden="1">
      <c r="A34" s="190">
        <v>31</v>
      </c>
      <c r="B34" s="8" t="s">
        <v>2164</v>
      </c>
      <c r="C34" s="8" t="s">
        <v>2165</v>
      </c>
      <c r="D34" s="8" t="s">
        <v>68</v>
      </c>
      <c r="E34" s="8" t="s">
        <v>2166</v>
      </c>
      <c r="F34" s="8" t="s">
        <v>2167</v>
      </c>
      <c r="G34" s="180" t="s">
        <v>2168</v>
      </c>
      <c r="H34" s="190"/>
      <c r="I34" s="12">
        <v>45881</v>
      </c>
      <c r="J34" s="12"/>
      <c r="K34" s="12"/>
      <c r="L34" s="12"/>
      <c r="M34" s="12" t="str">
        <f t="shared" si="0"/>
        <v>Submit App SPBR</v>
      </c>
      <c r="N34" s="8"/>
    </row>
    <row r="35" spans="1:14" hidden="1">
      <c r="A35" s="190">
        <v>32</v>
      </c>
      <c r="B35" s="8" t="s">
        <v>2169</v>
      </c>
      <c r="C35" s="8" t="s">
        <v>2170</v>
      </c>
      <c r="D35" s="8" t="s">
        <v>68</v>
      </c>
      <c r="E35" s="8" t="s">
        <v>2171</v>
      </c>
      <c r="F35" s="8" t="s">
        <v>2172</v>
      </c>
      <c r="G35" s="180" t="s">
        <v>2173</v>
      </c>
      <c r="H35" s="190"/>
      <c r="I35" s="12"/>
      <c r="J35" s="12"/>
      <c r="K35" s="12"/>
      <c r="L35" s="12"/>
      <c r="M35" s="12" t="str">
        <f t="shared" si="0"/>
        <v/>
      </c>
      <c r="N35" s="8"/>
    </row>
    <row r="36" spans="1:14" hidden="1">
      <c r="A36" s="190">
        <v>33</v>
      </c>
      <c r="B36" s="8" t="s">
        <v>2174</v>
      </c>
      <c r="C36" s="8" t="s">
        <v>2175</v>
      </c>
      <c r="D36" s="8" t="s">
        <v>68</v>
      </c>
      <c r="E36" s="8" t="s">
        <v>2176</v>
      </c>
      <c r="F36" s="8" t="s">
        <v>2177</v>
      </c>
      <c r="G36" s="180" t="s">
        <v>2178</v>
      </c>
      <c r="H36" s="190"/>
      <c r="I36" s="12">
        <v>45915</v>
      </c>
      <c r="J36" s="12">
        <v>45915</v>
      </c>
      <c r="K36" s="12">
        <v>45947</v>
      </c>
      <c r="L36" s="12">
        <v>45957</v>
      </c>
      <c r="M36" s="12" t="str">
        <f t="shared" ref="M36:M67" si="1">+IF(L36&lt;&gt;"","Done Boram",IF(K36&lt;&gt;"","SPBR submit to PLN",IF(J36&lt;&gt;"","SPBR Release",IF(I36&lt;&gt;"","Submit App SPBR",""))))</f>
        <v>Done Boram</v>
      </c>
      <c r="N36" s="8"/>
    </row>
    <row r="37" spans="1:14" hidden="1">
      <c r="A37" s="190">
        <v>34</v>
      </c>
      <c r="B37" s="8" t="s">
        <v>2174</v>
      </c>
      <c r="C37" s="8" t="s">
        <v>2175</v>
      </c>
      <c r="D37" s="8" t="s">
        <v>55</v>
      </c>
      <c r="E37" s="8" t="s">
        <v>2179</v>
      </c>
      <c r="F37" s="8" t="s">
        <v>2180</v>
      </c>
      <c r="G37" s="180" t="s">
        <v>2181</v>
      </c>
      <c r="H37" s="190"/>
      <c r="I37" s="12">
        <v>45931</v>
      </c>
      <c r="J37" s="12">
        <v>45932</v>
      </c>
      <c r="K37" s="12">
        <v>45933</v>
      </c>
      <c r="L37" s="12">
        <v>45957</v>
      </c>
      <c r="M37" s="12" t="str">
        <f t="shared" si="1"/>
        <v>Done Boram</v>
      </c>
      <c r="N37" s="8"/>
    </row>
    <row r="38" spans="1:14" hidden="1">
      <c r="A38" s="190">
        <v>35</v>
      </c>
      <c r="B38" s="8" t="s">
        <v>2174</v>
      </c>
      <c r="C38" s="8" t="s">
        <v>2175</v>
      </c>
      <c r="D38" s="8" t="s">
        <v>798</v>
      </c>
      <c r="E38" s="8"/>
      <c r="F38" s="8"/>
      <c r="G38" s="180" t="s">
        <v>2182</v>
      </c>
      <c r="H38" s="190"/>
      <c r="I38" s="12">
        <v>45908</v>
      </c>
      <c r="J38" s="12">
        <v>45974</v>
      </c>
      <c r="K38" s="12">
        <v>45974</v>
      </c>
      <c r="L38" s="12">
        <v>45985</v>
      </c>
      <c r="M38" s="12" t="str">
        <f t="shared" si="1"/>
        <v>Done Boram</v>
      </c>
      <c r="N38" s="8"/>
    </row>
    <row r="39" spans="1:14" hidden="1">
      <c r="A39" s="181">
        <v>36</v>
      </c>
      <c r="B39" s="8" t="s">
        <v>1950</v>
      </c>
      <c r="C39" s="8" t="s">
        <v>1951</v>
      </c>
      <c r="D39" s="8" t="s">
        <v>68</v>
      </c>
      <c r="E39" s="8" t="s">
        <v>2183</v>
      </c>
      <c r="F39" s="8" t="s">
        <v>2184</v>
      </c>
      <c r="G39" s="180" t="s">
        <v>2185</v>
      </c>
      <c r="H39" s="190"/>
      <c r="I39" s="12">
        <v>46132</v>
      </c>
      <c r="J39" s="12">
        <v>46146</v>
      </c>
      <c r="K39" s="12"/>
      <c r="L39" s="12"/>
      <c r="M39" s="12" t="str">
        <f t="shared" si="1"/>
        <v>SPBR Release</v>
      </c>
      <c r="N39" s="8" t="s">
        <v>2186</v>
      </c>
    </row>
    <row r="40" spans="1:14" hidden="1">
      <c r="A40" s="181">
        <v>37</v>
      </c>
      <c r="B40" s="8" t="s">
        <v>1950</v>
      </c>
      <c r="C40" s="8" t="s">
        <v>1951</v>
      </c>
      <c r="D40" s="8" t="s">
        <v>798</v>
      </c>
      <c r="E40" s="8" t="s">
        <v>2187</v>
      </c>
      <c r="F40" s="8" t="s">
        <v>2188</v>
      </c>
      <c r="G40" s="180" t="s">
        <v>2189</v>
      </c>
      <c r="H40" s="190"/>
      <c r="I40" s="12">
        <v>46132</v>
      </c>
      <c r="J40" s="12">
        <v>46146</v>
      </c>
      <c r="K40" s="12"/>
      <c r="L40" s="12"/>
      <c r="M40" s="12" t="str">
        <f t="shared" si="1"/>
        <v>SPBR Release</v>
      </c>
      <c r="N40" s="8" t="s">
        <v>2186</v>
      </c>
    </row>
    <row r="41" spans="1:14" hidden="1">
      <c r="A41" s="190">
        <v>38</v>
      </c>
      <c r="B41" s="8" t="s">
        <v>567</v>
      </c>
      <c r="C41" s="8" t="s">
        <v>568</v>
      </c>
      <c r="D41" s="8" t="s">
        <v>55</v>
      </c>
      <c r="E41" s="8" t="s">
        <v>2190</v>
      </c>
      <c r="F41" s="8" t="s">
        <v>2191</v>
      </c>
      <c r="G41" s="180" t="s">
        <v>2192</v>
      </c>
      <c r="H41" s="190"/>
      <c r="I41" s="12">
        <v>45958</v>
      </c>
      <c r="J41" s="12">
        <v>45964</v>
      </c>
      <c r="K41" s="12">
        <v>45965</v>
      </c>
      <c r="L41" s="12">
        <v>45987</v>
      </c>
      <c r="M41" s="12" t="str">
        <f t="shared" si="1"/>
        <v>Done Boram</v>
      </c>
      <c r="N41" s="8"/>
    </row>
    <row r="42" spans="1:14" hidden="1">
      <c r="A42" s="190">
        <v>39</v>
      </c>
      <c r="B42" s="8" t="s">
        <v>2027</v>
      </c>
      <c r="C42" s="8" t="s">
        <v>2028</v>
      </c>
      <c r="D42" s="8" t="s">
        <v>68</v>
      </c>
      <c r="E42" s="8" t="s">
        <v>2193</v>
      </c>
      <c r="F42" s="8" t="s">
        <v>2194</v>
      </c>
      <c r="G42" s="180" t="s">
        <v>2195</v>
      </c>
      <c r="H42" s="190">
        <v>23000</v>
      </c>
      <c r="I42" s="12"/>
      <c r="J42" s="12"/>
      <c r="K42" s="12"/>
      <c r="L42" s="12"/>
      <c r="M42" s="12" t="str">
        <f t="shared" si="1"/>
        <v/>
      </c>
      <c r="N42" s="8"/>
    </row>
    <row r="43" spans="1:14" hidden="1">
      <c r="A43" s="190">
        <v>40</v>
      </c>
      <c r="B43" s="8" t="s">
        <v>2027</v>
      </c>
      <c r="C43" s="8" t="s">
        <v>2028</v>
      </c>
      <c r="D43" s="8" t="s">
        <v>55</v>
      </c>
      <c r="E43" s="8" t="s">
        <v>2196</v>
      </c>
      <c r="F43" s="8" t="s">
        <v>2197</v>
      </c>
      <c r="G43" s="180" t="s">
        <v>2198</v>
      </c>
      <c r="H43" s="190">
        <v>17600</v>
      </c>
      <c r="I43" s="12"/>
      <c r="J43" s="12"/>
      <c r="K43" s="12"/>
      <c r="L43" s="12"/>
      <c r="M43" s="12" t="str">
        <f t="shared" si="1"/>
        <v/>
      </c>
      <c r="N43" s="8"/>
    </row>
    <row r="44" spans="1:14" hidden="1">
      <c r="A44" s="190">
        <v>41</v>
      </c>
      <c r="B44" s="8" t="s">
        <v>2199</v>
      </c>
      <c r="C44" s="8" t="s">
        <v>2200</v>
      </c>
      <c r="D44" s="8" t="s">
        <v>68</v>
      </c>
      <c r="E44" s="8" t="s">
        <v>2201</v>
      </c>
      <c r="F44" s="8" t="s">
        <v>2202</v>
      </c>
      <c r="G44" s="180" t="s">
        <v>2203</v>
      </c>
      <c r="H44" s="190"/>
      <c r="I44" s="12">
        <v>45924</v>
      </c>
      <c r="J44" s="12">
        <v>45924</v>
      </c>
      <c r="K44" s="12">
        <v>45925</v>
      </c>
      <c r="L44" s="12">
        <v>45930</v>
      </c>
      <c r="M44" s="12" t="str">
        <f t="shared" si="1"/>
        <v>Done Boram</v>
      </c>
      <c r="N44" s="8"/>
    </row>
    <row r="45" spans="1:14" hidden="1">
      <c r="A45" s="190">
        <v>42</v>
      </c>
      <c r="B45" s="8" t="s">
        <v>1803</v>
      </c>
      <c r="C45" s="8" t="s">
        <v>1804</v>
      </c>
      <c r="D45" s="8" t="s">
        <v>68</v>
      </c>
      <c r="E45" s="8" t="s">
        <v>2204</v>
      </c>
      <c r="F45" s="8" t="s">
        <v>2205</v>
      </c>
      <c r="G45" s="180" t="s">
        <v>2206</v>
      </c>
      <c r="H45" s="190"/>
      <c r="I45" s="12">
        <v>45961</v>
      </c>
      <c r="J45" s="12">
        <v>45961</v>
      </c>
      <c r="K45" s="12">
        <v>45967</v>
      </c>
      <c r="L45" s="12">
        <v>45993</v>
      </c>
      <c r="M45" s="12" t="str">
        <f t="shared" si="1"/>
        <v>Done Boram</v>
      </c>
      <c r="N45" s="8"/>
    </row>
    <row r="46" spans="1:14" hidden="1">
      <c r="A46" s="190">
        <v>43</v>
      </c>
      <c r="B46" s="8" t="s">
        <v>1780</v>
      </c>
      <c r="C46" s="8" t="s">
        <v>1781</v>
      </c>
      <c r="D46" s="8" t="s">
        <v>68</v>
      </c>
      <c r="E46" s="8" t="s">
        <v>2207</v>
      </c>
      <c r="F46" s="8" t="s">
        <v>2208</v>
      </c>
      <c r="G46" s="180" t="s">
        <v>2209</v>
      </c>
      <c r="H46" s="190">
        <v>13200</v>
      </c>
      <c r="I46" s="12">
        <v>45951</v>
      </c>
      <c r="J46" s="12">
        <v>45988</v>
      </c>
      <c r="K46" s="12">
        <v>45988</v>
      </c>
      <c r="L46" s="12">
        <v>46009</v>
      </c>
      <c r="M46" s="12" t="str">
        <f t="shared" si="1"/>
        <v>Done Boram</v>
      </c>
      <c r="N46" s="8"/>
    </row>
    <row r="47" spans="1:14" hidden="1">
      <c r="A47" s="190">
        <v>44</v>
      </c>
      <c r="B47" s="8" t="s">
        <v>1780</v>
      </c>
      <c r="C47" s="8" t="s">
        <v>1781</v>
      </c>
      <c r="D47" s="8" t="s">
        <v>55</v>
      </c>
      <c r="E47" s="8" t="s">
        <v>2210</v>
      </c>
      <c r="F47" s="8" t="s">
        <v>1781</v>
      </c>
      <c r="G47" s="180" t="s">
        <v>2211</v>
      </c>
      <c r="H47" s="190">
        <v>6600</v>
      </c>
      <c r="I47" s="12">
        <v>45971</v>
      </c>
      <c r="J47" s="12">
        <v>45972</v>
      </c>
      <c r="K47" s="12">
        <v>45973</v>
      </c>
      <c r="L47" s="12">
        <v>46000</v>
      </c>
      <c r="M47" s="12" t="str">
        <f t="shared" si="1"/>
        <v>Done Boram</v>
      </c>
      <c r="N47" s="8"/>
    </row>
    <row r="48" spans="1:14" hidden="1">
      <c r="A48" s="190">
        <v>45</v>
      </c>
      <c r="B48" s="8" t="s">
        <v>1780</v>
      </c>
      <c r="C48" s="8" t="s">
        <v>1781</v>
      </c>
      <c r="D48" s="8" t="s">
        <v>798</v>
      </c>
      <c r="E48" s="8" t="s">
        <v>2212</v>
      </c>
      <c r="F48" s="8" t="s">
        <v>2213</v>
      </c>
      <c r="G48" s="180" t="s">
        <v>2214</v>
      </c>
      <c r="H48" s="190">
        <v>7700</v>
      </c>
      <c r="I48" s="12">
        <v>45957</v>
      </c>
      <c r="J48" s="12">
        <v>45968</v>
      </c>
      <c r="K48" s="12">
        <v>45973</v>
      </c>
      <c r="L48" s="12">
        <v>46000</v>
      </c>
      <c r="M48" s="12" t="str">
        <f t="shared" si="1"/>
        <v>Done Boram</v>
      </c>
      <c r="N48" s="8"/>
    </row>
    <row r="49" spans="1:14" hidden="1">
      <c r="A49" s="239">
        <v>46</v>
      </c>
      <c r="B49" s="8" t="s">
        <v>1885</v>
      </c>
      <c r="C49" s="8" t="s">
        <v>1886</v>
      </c>
      <c r="D49" s="8" t="s">
        <v>68</v>
      </c>
      <c r="E49" s="8" t="s">
        <v>2215</v>
      </c>
      <c r="F49" s="8" t="s">
        <v>2216</v>
      </c>
      <c r="G49" s="180" t="s">
        <v>2217</v>
      </c>
      <c r="H49" s="190">
        <v>6600</v>
      </c>
      <c r="I49" s="12">
        <v>46030</v>
      </c>
      <c r="J49" s="12">
        <v>46031</v>
      </c>
      <c r="K49" s="12">
        <v>46065</v>
      </c>
      <c r="L49" s="12">
        <v>46080</v>
      </c>
      <c r="M49" s="12" t="str">
        <f t="shared" si="1"/>
        <v>Done Boram</v>
      </c>
      <c r="N49" s="8"/>
    </row>
    <row r="50" spans="1:14" hidden="1">
      <c r="A50" s="239">
        <v>47</v>
      </c>
      <c r="B50" s="8" t="s">
        <v>1885</v>
      </c>
      <c r="C50" s="8" t="s">
        <v>1886</v>
      </c>
      <c r="D50" s="8" t="s">
        <v>55</v>
      </c>
      <c r="E50" s="8" t="s">
        <v>2218</v>
      </c>
      <c r="F50" s="8" t="s">
        <v>2219</v>
      </c>
      <c r="G50" s="180" t="s">
        <v>2220</v>
      </c>
      <c r="H50" s="190">
        <v>16500</v>
      </c>
      <c r="I50" s="12">
        <v>46030</v>
      </c>
      <c r="J50" s="12">
        <v>46030</v>
      </c>
      <c r="K50" s="12">
        <v>46065</v>
      </c>
      <c r="L50" s="12">
        <v>46080</v>
      </c>
      <c r="M50" s="12" t="str">
        <f t="shared" si="1"/>
        <v>Done Boram</v>
      </c>
      <c r="N50" s="8"/>
    </row>
    <row r="51" spans="1:14" hidden="1">
      <c r="A51" s="239">
        <v>48</v>
      </c>
      <c r="B51" s="8" t="s">
        <v>1885</v>
      </c>
      <c r="C51" s="8" t="s">
        <v>1886</v>
      </c>
      <c r="D51" s="8" t="s">
        <v>798</v>
      </c>
      <c r="E51" s="8" t="s">
        <v>2221</v>
      </c>
      <c r="F51" s="8" t="s">
        <v>1886</v>
      </c>
      <c r="G51" s="180" t="s">
        <v>2222</v>
      </c>
      <c r="H51" s="190">
        <v>10600</v>
      </c>
      <c r="I51" s="12">
        <v>46030</v>
      </c>
      <c r="J51" s="12">
        <v>46045</v>
      </c>
      <c r="K51" s="12">
        <v>46065</v>
      </c>
      <c r="L51" s="12">
        <v>46080</v>
      </c>
      <c r="M51" s="12" t="str">
        <f t="shared" si="1"/>
        <v>Done Boram</v>
      </c>
      <c r="N51" s="8"/>
    </row>
    <row r="52" spans="1:14" hidden="1">
      <c r="A52" s="239">
        <v>49</v>
      </c>
      <c r="B52" s="8" t="s">
        <v>1875</v>
      </c>
      <c r="C52" s="8" t="s">
        <v>1876</v>
      </c>
      <c r="D52" s="8" t="s">
        <v>55</v>
      </c>
      <c r="E52" s="8" t="s">
        <v>2223</v>
      </c>
      <c r="F52" s="8" t="s">
        <v>1876</v>
      </c>
      <c r="G52" s="180" t="s">
        <v>2224</v>
      </c>
      <c r="H52" s="190">
        <v>6600</v>
      </c>
      <c r="I52" s="12">
        <v>46030</v>
      </c>
      <c r="J52" s="12">
        <v>46030</v>
      </c>
      <c r="K52" s="12">
        <v>46036</v>
      </c>
      <c r="L52" s="12">
        <v>46073</v>
      </c>
      <c r="M52" s="12" t="str">
        <f t="shared" si="1"/>
        <v>Done Boram</v>
      </c>
      <c r="N52" s="8"/>
    </row>
    <row r="53" spans="1:14" hidden="1">
      <c r="A53" s="239">
        <v>50</v>
      </c>
      <c r="B53" s="8" t="s">
        <v>913</v>
      </c>
      <c r="C53" s="8" t="s">
        <v>914</v>
      </c>
      <c r="D53" s="8" t="s">
        <v>68</v>
      </c>
      <c r="E53" s="8" t="s">
        <v>2225</v>
      </c>
      <c r="F53" s="8" t="s">
        <v>2226</v>
      </c>
      <c r="G53" s="180" t="s">
        <v>2227</v>
      </c>
      <c r="H53" s="190">
        <v>16500</v>
      </c>
      <c r="I53" s="12">
        <v>46062</v>
      </c>
      <c r="J53" s="12">
        <v>46076</v>
      </c>
      <c r="K53" s="12">
        <v>46076</v>
      </c>
      <c r="L53" s="12">
        <v>46114</v>
      </c>
      <c r="M53" s="12" t="str">
        <f t="shared" si="1"/>
        <v>Done Boram</v>
      </c>
      <c r="N53" s="8"/>
    </row>
    <row r="54" spans="1:14" hidden="1">
      <c r="A54" s="190">
        <v>51</v>
      </c>
      <c r="B54" s="8" t="s">
        <v>612</v>
      </c>
      <c r="C54" s="8" t="s">
        <v>613</v>
      </c>
      <c r="D54" s="8" t="s">
        <v>55</v>
      </c>
      <c r="E54" s="8" t="s">
        <v>2228</v>
      </c>
      <c r="F54" s="8" t="s">
        <v>2229</v>
      </c>
      <c r="G54" s="180" t="s">
        <v>2230</v>
      </c>
      <c r="H54" s="190"/>
      <c r="I54" s="12">
        <v>45958</v>
      </c>
      <c r="J54" s="12">
        <v>45964</v>
      </c>
      <c r="K54" s="12">
        <v>45964</v>
      </c>
      <c r="L54" s="12">
        <v>45981</v>
      </c>
      <c r="M54" s="12" t="str">
        <f t="shared" si="1"/>
        <v>Done Boram</v>
      </c>
      <c r="N54" s="8"/>
    </row>
    <row r="55" spans="1:14" hidden="1">
      <c r="A55" s="239">
        <v>52</v>
      </c>
      <c r="B55" s="8" t="s">
        <v>913</v>
      </c>
      <c r="C55" s="8" t="s">
        <v>914</v>
      </c>
      <c r="D55" s="8" t="s">
        <v>798</v>
      </c>
      <c r="E55" s="8" t="s">
        <v>2231</v>
      </c>
      <c r="F55" s="8" t="s">
        <v>914</v>
      </c>
      <c r="G55" s="180" t="s">
        <v>2232</v>
      </c>
      <c r="H55" s="190">
        <v>10600</v>
      </c>
      <c r="I55" s="12">
        <v>46062</v>
      </c>
      <c r="J55" s="12">
        <v>46084</v>
      </c>
      <c r="K55" s="12">
        <v>46085</v>
      </c>
      <c r="L55" s="12">
        <v>46114</v>
      </c>
      <c r="M55" s="12" t="str">
        <f t="shared" si="1"/>
        <v>Done Boram</v>
      </c>
      <c r="N55" s="8"/>
    </row>
    <row r="56" spans="1:14" hidden="1">
      <c r="A56" s="190">
        <v>53</v>
      </c>
      <c r="B56" s="8" t="s">
        <v>648</v>
      </c>
      <c r="C56" s="8" t="s">
        <v>649</v>
      </c>
      <c r="D56" s="8" t="s">
        <v>55</v>
      </c>
      <c r="E56" s="8" t="s">
        <v>2233</v>
      </c>
      <c r="F56" s="8" t="s">
        <v>649</v>
      </c>
      <c r="G56" s="180" t="s">
        <v>2234</v>
      </c>
      <c r="H56" s="190"/>
      <c r="I56" s="12">
        <v>45974</v>
      </c>
      <c r="J56" s="12">
        <v>46002</v>
      </c>
      <c r="K56" s="12">
        <v>46002</v>
      </c>
      <c r="L56" s="12">
        <v>46003</v>
      </c>
      <c r="M56" s="12" t="str">
        <f t="shared" si="1"/>
        <v>Done Boram</v>
      </c>
      <c r="N56" s="8"/>
    </row>
    <row r="57" spans="1:14" hidden="1">
      <c r="A57" s="190">
        <v>54</v>
      </c>
      <c r="B57" s="8" t="s">
        <v>766</v>
      </c>
      <c r="C57" s="8" t="s">
        <v>767</v>
      </c>
      <c r="D57" s="8" t="s">
        <v>68</v>
      </c>
      <c r="E57" s="8" t="s">
        <v>2235</v>
      </c>
      <c r="F57" s="8" t="s">
        <v>2236</v>
      </c>
      <c r="G57" s="180" t="s">
        <v>2237</v>
      </c>
      <c r="H57" s="190">
        <v>13200</v>
      </c>
      <c r="I57" s="12">
        <v>46199</v>
      </c>
      <c r="J57" s="12">
        <v>46205</v>
      </c>
      <c r="K57" s="12">
        <v>46205</v>
      </c>
      <c r="L57" s="12">
        <v>46216</v>
      </c>
      <c r="M57" s="12" t="str">
        <f t="shared" si="1"/>
        <v>Done Boram</v>
      </c>
      <c r="N57" s="8" t="s">
        <v>2238</v>
      </c>
    </row>
    <row r="58" spans="1:14" hidden="1">
      <c r="A58" s="190">
        <v>55</v>
      </c>
      <c r="B58" s="8" t="s">
        <v>2239</v>
      </c>
      <c r="C58" s="8" t="s">
        <v>2240</v>
      </c>
      <c r="D58" s="8" t="s">
        <v>55</v>
      </c>
      <c r="E58" s="8" t="s">
        <v>2241</v>
      </c>
      <c r="F58" s="8" t="s">
        <v>2240</v>
      </c>
      <c r="G58" s="180" t="s">
        <v>2242</v>
      </c>
      <c r="H58" s="190">
        <v>13900</v>
      </c>
      <c r="I58" s="12">
        <v>45974</v>
      </c>
      <c r="J58" s="12">
        <v>46007</v>
      </c>
      <c r="K58" s="12">
        <v>46007</v>
      </c>
      <c r="L58" s="12">
        <v>46032</v>
      </c>
      <c r="M58" s="12" t="str">
        <f t="shared" si="1"/>
        <v>Done Boram</v>
      </c>
      <c r="N58" s="8"/>
    </row>
    <row r="59" spans="1:14" hidden="1">
      <c r="A59" s="190">
        <v>56</v>
      </c>
      <c r="B59" s="8" t="s">
        <v>766</v>
      </c>
      <c r="C59" s="8" t="s">
        <v>767</v>
      </c>
      <c r="D59" s="8" t="s">
        <v>798</v>
      </c>
      <c r="E59" s="8"/>
      <c r="F59" s="8"/>
      <c r="G59" s="180" t="s">
        <v>2243</v>
      </c>
      <c r="H59" s="190"/>
      <c r="I59" s="12"/>
      <c r="J59" s="12"/>
      <c r="K59" s="12"/>
      <c r="L59" s="12"/>
      <c r="M59" s="12" t="str">
        <f t="shared" si="1"/>
        <v/>
      </c>
      <c r="N59" s="8"/>
    </row>
    <row r="60" spans="1:14" hidden="1">
      <c r="A60" s="190">
        <v>57</v>
      </c>
      <c r="B60" s="8" t="s">
        <v>2244</v>
      </c>
      <c r="C60" s="8" t="s">
        <v>2245</v>
      </c>
      <c r="D60" s="8" t="s">
        <v>68</v>
      </c>
      <c r="E60" s="8" t="s">
        <v>2246</v>
      </c>
      <c r="F60" s="8" t="s">
        <v>2247</v>
      </c>
      <c r="G60" s="180" t="s">
        <v>2248</v>
      </c>
      <c r="H60" s="190">
        <v>11000</v>
      </c>
      <c r="I60" s="12"/>
      <c r="J60" s="12"/>
      <c r="K60" s="12"/>
      <c r="L60" s="12"/>
      <c r="M60" s="12" t="str">
        <f t="shared" si="1"/>
        <v/>
      </c>
      <c r="N60" s="8"/>
    </row>
    <row r="61" spans="1:14" hidden="1">
      <c r="A61" s="190">
        <v>58</v>
      </c>
      <c r="B61" s="8" t="s">
        <v>2244</v>
      </c>
      <c r="C61" s="8" t="s">
        <v>2245</v>
      </c>
      <c r="D61" s="8" t="s">
        <v>55</v>
      </c>
      <c r="E61" s="8" t="s">
        <v>2249</v>
      </c>
      <c r="F61" s="8" t="s">
        <v>2250</v>
      </c>
      <c r="G61" s="180" t="s">
        <v>2251</v>
      </c>
      <c r="H61" s="190">
        <v>13900</v>
      </c>
      <c r="I61" s="12"/>
      <c r="J61" s="12"/>
      <c r="K61" s="12"/>
      <c r="L61" s="12"/>
      <c r="M61" s="12" t="str">
        <f t="shared" si="1"/>
        <v/>
      </c>
      <c r="N61" s="8"/>
    </row>
    <row r="62" spans="1:14" hidden="1">
      <c r="A62" s="239">
        <v>59</v>
      </c>
      <c r="B62" s="8" t="s">
        <v>1893</v>
      </c>
      <c r="C62" s="8" t="s">
        <v>1894</v>
      </c>
      <c r="D62" s="8" t="s">
        <v>68</v>
      </c>
      <c r="E62" s="8" t="s">
        <v>2252</v>
      </c>
      <c r="F62" s="8" t="s">
        <v>2253</v>
      </c>
      <c r="G62" s="180" t="s">
        <v>2254</v>
      </c>
      <c r="H62" s="190">
        <v>7700</v>
      </c>
      <c r="I62" s="12">
        <v>46044</v>
      </c>
      <c r="J62" s="12">
        <v>46078</v>
      </c>
      <c r="K62" s="12">
        <v>46078</v>
      </c>
      <c r="L62" s="12">
        <v>46087</v>
      </c>
      <c r="M62" s="12" t="str">
        <f t="shared" si="1"/>
        <v>Done Boram</v>
      </c>
      <c r="N62" s="8"/>
    </row>
    <row r="63" spans="1:14" hidden="1">
      <c r="A63" s="239">
        <v>60</v>
      </c>
      <c r="B63" s="8" t="s">
        <v>1944</v>
      </c>
      <c r="C63" s="8" t="s">
        <v>1945</v>
      </c>
      <c r="D63" s="8" t="s">
        <v>68</v>
      </c>
      <c r="E63" s="8" t="s">
        <v>2255</v>
      </c>
      <c r="F63" s="8" t="s">
        <v>1945</v>
      </c>
      <c r="G63" s="180" t="s">
        <v>2256</v>
      </c>
      <c r="H63" s="190">
        <v>10600</v>
      </c>
      <c r="I63" s="12">
        <v>46128</v>
      </c>
      <c r="J63" s="12">
        <v>46132</v>
      </c>
      <c r="K63" s="12">
        <v>46133</v>
      </c>
      <c r="L63" s="12">
        <v>46141</v>
      </c>
      <c r="M63" s="12" t="str">
        <f t="shared" si="1"/>
        <v>Done Boram</v>
      </c>
      <c r="N63" s="8"/>
    </row>
    <row r="64" spans="1:14" hidden="1">
      <c r="A64" s="190">
        <v>61</v>
      </c>
      <c r="B64" s="8" t="s">
        <v>855</v>
      </c>
      <c r="C64" s="8" t="s">
        <v>856</v>
      </c>
      <c r="D64" s="8" t="s">
        <v>55</v>
      </c>
      <c r="E64" s="8" t="s">
        <v>2257</v>
      </c>
      <c r="F64" s="8" t="s">
        <v>856</v>
      </c>
      <c r="G64" s="180" t="s">
        <v>2258</v>
      </c>
      <c r="H64" s="190"/>
      <c r="I64" s="12">
        <v>45974</v>
      </c>
      <c r="J64" s="12">
        <v>45986</v>
      </c>
      <c r="K64" s="12">
        <v>45986</v>
      </c>
      <c r="L64" s="12">
        <v>45989</v>
      </c>
      <c r="M64" s="12" t="str">
        <f t="shared" si="1"/>
        <v>Done Boram</v>
      </c>
      <c r="N64" s="8"/>
    </row>
    <row r="65" spans="1:14" hidden="1">
      <c r="A65" s="239">
        <v>62</v>
      </c>
      <c r="B65" s="8" t="s">
        <v>1893</v>
      </c>
      <c r="C65" s="8" t="s">
        <v>1894</v>
      </c>
      <c r="D65" s="8" t="s">
        <v>55</v>
      </c>
      <c r="E65" s="8" t="s">
        <v>2259</v>
      </c>
      <c r="F65" s="8" t="s">
        <v>2260</v>
      </c>
      <c r="G65" s="180" t="s">
        <v>2261</v>
      </c>
      <c r="H65" s="190">
        <v>23000</v>
      </c>
      <c r="I65" s="12">
        <v>46044</v>
      </c>
      <c r="J65" s="12">
        <v>46071</v>
      </c>
      <c r="K65" s="12">
        <v>46071</v>
      </c>
      <c r="L65" s="12">
        <v>46087</v>
      </c>
      <c r="M65" s="12" t="str">
        <f t="shared" si="1"/>
        <v>Done Boram</v>
      </c>
      <c r="N65" s="8"/>
    </row>
    <row r="66" spans="1:14" hidden="1">
      <c r="A66" s="239">
        <v>63</v>
      </c>
      <c r="B66" s="8" t="s">
        <v>1944</v>
      </c>
      <c r="C66" s="8" t="s">
        <v>1945</v>
      </c>
      <c r="D66" s="8" t="s">
        <v>55</v>
      </c>
      <c r="E66" s="8" t="s">
        <v>2262</v>
      </c>
      <c r="F66" s="8" t="s">
        <v>2263</v>
      </c>
      <c r="G66" s="180" t="s">
        <v>2264</v>
      </c>
      <c r="H66" s="190">
        <v>6600</v>
      </c>
      <c r="I66" s="12">
        <v>46128</v>
      </c>
      <c r="J66" s="12">
        <v>46132</v>
      </c>
      <c r="K66" s="12">
        <v>46133</v>
      </c>
      <c r="L66" s="12">
        <v>46141</v>
      </c>
      <c r="M66" s="12" t="str">
        <f t="shared" si="1"/>
        <v>Done Boram</v>
      </c>
      <c r="N66" s="8"/>
    </row>
    <row r="67" spans="1:14" hidden="1">
      <c r="A67" s="190">
        <v>64</v>
      </c>
      <c r="B67" s="8" t="s">
        <v>2265</v>
      </c>
      <c r="C67" s="8" t="s">
        <v>2266</v>
      </c>
      <c r="D67" s="8" t="s">
        <v>68</v>
      </c>
      <c r="E67" s="8" t="s">
        <v>2267</v>
      </c>
      <c r="F67" s="8" t="s">
        <v>2268</v>
      </c>
      <c r="G67" s="180" t="s">
        <v>2269</v>
      </c>
      <c r="H67" s="190"/>
      <c r="I67" s="12">
        <v>45971</v>
      </c>
      <c r="J67" s="12"/>
      <c r="K67" s="12"/>
      <c r="L67" s="12"/>
      <c r="M67" s="12" t="str">
        <f t="shared" si="1"/>
        <v>Submit App SPBR</v>
      </c>
      <c r="N67" s="8"/>
    </row>
    <row r="68" spans="1:14" hidden="1">
      <c r="A68" s="239">
        <v>65</v>
      </c>
      <c r="B68" s="8" t="s">
        <v>683</v>
      </c>
      <c r="C68" s="8" t="s">
        <v>684</v>
      </c>
      <c r="D68" s="8" t="s">
        <v>55</v>
      </c>
      <c r="E68" s="8" t="s">
        <v>2270</v>
      </c>
      <c r="F68" s="8" t="s">
        <v>684</v>
      </c>
      <c r="G68" s="180" t="s">
        <v>2271</v>
      </c>
      <c r="H68" s="190">
        <v>16500</v>
      </c>
      <c r="I68" s="12">
        <v>46029</v>
      </c>
      <c r="J68" s="12">
        <v>46030</v>
      </c>
      <c r="K68" s="12">
        <v>46034</v>
      </c>
      <c r="L68" s="12">
        <v>46037</v>
      </c>
      <c r="M68" s="12" t="str">
        <f t="shared" ref="M68:M99" si="2">+IF(L68&lt;&gt;"","Done Boram",IF(K68&lt;&gt;"","SPBR submit to PLN",IF(J68&lt;&gt;"","SPBR Release",IF(I68&lt;&gt;"","Submit App SPBR",""))))</f>
        <v>Done Boram</v>
      </c>
      <c r="N68" s="8"/>
    </row>
    <row r="69" spans="1:14" hidden="1">
      <c r="A69" s="190">
        <v>66</v>
      </c>
      <c r="B69" s="8" t="s">
        <v>2272</v>
      </c>
      <c r="C69" s="8" t="s">
        <v>2273</v>
      </c>
      <c r="D69" s="8" t="s">
        <v>68</v>
      </c>
      <c r="E69" s="8" t="s">
        <v>2274</v>
      </c>
      <c r="F69" s="8" t="s">
        <v>2275</v>
      </c>
      <c r="G69" s="180" t="s">
        <v>2276</v>
      </c>
      <c r="H69" s="190"/>
      <c r="I69" s="12">
        <v>46150</v>
      </c>
      <c r="J69" s="12">
        <v>46153</v>
      </c>
      <c r="K69" s="12">
        <v>46153</v>
      </c>
      <c r="L69" s="12">
        <v>46184</v>
      </c>
      <c r="M69" s="12" t="str">
        <f t="shared" si="2"/>
        <v>Done Boram</v>
      </c>
      <c r="N69" s="8" t="s">
        <v>2277</v>
      </c>
    </row>
    <row r="70" spans="1:14" hidden="1">
      <c r="A70" s="239">
        <v>67</v>
      </c>
      <c r="B70" s="8" t="s">
        <v>240</v>
      </c>
      <c r="C70" s="8" t="s">
        <v>2278</v>
      </c>
      <c r="D70" s="8" t="s">
        <v>55</v>
      </c>
      <c r="E70" s="8" t="s">
        <v>2279</v>
      </c>
      <c r="F70" s="8" t="s">
        <v>2280</v>
      </c>
      <c r="G70" s="180" t="s">
        <v>2281</v>
      </c>
      <c r="H70" s="190">
        <v>13200</v>
      </c>
      <c r="I70" s="12">
        <v>46083</v>
      </c>
      <c r="J70" s="12">
        <v>46086</v>
      </c>
      <c r="K70" s="12">
        <v>46086</v>
      </c>
      <c r="L70" s="12">
        <v>46099</v>
      </c>
      <c r="M70" s="12" t="str">
        <f t="shared" si="2"/>
        <v>Done Boram</v>
      </c>
      <c r="N70" s="8"/>
    </row>
    <row r="71" spans="1:14" hidden="1">
      <c r="A71" s="239">
        <v>68</v>
      </c>
      <c r="B71" s="8" t="s">
        <v>1906</v>
      </c>
      <c r="C71" s="8" t="s">
        <v>1907</v>
      </c>
      <c r="D71" s="8" t="s">
        <v>68</v>
      </c>
      <c r="E71" s="8" t="s">
        <v>2282</v>
      </c>
      <c r="F71" s="8" t="s">
        <v>2283</v>
      </c>
      <c r="G71" s="180" t="s">
        <v>2284</v>
      </c>
      <c r="H71" s="190">
        <v>33000</v>
      </c>
      <c r="I71" s="12">
        <v>46112</v>
      </c>
      <c r="J71" s="12">
        <v>46119</v>
      </c>
      <c r="K71" s="12">
        <v>46119</v>
      </c>
      <c r="L71" s="12">
        <v>46127</v>
      </c>
      <c r="M71" s="12" t="str">
        <f t="shared" si="2"/>
        <v>Done Boram</v>
      </c>
      <c r="N71" s="8"/>
    </row>
    <row r="72" spans="1:14" hidden="1">
      <c r="A72" s="190">
        <v>69</v>
      </c>
      <c r="B72" s="8" t="s">
        <v>1818</v>
      </c>
      <c r="C72" s="8" t="s">
        <v>1819</v>
      </c>
      <c r="D72" s="8" t="s">
        <v>55</v>
      </c>
      <c r="E72" s="8" t="s">
        <v>2285</v>
      </c>
      <c r="F72" s="8" t="s">
        <v>1819</v>
      </c>
      <c r="G72" s="180" t="s">
        <v>2286</v>
      </c>
      <c r="H72" s="190"/>
      <c r="I72" s="12">
        <v>45973</v>
      </c>
      <c r="J72" s="12">
        <v>46007</v>
      </c>
      <c r="K72" s="12">
        <v>46007</v>
      </c>
      <c r="L72" s="12"/>
      <c r="M72" s="12" t="str">
        <f t="shared" si="2"/>
        <v>SPBR submit to PLN</v>
      </c>
      <c r="N72" s="8" t="s">
        <v>2287</v>
      </c>
    </row>
    <row r="73" spans="1:14" hidden="1">
      <c r="A73" s="239">
        <v>70</v>
      </c>
      <c r="B73" s="8" t="s">
        <v>1906</v>
      </c>
      <c r="C73" s="8" t="s">
        <v>1907</v>
      </c>
      <c r="D73" s="8" t="s">
        <v>55</v>
      </c>
      <c r="E73" s="8" t="s">
        <v>2288</v>
      </c>
      <c r="F73" s="8" t="s">
        <v>2289</v>
      </c>
      <c r="G73" s="180" t="s">
        <v>2290</v>
      </c>
      <c r="H73" s="190">
        <v>16500</v>
      </c>
      <c r="I73" s="12">
        <v>46112</v>
      </c>
      <c r="J73" s="12">
        <v>46114</v>
      </c>
      <c r="K73" s="12">
        <v>46119</v>
      </c>
      <c r="L73" s="12">
        <v>46127</v>
      </c>
      <c r="M73" s="12" t="str">
        <f t="shared" si="2"/>
        <v>Done Boram</v>
      </c>
      <c r="N73" s="8"/>
    </row>
    <row r="74" spans="1:14" hidden="1">
      <c r="A74" s="190">
        <v>71</v>
      </c>
      <c r="B74" s="8" t="s">
        <v>1818</v>
      </c>
      <c r="C74" s="8" t="s">
        <v>1819</v>
      </c>
      <c r="D74" s="8" t="s">
        <v>798</v>
      </c>
      <c r="E74" s="8"/>
      <c r="F74" s="8"/>
      <c r="G74" s="180" t="s">
        <v>2291</v>
      </c>
      <c r="H74" s="190"/>
      <c r="I74" s="12">
        <v>45974</v>
      </c>
      <c r="J74" s="12"/>
      <c r="K74" s="12"/>
      <c r="L74" s="12"/>
      <c r="M74" s="12" t="str">
        <f t="shared" si="2"/>
        <v>Submit App SPBR</v>
      </c>
      <c r="N74" s="8" t="s">
        <v>2292</v>
      </c>
    </row>
    <row r="75" spans="1:14" hidden="1">
      <c r="A75" s="190">
        <v>72</v>
      </c>
      <c r="B75" s="8" t="s">
        <v>53</v>
      </c>
      <c r="C75" s="8" t="s">
        <v>54</v>
      </c>
      <c r="D75" s="8" t="s">
        <v>55</v>
      </c>
      <c r="E75" s="8" t="s">
        <v>56</v>
      </c>
      <c r="F75" s="8" t="s">
        <v>54</v>
      </c>
      <c r="G75" s="180" t="s">
        <v>2293</v>
      </c>
      <c r="H75" s="190">
        <v>13200</v>
      </c>
      <c r="I75" s="12">
        <v>46163</v>
      </c>
      <c r="J75" s="12">
        <v>46168</v>
      </c>
      <c r="K75" s="12">
        <v>46171</v>
      </c>
      <c r="L75" s="12">
        <v>46190</v>
      </c>
      <c r="M75" s="12" t="str">
        <f t="shared" si="2"/>
        <v>Done Boram</v>
      </c>
      <c r="N75" s="8"/>
    </row>
    <row r="76" spans="1:14" hidden="1">
      <c r="A76" s="239">
        <v>73</v>
      </c>
      <c r="B76" s="8" t="s">
        <v>2294</v>
      </c>
      <c r="C76" s="8" t="s">
        <v>2295</v>
      </c>
      <c r="D76" s="8" t="s">
        <v>68</v>
      </c>
      <c r="E76" s="8" t="s">
        <v>2296</v>
      </c>
      <c r="F76" s="8" t="s">
        <v>2297</v>
      </c>
      <c r="G76" s="180" t="s">
        <v>2298</v>
      </c>
      <c r="H76" s="190">
        <v>10600</v>
      </c>
      <c r="I76" s="12">
        <v>46085</v>
      </c>
      <c r="J76" s="12">
        <v>46090</v>
      </c>
      <c r="K76" s="12">
        <v>46090</v>
      </c>
      <c r="L76" s="12">
        <v>46155</v>
      </c>
      <c r="M76" s="12" t="str">
        <f t="shared" si="2"/>
        <v>Done Boram</v>
      </c>
      <c r="N76" s="8" t="s">
        <v>2299</v>
      </c>
    </row>
    <row r="77" spans="1:14" hidden="1">
      <c r="A77" s="190">
        <v>74</v>
      </c>
      <c r="B77" s="8" t="s">
        <v>2300</v>
      </c>
      <c r="C77" s="8" t="s">
        <v>2301</v>
      </c>
      <c r="D77" s="8" t="s">
        <v>55</v>
      </c>
      <c r="E77" s="8" t="s">
        <v>2302</v>
      </c>
      <c r="F77" s="8" t="s">
        <v>2301</v>
      </c>
      <c r="G77" s="180" t="s">
        <v>2303</v>
      </c>
      <c r="H77" s="190"/>
      <c r="I77" s="12"/>
      <c r="J77" s="12"/>
      <c r="K77" s="12"/>
      <c r="L77" s="12"/>
      <c r="M77" s="12" t="str">
        <f t="shared" si="2"/>
        <v/>
      </c>
      <c r="N77" s="8"/>
    </row>
    <row r="78" spans="1:14" hidden="1">
      <c r="A78" s="190">
        <v>75</v>
      </c>
      <c r="B78" s="8" t="s">
        <v>66</v>
      </c>
      <c r="C78" s="8" t="s">
        <v>67</v>
      </c>
      <c r="D78" s="8" t="s">
        <v>68</v>
      </c>
      <c r="E78" s="8" t="s">
        <v>69</v>
      </c>
      <c r="F78" s="8" t="s">
        <v>70</v>
      </c>
      <c r="G78" s="180" t="s">
        <v>2304</v>
      </c>
      <c r="H78" s="190">
        <v>7700</v>
      </c>
      <c r="I78" s="12">
        <v>46154</v>
      </c>
      <c r="J78" s="12">
        <v>46178</v>
      </c>
      <c r="K78" s="12">
        <v>46181</v>
      </c>
      <c r="L78" s="12">
        <v>46196</v>
      </c>
      <c r="M78" s="12" t="str">
        <f t="shared" si="2"/>
        <v>Done Boram</v>
      </c>
      <c r="N78" s="8"/>
    </row>
    <row r="79" spans="1:14" hidden="1">
      <c r="A79" s="190">
        <v>76</v>
      </c>
      <c r="B79" s="8" t="s">
        <v>66</v>
      </c>
      <c r="C79" s="8" t="s">
        <v>67</v>
      </c>
      <c r="D79" s="8" t="s">
        <v>55</v>
      </c>
      <c r="E79" s="8" t="s">
        <v>76</v>
      </c>
      <c r="F79" s="8" t="s">
        <v>67</v>
      </c>
      <c r="G79" s="180" t="s">
        <v>2305</v>
      </c>
      <c r="H79" s="190">
        <v>16500</v>
      </c>
      <c r="I79" s="12">
        <v>46154</v>
      </c>
      <c r="J79" s="12">
        <v>46155</v>
      </c>
      <c r="K79" s="12">
        <v>46195</v>
      </c>
      <c r="L79" s="12">
        <v>46217</v>
      </c>
      <c r="M79" s="12" t="str">
        <f t="shared" si="2"/>
        <v>Done Boram</v>
      </c>
      <c r="N79" s="8" t="s">
        <v>2306</v>
      </c>
    </row>
    <row r="80" spans="1:14" hidden="1">
      <c r="A80" s="190">
        <v>77</v>
      </c>
      <c r="B80" s="8" t="s">
        <v>2307</v>
      </c>
      <c r="C80" s="8" t="s">
        <v>2308</v>
      </c>
      <c r="D80" s="8" t="s">
        <v>68</v>
      </c>
      <c r="E80" s="8" t="s">
        <v>2309</v>
      </c>
      <c r="F80" s="8" t="s">
        <v>2310</v>
      </c>
      <c r="G80" s="180" t="s">
        <v>2311</v>
      </c>
      <c r="H80" s="190">
        <v>16500</v>
      </c>
      <c r="I80" s="12"/>
      <c r="J80" s="12"/>
      <c r="K80" s="12"/>
      <c r="L80" s="12"/>
      <c r="M80" s="12" t="str">
        <f t="shared" si="2"/>
        <v/>
      </c>
      <c r="N80" s="8"/>
    </row>
    <row r="81" spans="1:14" hidden="1">
      <c r="A81" s="191">
        <v>78</v>
      </c>
      <c r="B81" s="8" t="s">
        <v>121</v>
      </c>
      <c r="C81" s="8" t="s">
        <v>122</v>
      </c>
      <c r="D81" s="8" t="s">
        <v>68</v>
      </c>
      <c r="E81" s="8" t="s">
        <v>123</v>
      </c>
      <c r="F81" s="8" t="s">
        <v>124</v>
      </c>
      <c r="G81" s="180" t="s">
        <v>2312</v>
      </c>
      <c r="H81" s="190">
        <v>13200</v>
      </c>
      <c r="I81" s="12">
        <v>46233</v>
      </c>
      <c r="J81" s="12"/>
      <c r="K81" s="12"/>
      <c r="L81" s="12"/>
      <c r="M81" s="12" t="str">
        <f t="shared" si="2"/>
        <v>Submit App SPBR</v>
      </c>
      <c r="N81" s="8"/>
    </row>
    <row r="82" spans="1:14" hidden="1">
      <c r="A82" s="191">
        <v>79</v>
      </c>
      <c r="B82" s="8" t="s">
        <v>121</v>
      </c>
      <c r="C82" s="8" t="s">
        <v>122</v>
      </c>
      <c r="D82" s="8" t="s">
        <v>55</v>
      </c>
      <c r="E82" s="8" t="s">
        <v>125</v>
      </c>
      <c r="F82" s="8" t="s">
        <v>126</v>
      </c>
      <c r="G82" s="180" t="s">
        <v>2313</v>
      </c>
      <c r="H82" s="190">
        <v>13200</v>
      </c>
      <c r="I82" s="12">
        <v>46233</v>
      </c>
      <c r="J82" s="12">
        <v>46237</v>
      </c>
      <c r="K82" s="12"/>
      <c r="L82" s="12"/>
      <c r="M82" s="12" t="str">
        <f t="shared" si="2"/>
        <v>SPBR Release</v>
      </c>
      <c r="N82" s="8"/>
    </row>
    <row r="83" spans="1:14" hidden="1">
      <c r="A83" s="190">
        <v>80</v>
      </c>
      <c r="B83" s="8" t="s">
        <v>287</v>
      </c>
      <c r="C83" s="8" t="s">
        <v>288</v>
      </c>
      <c r="D83" s="8" t="s">
        <v>68</v>
      </c>
      <c r="E83" s="8" t="s">
        <v>2314</v>
      </c>
      <c r="F83" s="8" t="s">
        <v>2315</v>
      </c>
      <c r="G83" s="180" t="s">
        <v>2316</v>
      </c>
      <c r="H83" s="190">
        <v>13200</v>
      </c>
      <c r="I83" s="12">
        <v>46181</v>
      </c>
      <c r="J83" s="12">
        <v>46188</v>
      </c>
      <c r="K83" s="12">
        <v>46189</v>
      </c>
      <c r="L83" s="12">
        <v>42568</v>
      </c>
      <c r="M83" s="12" t="str">
        <f t="shared" si="2"/>
        <v>Done Boram</v>
      </c>
      <c r="N83" s="159"/>
    </row>
    <row r="84" spans="1:14" hidden="1">
      <c r="A84" s="190">
        <v>81</v>
      </c>
      <c r="B84" s="8" t="s">
        <v>287</v>
      </c>
      <c r="C84" s="8" t="s">
        <v>288</v>
      </c>
      <c r="D84" s="8" t="s">
        <v>55</v>
      </c>
      <c r="E84" s="8" t="s">
        <v>2107</v>
      </c>
      <c r="F84" s="8" t="s">
        <v>2317</v>
      </c>
      <c r="G84" s="180" t="s">
        <v>2318</v>
      </c>
      <c r="H84" s="190">
        <v>23000</v>
      </c>
      <c r="I84" s="12">
        <v>46181</v>
      </c>
      <c r="J84" s="12">
        <v>46185</v>
      </c>
      <c r="K84" s="12">
        <v>46189</v>
      </c>
      <c r="L84" s="12">
        <v>42568</v>
      </c>
      <c r="M84" s="12" t="str">
        <f t="shared" si="2"/>
        <v>Done Boram</v>
      </c>
      <c r="N84" s="8"/>
    </row>
    <row r="85" spans="1:14" hidden="1">
      <c r="A85" s="190">
        <v>82</v>
      </c>
      <c r="B85" s="8" t="s">
        <v>287</v>
      </c>
      <c r="C85" s="8" t="s">
        <v>288</v>
      </c>
      <c r="D85" s="8" t="s">
        <v>798</v>
      </c>
      <c r="E85" s="8" t="s">
        <v>2319</v>
      </c>
      <c r="F85" s="8" t="s">
        <v>288</v>
      </c>
      <c r="G85" s="180" t="s">
        <v>2320</v>
      </c>
      <c r="H85" s="190">
        <v>10600</v>
      </c>
      <c r="I85" s="12">
        <v>46181</v>
      </c>
      <c r="J85" s="12">
        <v>46185</v>
      </c>
      <c r="K85" s="12">
        <v>46189</v>
      </c>
      <c r="L85" s="12">
        <v>42568</v>
      </c>
      <c r="M85" s="12" t="str">
        <f t="shared" si="2"/>
        <v>Done Boram</v>
      </c>
      <c r="N85" s="159"/>
    </row>
    <row r="86" spans="1:14" hidden="1">
      <c r="A86" s="190">
        <v>83</v>
      </c>
      <c r="B86" s="8" t="s">
        <v>1983</v>
      </c>
      <c r="C86" s="8" t="s">
        <v>1984</v>
      </c>
      <c r="D86" s="8" t="s">
        <v>68</v>
      </c>
      <c r="E86" s="8" t="s">
        <v>2321</v>
      </c>
      <c r="F86" s="8" t="s">
        <v>2322</v>
      </c>
      <c r="G86" s="180" t="s">
        <v>2323</v>
      </c>
      <c r="H86" s="190">
        <v>13200</v>
      </c>
      <c r="I86" s="12"/>
      <c r="J86" s="12"/>
      <c r="K86" s="12"/>
      <c r="L86" s="12"/>
      <c r="M86" s="12" t="str">
        <f t="shared" si="2"/>
        <v/>
      </c>
      <c r="N86" s="8"/>
    </row>
    <row r="87" spans="1:14" hidden="1">
      <c r="A87" s="190">
        <v>84</v>
      </c>
      <c r="B87" s="8" t="s">
        <v>1983</v>
      </c>
      <c r="C87" s="8" t="s">
        <v>1984</v>
      </c>
      <c r="D87" s="8" t="s">
        <v>798</v>
      </c>
      <c r="E87" s="8"/>
      <c r="F87" s="8"/>
      <c r="G87" s="180"/>
      <c r="H87" s="190"/>
      <c r="I87" s="12"/>
      <c r="J87" s="12"/>
      <c r="K87" s="12"/>
      <c r="L87" s="12"/>
      <c r="M87" s="12" t="str">
        <f t="shared" si="2"/>
        <v/>
      </c>
      <c r="N87" s="8" t="s">
        <v>2324</v>
      </c>
    </row>
    <row r="88" spans="1:14" hidden="1">
      <c r="A88" s="190">
        <v>85</v>
      </c>
      <c r="B88" s="8" t="s">
        <v>1976</v>
      </c>
      <c r="C88" s="8" t="s">
        <v>1977</v>
      </c>
      <c r="D88" s="8" t="s">
        <v>68</v>
      </c>
      <c r="E88" s="8" t="s">
        <v>2325</v>
      </c>
      <c r="F88" s="8" t="s">
        <v>2326</v>
      </c>
      <c r="G88" s="180" t="s">
        <v>2327</v>
      </c>
      <c r="H88" s="190"/>
      <c r="I88" s="12"/>
      <c r="J88" s="12"/>
      <c r="K88" s="12"/>
      <c r="L88" s="12"/>
      <c r="M88" s="12" t="str">
        <f t="shared" si="2"/>
        <v/>
      </c>
      <c r="N88" s="8"/>
    </row>
    <row r="89" spans="1:14" hidden="1">
      <c r="A89" s="181">
        <v>86</v>
      </c>
      <c r="B89" s="8" t="s">
        <v>1068</v>
      </c>
      <c r="C89" s="8" t="s">
        <v>1069</v>
      </c>
      <c r="D89" s="8" t="s">
        <v>68</v>
      </c>
      <c r="E89" s="8" t="s">
        <v>2328</v>
      </c>
      <c r="F89" s="8" t="s">
        <v>2329</v>
      </c>
      <c r="G89" s="180" t="s">
        <v>2061</v>
      </c>
      <c r="H89" s="190">
        <v>13200</v>
      </c>
      <c r="I89" s="12">
        <v>46198</v>
      </c>
      <c r="J89" s="12"/>
      <c r="K89" s="12"/>
      <c r="L89" s="12"/>
      <c r="M89" s="12" t="str">
        <f t="shared" si="2"/>
        <v>Submit App SPBR</v>
      </c>
      <c r="N89" s="8" t="s">
        <v>2330</v>
      </c>
    </row>
    <row r="90" spans="1:14" hidden="1">
      <c r="A90" s="190">
        <v>87</v>
      </c>
      <c r="B90" s="8" t="s">
        <v>1068</v>
      </c>
      <c r="C90" s="8" t="s">
        <v>1069</v>
      </c>
      <c r="D90" s="8" t="s">
        <v>798</v>
      </c>
      <c r="E90" s="8"/>
      <c r="F90" s="8"/>
      <c r="G90" s="180" t="s">
        <v>2331</v>
      </c>
      <c r="H90" s="190">
        <v>10600</v>
      </c>
      <c r="I90" s="12"/>
      <c r="J90" s="12"/>
      <c r="K90" s="12"/>
      <c r="L90" s="12"/>
      <c r="M90" s="12" t="str">
        <f t="shared" si="2"/>
        <v/>
      </c>
      <c r="N90" s="8" t="s">
        <v>2332</v>
      </c>
    </row>
    <row r="91" spans="1:14" hidden="1">
      <c r="A91" s="181">
        <v>88</v>
      </c>
      <c r="B91" s="8" t="s">
        <v>1997</v>
      </c>
      <c r="C91" s="8" t="s">
        <v>1998</v>
      </c>
      <c r="D91" s="8" t="s">
        <v>68</v>
      </c>
      <c r="E91" s="8" t="s">
        <v>2333</v>
      </c>
      <c r="F91" s="8" t="s">
        <v>2063</v>
      </c>
      <c r="G91" s="180" t="s">
        <v>2334</v>
      </c>
      <c r="H91" s="190">
        <v>16500</v>
      </c>
      <c r="I91" s="12">
        <v>46181</v>
      </c>
      <c r="J91" s="12"/>
      <c r="K91" s="12"/>
      <c r="L91" s="12"/>
      <c r="M91" s="12" t="str">
        <f t="shared" si="2"/>
        <v>Submit App SPBR</v>
      </c>
      <c r="N91" s="8" t="s">
        <v>2330</v>
      </c>
    </row>
    <row r="92" spans="1:14" hidden="1">
      <c r="A92" s="187">
        <v>89</v>
      </c>
      <c r="B92" s="8" t="s">
        <v>2335</v>
      </c>
      <c r="C92" s="8" t="s">
        <v>2336</v>
      </c>
      <c r="D92" s="8" t="s">
        <v>798</v>
      </c>
      <c r="E92" s="8" t="s">
        <v>2337</v>
      </c>
      <c r="F92" s="8"/>
      <c r="G92" s="180" t="s">
        <v>2338</v>
      </c>
      <c r="H92" s="190">
        <v>13200</v>
      </c>
      <c r="I92" s="12">
        <v>46178</v>
      </c>
      <c r="J92" s="12">
        <v>46178</v>
      </c>
      <c r="K92" s="12">
        <v>46185</v>
      </c>
      <c r="L92" s="12">
        <v>46234</v>
      </c>
      <c r="M92" s="12" t="str">
        <f t="shared" si="2"/>
        <v>Done Boram</v>
      </c>
      <c r="N92" s="8"/>
    </row>
    <row r="93" spans="1:14" hidden="1">
      <c r="A93" s="190">
        <v>90</v>
      </c>
      <c r="B93" s="8" t="s">
        <v>2339</v>
      </c>
      <c r="C93" s="8" t="s">
        <v>2340</v>
      </c>
      <c r="D93" s="8" t="s">
        <v>68</v>
      </c>
      <c r="E93" s="8" t="s">
        <v>2341</v>
      </c>
      <c r="F93" s="8" t="s">
        <v>2342</v>
      </c>
      <c r="G93" s="180" t="s">
        <v>2343</v>
      </c>
      <c r="H93" s="190">
        <v>16500</v>
      </c>
      <c r="I93" s="12"/>
      <c r="J93" s="12"/>
      <c r="K93" s="12"/>
      <c r="L93" s="12"/>
      <c r="M93" s="12" t="str">
        <f t="shared" si="2"/>
        <v/>
      </c>
      <c r="N93" s="8"/>
    </row>
    <row r="94" spans="1:14" hidden="1">
      <c r="A94" s="239">
        <v>91</v>
      </c>
      <c r="B94" s="8" t="s">
        <v>557</v>
      </c>
      <c r="C94" s="8" t="s">
        <v>558</v>
      </c>
      <c r="D94" s="8" t="s">
        <v>55</v>
      </c>
      <c r="E94" s="8" t="s">
        <v>2156</v>
      </c>
      <c r="F94" s="8" t="s">
        <v>558</v>
      </c>
      <c r="G94" s="180" t="s">
        <v>2344</v>
      </c>
      <c r="H94" s="190">
        <v>13200</v>
      </c>
      <c r="I94" s="12">
        <v>46120</v>
      </c>
      <c r="J94" s="12">
        <v>46127</v>
      </c>
      <c r="K94" s="12">
        <v>46127</v>
      </c>
      <c r="L94" s="12">
        <v>46133</v>
      </c>
      <c r="M94" s="12" t="str">
        <f t="shared" si="2"/>
        <v>Done Boram</v>
      </c>
      <c r="N94" s="8"/>
    </row>
    <row r="95" spans="1:14" hidden="1">
      <c r="A95" s="190">
        <v>92</v>
      </c>
      <c r="B95" s="8" t="s">
        <v>2345</v>
      </c>
      <c r="C95" s="8" t="s">
        <v>2346</v>
      </c>
      <c r="D95" s="8" t="s">
        <v>68</v>
      </c>
      <c r="E95" s="8" t="s">
        <v>2347</v>
      </c>
      <c r="F95" s="8" t="s">
        <v>2348</v>
      </c>
      <c r="G95" s="180" t="s">
        <v>2349</v>
      </c>
      <c r="H95" s="190">
        <v>7700</v>
      </c>
      <c r="I95" s="12"/>
      <c r="J95" s="12"/>
      <c r="K95" s="12"/>
      <c r="L95" s="12"/>
      <c r="M95" s="12" t="str">
        <f t="shared" si="2"/>
        <v/>
      </c>
      <c r="N95" s="8"/>
    </row>
    <row r="96" spans="1:14" hidden="1">
      <c r="A96" s="190">
        <v>93</v>
      </c>
      <c r="B96" s="8" t="s">
        <v>2345</v>
      </c>
      <c r="C96" s="8" t="s">
        <v>2346</v>
      </c>
      <c r="D96" s="8" t="s">
        <v>55</v>
      </c>
      <c r="E96" s="8" t="s">
        <v>2350</v>
      </c>
      <c r="F96" s="8" t="s">
        <v>2351</v>
      </c>
      <c r="G96" s="180" t="s">
        <v>2352</v>
      </c>
      <c r="H96" s="190">
        <v>11000</v>
      </c>
      <c r="I96" s="12"/>
      <c r="J96" s="12"/>
      <c r="K96" s="12"/>
      <c r="L96" s="12"/>
      <c r="M96" s="12" t="str">
        <f t="shared" si="2"/>
        <v/>
      </c>
      <c r="N96" s="8"/>
    </row>
    <row r="97" spans="1:14" hidden="1">
      <c r="A97" s="181">
        <v>94</v>
      </c>
      <c r="B97" s="8" t="s">
        <v>1964</v>
      </c>
      <c r="C97" s="8" t="s">
        <v>1965</v>
      </c>
      <c r="D97" s="8" t="s">
        <v>68</v>
      </c>
      <c r="E97" s="8" t="s">
        <v>2353</v>
      </c>
      <c r="F97" s="8"/>
      <c r="G97" s="180" t="s">
        <v>2354</v>
      </c>
      <c r="H97" s="190">
        <v>10600</v>
      </c>
      <c r="I97" s="12">
        <v>46205</v>
      </c>
      <c r="J97" s="12"/>
      <c r="K97" s="12"/>
      <c r="L97" s="12"/>
      <c r="M97" s="12" t="str">
        <f t="shared" si="2"/>
        <v>Submit App SPBR</v>
      </c>
      <c r="N97" s="8" t="s">
        <v>2355</v>
      </c>
    </row>
    <row r="98" spans="1:14" hidden="1">
      <c r="A98" s="239">
        <v>95</v>
      </c>
      <c r="B98" s="8" t="s">
        <v>1796</v>
      </c>
      <c r="C98" s="8" t="s">
        <v>1797</v>
      </c>
      <c r="D98" s="8" t="s">
        <v>68</v>
      </c>
      <c r="E98" s="8" t="s">
        <v>2356</v>
      </c>
      <c r="F98" s="8" t="s">
        <v>2357</v>
      </c>
      <c r="G98" s="180" t="s">
        <v>2358</v>
      </c>
      <c r="H98" s="190" t="s">
        <v>2359</v>
      </c>
      <c r="I98" s="12"/>
      <c r="J98" s="12"/>
      <c r="K98" s="12"/>
      <c r="L98" s="12">
        <v>46098</v>
      </c>
      <c r="M98" s="12" t="str">
        <f t="shared" si="2"/>
        <v>Done Boram</v>
      </c>
      <c r="N98" s="8" t="s">
        <v>2360</v>
      </c>
    </row>
    <row r="99" spans="1:14" hidden="1">
      <c r="A99" s="239">
        <v>96</v>
      </c>
      <c r="B99" s="8" t="s">
        <v>186</v>
      </c>
      <c r="C99" s="8" t="s">
        <v>187</v>
      </c>
      <c r="D99" s="8" t="s">
        <v>2361</v>
      </c>
      <c r="E99" s="8"/>
      <c r="F99" s="8"/>
      <c r="G99" s="180"/>
      <c r="H99" s="190">
        <v>82500</v>
      </c>
      <c r="I99" s="12"/>
      <c r="J99" s="12"/>
      <c r="K99" s="12"/>
      <c r="L99" s="12">
        <v>46092</v>
      </c>
      <c r="M99" s="12" t="str">
        <f t="shared" si="2"/>
        <v>Done Boram</v>
      </c>
      <c r="N99" s="8" t="s">
        <v>2360</v>
      </c>
    </row>
    <row r="100" spans="1:14" hidden="1">
      <c r="A100" s="239">
        <v>97</v>
      </c>
      <c r="B100" s="8" t="s">
        <v>1847</v>
      </c>
      <c r="C100" s="10" t="s">
        <v>1848</v>
      </c>
      <c r="D100" s="8" t="s">
        <v>55</v>
      </c>
      <c r="E100" s="8" t="s">
        <v>2362</v>
      </c>
      <c r="F100" s="8" t="s">
        <v>1848</v>
      </c>
      <c r="G100" s="180" t="s">
        <v>2358</v>
      </c>
      <c r="H100" s="190"/>
      <c r="I100" s="12"/>
      <c r="J100" s="12"/>
      <c r="K100" s="12"/>
      <c r="L100" s="12">
        <v>46029</v>
      </c>
      <c r="M100" s="12" t="str">
        <f t="shared" ref="M100:M131" si="3">+IF(L100&lt;&gt;"","Done Boram",IF(K100&lt;&gt;"","SPBR submit to PLN",IF(J100&lt;&gt;"","SPBR Release",IF(I100&lt;&gt;"","Submit App SPBR",""))))</f>
        <v>Done Boram</v>
      </c>
      <c r="N100" s="8" t="s">
        <v>2360</v>
      </c>
    </row>
    <row r="101" spans="1:14" hidden="1">
      <c r="A101" s="190">
        <v>98</v>
      </c>
      <c r="B101" s="8" t="s">
        <v>1189</v>
      </c>
      <c r="C101" s="8" t="s">
        <v>1190</v>
      </c>
      <c r="D101" s="8" t="s">
        <v>68</v>
      </c>
      <c r="E101" s="8" t="s">
        <v>2363</v>
      </c>
      <c r="F101" s="8" t="s">
        <v>2364</v>
      </c>
      <c r="G101" s="180" t="s">
        <v>2365</v>
      </c>
      <c r="H101" s="190">
        <v>16500</v>
      </c>
      <c r="I101" s="12"/>
      <c r="J101" s="12"/>
      <c r="K101" s="12"/>
      <c r="L101" s="12"/>
      <c r="M101" s="12" t="str">
        <f t="shared" si="3"/>
        <v/>
      </c>
      <c r="N101" s="8"/>
    </row>
    <row r="102" spans="1:14" hidden="1">
      <c r="A102" s="190">
        <v>99</v>
      </c>
      <c r="B102" s="8" t="s">
        <v>1189</v>
      </c>
      <c r="C102" s="8" t="s">
        <v>1190</v>
      </c>
      <c r="D102" s="8" t="s">
        <v>798</v>
      </c>
      <c r="E102" s="8"/>
      <c r="F102" s="8"/>
      <c r="G102" s="180"/>
      <c r="H102" s="190"/>
      <c r="I102" s="12"/>
      <c r="J102" s="12"/>
      <c r="K102" s="12"/>
      <c r="L102" s="12"/>
      <c r="M102" s="12" t="str">
        <f t="shared" si="3"/>
        <v/>
      </c>
      <c r="N102" s="8" t="s">
        <v>2366</v>
      </c>
    </row>
    <row r="103" spans="1:14" hidden="1">
      <c r="A103" s="190">
        <v>100</v>
      </c>
      <c r="B103" s="8" t="s">
        <v>1189</v>
      </c>
      <c r="C103" s="8" t="s">
        <v>1190</v>
      </c>
      <c r="D103" s="8" t="s">
        <v>55</v>
      </c>
      <c r="E103" s="8" t="s">
        <v>2367</v>
      </c>
      <c r="F103" s="8" t="s">
        <v>2368</v>
      </c>
      <c r="G103" s="180"/>
      <c r="H103" s="190"/>
      <c r="I103" s="12"/>
      <c r="J103" s="12"/>
      <c r="K103" s="12"/>
      <c r="L103" s="12"/>
      <c r="M103" s="12" t="str">
        <f t="shared" si="3"/>
        <v/>
      </c>
      <c r="N103" s="8" t="s">
        <v>2366</v>
      </c>
    </row>
    <row r="104" spans="1:14" ht="30" hidden="1" customHeight="1">
      <c r="A104" s="187">
        <v>101</v>
      </c>
      <c r="B104" s="8" t="s">
        <v>2369</v>
      </c>
      <c r="C104" s="8" t="s">
        <v>2370</v>
      </c>
      <c r="D104" s="8" t="s">
        <v>68</v>
      </c>
      <c r="E104" s="8" t="s">
        <v>2371</v>
      </c>
      <c r="F104" s="8" t="s">
        <v>2372</v>
      </c>
      <c r="G104" s="180"/>
      <c r="H104" s="190"/>
      <c r="I104" s="12"/>
      <c r="J104" s="12"/>
      <c r="K104" s="12"/>
      <c r="L104" s="12"/>
      <c r="M104" s="12" t="str">
        <f t="shared" si="3"/>
        <v/>
      </c>
      <c r="N104" s="159" t="s">
        <v>2373</v>
      </c>
    </row>
    <row r="105" spans="1:14" ht="30" hidden="1" customHeight="1">
      <c r="A105" s="187">
        <v>102</v>
      </c>
      <c r="B105" s="8" t="s">
        <v>2369</v>
      </c>
      <c r="C105" s="8" t="s">
        <v>2370</v>
      </c>
      <c r="D105" s="8" t="s">
        <v>798</v>
      </c>
      <c r="E105" s="8"/>
      <c r="F105" s="8"/>
      <c r="G105" s="180"/>
      <c r="H105" s="190"/>
      <c r="I105" s="12"/>
      <c r="J105" s="12"/>
      <c r="K105" s="12"/>
      <c r="L105" s="12"/>
      <c r="M105" s="12" t="str">
        <f t="shared" si="3"/>
        <v/>
      </c>
      <c r="N105" s="159" t="s">
        <v>2373</v>
      </c>
    </row>
    <row r="106" spans="1:14" hidden="1">
      <c r="A106" s="190">
        <v>103</v>
      </c>
      <c r="B106" s="8" t="s">
        <v>2374</v>
      </c>
      <c r="C106" s="8" t="s">
        <v>2375</v>
      </c>
      <c r="D106" s="8" t="s">
        <v>68</v>
      </c>
      <c r="E106" s="8" t="s">
        <v>2376</v>
      </c>
      <c r="F106" s="8" t="s">
        <v>2377</v>
      </c>
      <c r="G106" s="180"/>
      <c r="H106" s="190"/>
      <c r="I106" s="12"/>
      <c r="J106" s="12"/>
      <c r="K106" s="12"/>
      <c r="L106" s="12"/>
      <c r="M106" s="12" t="str">
        <f t="shared" si="3"/>
        <v/>
      </c>
      <c r="N106" s="8" t="s">
        <v>2378</v>
      </c>
    </row>
    <row r="107" spans="1:14" hidden="1">
      <c r="A107" s="190">
        <v>104</v>
      </c>
      <c r="B107" s="8" t="s">
        <v>2005</v>
      </c>
      <c r="C107" s="10" t="s">
        <v>2006</v>
      </c>
      <c r="D107" s="8" t="s">
        <v>55</v>
      </c>
      <c r="E107" s="8" t="s">
        <v>2379</v>
      </c>
      <c r="F107" s="8" t="s">
        <v>2006</v>
      </c>
      <c r="G107" s="180" t="s">
        <v>2380</v>
      </c>
      <c r="H107" s="190">
        <v>23000</v>
      </c>
      <c r="I107" s="12"/>
      <c r="J107" s="12"/>
      <c r="K107" s="12"/>
      <c r="L107" s="12"/>
      <c r="M107" s="12" t="str">
        <f t="shared" si="3"/>
        <v/>
      </c>
      <c r="N107" s="8"/>
    </row>
    <row r="108" spans="1:14" hidden="1">
      <c r="A108" s="181">
        <v>105</v>
      </c>
      <c r="B108" s="8" t="s">
        <v>2023</v>
      </c>
      <c r="C108" s="10" t="s">
        <v>2024</v>
      </c>
      <c r="D108" s="8" t="s">
        <v>68</v>
      </c>
      <c r="E108" s="8" t="s">
        <v>2381</v>
      </c>
      <c r="F108" s="8" t="s">
        <v>2382</v>
      </c>
      <c r="G108" s="180" t="s">
        <v>2383</v>
      </c>
      <c r="H108" s="190">
        <v>10600</v>
      </c>
      <c r="I108" s="12">
        <v>46220</v>
      </c>
      <c r="J108" s="12"/>
      <c r="K108" s="12"/>
      <c r="L108" s="12"/>
      <c r="M108" s="12" t="str">
        <f t="shared" si="3"/>
        <v>Submit App SPBR</v>
      </c>
      <c r="N108" s="8"/>
    </row>
    <row r="109" spans="1:14" hidden="1">
      <c r="A109" s="190">
        <v>106</v>
      </c>
      <c r="B109" s="8" t="s">
        <v>2002</v>
      </c>
      <c r="C109" s="10" t="s">
        <v>2003</v>
      </c>
      <c r="D109" s="8" t="s">
        <v>330</v>
      </c>
      <c r="E109" s="8"/>
      <c r="F109" s="8"/>
      <c r="G109" s="180" t="s">
        <v>2384</v>
      </c>
      <c r="H109" s="190">
        <v>6600</v>
      </c>
      <c r="I109" s="12"/>
      <c r="J109" s="12"/>
      <c r="K109" s="12"/>
      <c r="L109" s="12"/>
      <c r="M109" s="12" t="str">
        <f t="shared" si="3"/>
        <v/>
      </c>
      <c r="N109" s="8"/>
    </row>
    <row r="110" spans="1:14" hidden="1">
      <c r="A110" s="190">
        <v>107</v>
      </c>
      <c r="B110" s="8" t="s">
        <v>2002</v>
      </c>
      <c r="C110" s="10" t="s">
        <v>2003</v>
      </c>
      <c r="D110" s="8" t="s">
        <v>55</v>
      </c>
      <c r="E110" s="8" t="s">
        <v>2385</v>
      </c>
      <c r="F110" s="8" t="s">
        <v>2386</v>
      </c>
      <c r="G110" s="180" t="s">
        <v>2387</v>
      </c>
      <c r="H110" s="190">
        <v>13200</v>
      </c>
      <c r="I110" s="12"/>
      <c r="J110" s="12"/>
      <c r="K110" s="12"/>
      <c r="L110" s="12"/>
      <c r="M110" s="12" t="str">
        <f t="shared" si="3"/>
        <v/>
      </c>
      <c r="N110" s="8"/>
    </row>
    <row r="111" spans="1:14" hidden="1">
      <c r="A111" s="190">
        <v>108</v>
      </c>
      <c r="B111" s="8" t="s">
        <v>2002</v>
      </c>
      <c r="C111" s="10" t="s">
        <v>2003</v>
      </c>
      <c r="D111" s="8" t="s">
        <v>68</v>
      </c>
      <c r="E111" s="8" t="s">
        <v>2388</v>
      </c>
      <c r="F111" s="8" t="s">
        <v>2389</v>
      </c>
      <c r="G111" s="180" t="s">
        <v>2390</v>
      </c>
      <c r="H111" s="190">
        <v>33000</v>
      </c>
      <c r="I111" s="12"/>
      <c r="J111" s="12"/>
      <c r="K111" s="12"/>
      <c r="L111" s="12"/>
      <c r="M111" s="12" t="str">
        <f t="shared" si="3"/>
        <v/>
      </c>
      <c r="N111" s="8"/>
    </row>
    <row r="112" spans="1:14" hidden="1">
      <c r="A112" s="181">
        <v>109</v>
      </c>
      <c r="B112" s="8" t="s">
        <v>2008</v>
      </c>
      <c r="C112" s="10" t="s">
        <v>2009</v>
      </c>
      <c r="D112" s="8" t="s">
        <v>68</v>
      </c>
      <c r="E112" s="8" t="s">
        <v>2391</v>
      </c>
      <c r="F112" s="8" t="s">
        <v>2392</v>
      </c>
      <c r="G112" s="180" t="s">
        <v>2393</v>
      </c>
      <c r="H112" s="190">
        <v>10600</v>
      </c>
      <c r="I112" s="12">
        <v>46224</v>
      </c>
      <c r="J112" s="12"/>
      <c r="K112" s="12"/>
      <c r="L112" s="12"/>
      <c r="M112" s="12" t="str">
        <f t="shared" si="3"/>
        <v>Submit App SPBR</v>
      </c>
      <c r="N112" s="8"/>
    </row>
    <row r="113" spans="1:15" hidden="1">
      <c r="A113" s="190">
        <v>110</v>
      </c>
      <c r="B113" s="8" t="s">
        <v>2394</v>
      </c>
      <c r="C113" s="10" t="s">
        <v>2395</v>
      </c>
      <c r="D113" s="8" t="s">
        <v>68</v>
      </c>
      <c r="E113" s="8" t="s">
        <v>2396</v>
      </c>
      <c r="F113" s="8" t="s">
        <v>2397</v>
      </c>
      <c r="G113" s="180"/>
      <c r="H113" s="190"/>
      <c r="I113" s="12"/>
      <c r="J113" s="12"/>
      <c r="K113" s="12"/>
      <c r="L113" s="12"/>
      <c r="M113" s="12" t="str">
        <f t="shared" si="3"/>
        <v/>
      </c>
      <c r="N113" s="8"/>
    </row>
    <row r="114" spans="1:15" hidden="1">
      <c r="A114" s="190">
        <v>111</v>
      </c>
      <c r="B114" s="8" t="s">
        <v>2394</v>
      </c>
      <c r="C114" s="10" t="s">
        <v>2395</v>
      </c>
      <c r="D114" s="8" t="s">
        <v>55</v>
      </c>
      <c r="E114" s="8" t="s">
        <v>2398</v>
      </c>
      <c r="F114" s="8" t="s">
        <v>2399</v>
      </c>
      <c r="G114" s="180"/>
      <c r="H114" s="190"/>
      <c r="I114" s="12"/>
      <c r="J114" s="12"/>
      <c r="K114" s="12"/>
      <c r="L114" s="12"/>
      <c r="M114" s="12" t="str">
        <f t="shared" si="3"/>
        <v/>
      </c>
      <c r="N114" s="8"/>
    </row>
    <row r="115" spans="1:15" hidden="1">
      <c r="A115" s="190">
        <v>112</v>
      </c>
      <c r="B115" s="8" t="s">
        <v>2394</v>
      </c>
      <c r="C115" s="10" t="s">
        <v>2395</v>
      </c>
      <c r="D115" s="8" t="s">
        <v>798</v>
      </c>
      <c r="E115" s="8"/>
      <c r="F115" s="8"/>
      <c r="G115" s="180"/>
      <c r="H115" s="190"/>
      <c r="I115" s="12"/>
      <c r="J115" s="12"/>
      <c r="K115" s="12"/>
      <c r="L115" s="12"/>
      <c r="M115" s="12" t="str">
        <f t="shared" si="3"/>
        <v/>
      </c>
      <c r="N115" s="8"/>
    </row>
    <row r="116" spans="1:15">
      <c r="A116" s="190">
        <v>113</v>
      </c>
      <c r="B116" s="8" t="s">
        <v>101</v>
      </c>
      <c r="C116" s="10" t="s">
        <v>102</v>
      </c>
      <c r="D116" s="8" t="s">
        <v>55</v>
      </c>
      <c r="E116" s="8" t="s">
        <v>103</v>
      </c>
      <c r="F116" s="8" t="s">
        <v>102</v>
      </c>
      <c r="G116" s="180" t="s">
        <v>2400</v>
      </c>
      <c r="H116" s="190">
        <v>16500</v>
      </c>
      <c r="I116" s="12"/>
      <c r="J116" s="12"/>
      <c r="K116" s="12"/>
      <c r="L116" s="12"/>
      <c r="M116" s="12" t="str">
        <f t="shared" si="3"/>
        <v/>
      </c>
      <c r="N116" s="8"/>
    </row>
    <row r="117" spans="1:15" hidden="1">
      <c r="A117" s="190">
        <v>114</v>
      </c>
      <c r="B117" s="8" t="s">
        <v>2032</v>
      </c>
      <c r="C117" s="10" t="s">
        <v>2033</v>
      </c>
      <c r="D117" s="8" t="s">
        <v>55</v>
      </c>
      <c r="E117" s="8" t="s">
        <v>2401</v>
      </c>
      <c r="F117" s="8" t="s">
        <v>2033</v>
      </c>
      <c r="G117" s="180" t="s">
        <v>2402</v>
      </c>
      <c r="H117" s="190">
        <v>13200</v>
      </c>
      <c r="I117" s="12"/>
      <c r="J117" s="12"/>
      <c r="K117" s="12"/>
      <c r="L117" s="12"/>
      <c r="M117" s="12" t="str">
        <f t="shared" si="3"/>
        <v/>
      </c>
      <c r="N117" s="8"/>
      <c r="O117" t="s">
        <v>2403</v>
      </c>
    </row>
    <row r="118" spans="1:15" hidden="1">
      <c r="A118" s="190">
        <v>115</v>
      </c>
      <c r="B118" s="8"/>
      <c r="C118" s="10"/>
      <c r="D118" s="8"/>
      <c r="E118" s="8"/>
      <c r="F118" s="8"/>
      <c r="G118" s="180"/>
      <c r="H118" s="190"/>
      <c r="I118" s="12"/>
      <c r="J118" s="12"/>
      <c r="K118" s="12"/>
      <c r="L118" s="12"/>
      <c r="M118" s="12" t="str">
        <f t="shared" si="3"/>
        <v/>
      </c>
      <c r="N118" s="8"/>
    </row>
    <row r="119" spans="1:15" hidden="1">
      <c r="A119" s="190">
        <v>116</v>
      </c>
      <c r="B119" s="8"/>
      <c r="C119" s="10"/>
      <c r="D119" s="8"/>
      <c r="E119" s="8"/>
      <c r="F119" s="8"/>
      <c r="G119" s="180"/>
      <c r="H119" s="190"/>
      <c r="I119" s="12"/>
      <c r="J119" s="12"/>
      <c r="K119" s="12"/>
      <c r="L119" s="12"/>
      <c r="M119" s="12" t="str">
        <f t="shared" si="3"/>
        <v/>
      </c>
      <c r="N119" s="8"/>
    </row>
    <row r="120" spans="1:15" hidden="1">
      <c r="A120" s="190">
        <v>117</v>
      </c>
      <c r="B120" s="8"/>
      <c r="C120" s="10"/>
      <c r="D120" s="8"/>
      <c r="E120" s="8"/>
      <c r="F120" s="8"/>
      <c r="G120" s="180"/>
      <c r="H120" s="190"/>
      <c r="I120" s="12"/>
      <c r="J120" s="12"/>
      <c r="K120" s="12"/>
      <c r="L120" s="12"/>
      <c r="M120" s="12" t="str">
        <f t="shared" si="3"/>
        <v/>
      </c>
      <c r="N120" s="8"/>
    </row>
    <row r="121" spans="1:15" hidden="1">
      <c r="A121" s="190">
        <v>118</v>
      </c>
      <c r="B121" s="8"/>
      <c r="C121" s="10"/>
      <c r="D121" s="8"/>
      <c r="E121" s="8"/>
      <c r="F121" s="8"/>
      <c r="G121" s="180"/>
      <c r="H121" s="190"/>
      <c r="I121" s="12"/>
      <c r="J121" s="12"/>
      <c r="K121" s="12"/>
      <c r="L121" s="12"/>
      <c r="M121" s="12" t="str">
        <f t="shared" si="3"/>
        <v/>
      </c>
      <c r="N121" s="8"/>
    </row>
    <row r="122" spans="1:15" hidden="1">
      <c r="A122" s="190">
        <v>119</v>
      </c>
      <c r="B122" s="8"/>
      <c r="C122" s="10"/>
      <c r="D122" s="8"/>
      <c r="E122" s="8"/>
      <c r="F122" s="8"/>
      <c r="G122" s="180"/>
      <c r="H122" s="190"/>
      <c r="I122" s="12"/>
      <c r="J122" s="12"/>
      <c r="K122" s="12"/>
      <c r="L122" s="12"/>
      <c r="M122" s="12" t="str">
        <f t="shared" si="3"/>
        <v/>
      </c>
      <c r="N122" s="8"/>
    </row>
    <row r="123" spans="1:15" hidden="1">
      <c r="A123" s="190">
        <v>120</v>
      </c>
      <c r="B123" s="8"/>
      <c r="C123" s="10"/>
      <c r="D123" s="8"/>
      <c r="E123" s="8"/>
      <c r="F123" s="8"/>
      <c r="G123" s="180"/>
      <c r="H123" s="190"/>
      <c r="I123" s="12"/>
      <c r="J123" s="12"/>
      <c r="K123" s="12"/>
      <c r="L123" s="12"/>
      <c r="M123" s="12" t="str">
        <f t="shared" si="3"/>
        <v/>
      </c>
      <c r="N123" s="8"/>
    </row>
    <row r="124" spans="1:15" hidden="1">
      <c r="A124" s="190">
        <v>121</v>
      </c>
      <c r="B124" s="8"/>
      <c r="C124" s="10"/>
      <c r="D124" s="8"/>
      <c r="E124" s="8"/>
      <c r="F124" s="8"/>
      <c r="G124" s="180"/>
      <c r="H124" s="190"/>
      <c r="I124" s="12"/>
      <c r="J124" s="12"/>
      <c r="K124" s="12"/>
      <c r="L124" s="12"/>
      <c r="M124" s="12" t="str">
        <f t="shared" si="3"/>
        <v/>
      </c>
      <c r="N124" s="8"/>
    </row>
    <row r="125" spans="1:15" hidden="1">
      <c r="A125" s="190">
        <v>122</v>
      </c>
      <c r="B125" s="8"/>
      <c r="C125" s="10"/>
      <c r="D125" s="8"/>
      <c r="E125" s="8"/>
      <c r="F125" s="8"/>
      <c r="G125" s="180"/>
      <c r="H125" s="190"/>
      <c r="I125" s="12"/>
      <c r="J125" s="12"/>
      <c r="K125" s="12"/>
      <c r="L125" s="12"/>
      <c r="M125" s="12" t="str">
        <f t="shared" si="3"/>
        <v/>
      </c>
      <c r="N125" s="8"/>
    </row>
    <row r="126" spans="1:15" hidden="1">
      <c r="A126" s="190">
        <v>123</v>
      </c>
      <c r="B126" s="8"/>
      <c r="C126" s="10"/>
      <c r="D126" s="8"/>
      <c r="E126" s="8"/>
      <c r="F126" s="8"/>
      <c r="G126" s="180"/>
      <c r="H126" s="190"/>
      <c r="I126" s="12"/>
      <c r="J126" s="12"/>
      <c r="K126" s="12"/>
      <c r="L126" s="12"/>
      <c r="M126" s="12" t="str">
        <f t="shared" si="3"/>
        <v/>
      </c>
      <c r="N126" s="8"/>
    </row>
  </sheetData>
  <autoFilter ref="A3:N126" xr:uid="{00000000-0009-0000-0000-000008000000}">
    <filterColumn colId="2">
      <filters>
        <filter val="JAPARA KUNINGAN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CL369"/>
  <sheetViews>
    <sheetView zoomScaleNormal="100" workbookViewId="0">
      <pane xSplit="9" ySplit="5" topLeftCell="R340" activePane="bottomRight" state="frozen"/>
      <selection pane="topRight" activeCell="J1" sqref="J1"/>
      <selection pane="bottomLeft" activeCell="A6" sqref="A6"/>
      <selection pane="bottomRight" activeCell="CM358" sqref="CM358"/>
    </sheetView>
  </sheetViews>
  <sheetFormatPr defaultRowHeight="15" customHeight="1" outlineLevelCol="1"/>
  <cols>
    <col min="1" max="1" width="9.42578125" style="1" customWidth="1"/>
    <col min="2" max="2" width="9.5703125" style="1" hidden="1" customWidth="1" outlineLevel="1"/>
    <col min="3" max="3" width="7.42578125" style="1" hidden="1" customWidth="1" outlineLevel="1"/>
    <col min="4" max="4" width="10.42578125" style="1" hidden="1" customWidth="1" outlineLevel="1"/>
    <col min="5" max="5" width="26.42578125" hidden="1" customWidth="1" outlineLevel="1"/>
    <col min="6" max="6" width="14.5703125" hidden="1" customWidth="1" outlineLevel="1"/>
    <col min="7" max="7" width="10.5703125" style="1" bestFit="1" customWidth="1" collapsed="1"/>
    <col min="8" max="8" width="12.42578125" style="1" hidden="1" customWidth="1"/>
    <col min="9" max="9" width="37.5703125" style="1" bestFit="1" customWidth="1"/>
    <col min="10" max="10" width="12.42578125" style="1" customWidth="1" outlineLevel="1"/>
    <col min="11" max="11" width="10" style="1" customWidth="1" outlineLevel="1"/>
    <col min="12" max="12" width="27.5703125" style="1" customWidth="1" outlineLevel="1"/>
    <col min="13" max="13" width="28.42578125" style="1" customWidth="1" outlineLevel="1"/>
    <col min="14" max="14" width="64.42578125" style="152" customWidth="1" outlineLevel="1"/>
    <col min="15" max="15" width="13" customWidth="1" outlineLevel="1"/>
    <col min="16" max="16" width="14.5703125" customWidth="1" outlineLevel="1"/>
    <col min="17" max="17" width="17.5703125" customWidth="1" outlineLevel="1"/>
    <col min="18" max="18" width="13.140625" customWidth="1" outlineLevel="1"/>
    <col min="19" max="19" width="15.42578125" customWidth="1" outlineLevel="1"/>
    <col min="20" max="20" width="12.5703125" customWidth="1" outlineLevel="1"/>
    <col min="21" max="21" width="16.5703125" customWidth="1" outlineLevel="1"/>
    <col min="22" max="22" width="52.85546875" customWidth="1"/>
    <col min="23" max="23" width="22" hidden="1" customWidth="1" outlineLevel="1"/>
    <col min="24" max="24" width="16.5703125" hidden="1" customWidth="1" outlineLevel="1"/>
    <col min="25" max="27" width="13.5703125" hidden="1" customWidth="1" outlineLevel="1"/>
    <col min="28" max="28" width="13.5703125" customWidth="1" collapsed="1"/>
    <col min="29" max="29" width="18.42578125" customWidth="1"/>
    <col min="30" max="36" width="13.5703125" style="1" customWidth="1" outlineLevel="1"/>
    <col min="37" max="37" width="13.5703125" style="319" customWidth="1" outlineLevel="1"/>
    <col min="38" max="40" width="13.5703125" style="1" customWidth="1" outlineLevel="1"/>
    <col min="41" max="41" width="17.85546875" style="319" customWidth="1"/>
    <col min="42" max="42" width="43" style="1" customWidth="1"/>
    <col min="43" max="48" width="11.5703125" style="319" customWidth="1" outlineLevel="1"/>
    <col min="49" max="49" width="30.42578125" style="319" customWidth="1"/>
    <col min="50" max="55" width="11.5703125" style="319" hidden="1" customWidth="1" outlineLevel="1"/>
    <col min="56" max="56" width="19.5703125" style="319" customWidth="1" collapsed="1"/>
    <col min="57" max="57" width="49.5703125" style="319" customWidth="1"/>
    <col min="58" max="59" width="14.5703125" style="319" hidden="1" customWidth="1" outlineLevel="1"/>
    <col min="60" max="60" width="28.42578125" style="319" hidden="1" customWidth="1" outlineLevel="1"/>
    <col min="61" max="63" width="14.5703125" style="319" hidden="1" customWidth="1" outlineLevel="1"/>
    <col min="64" max="64" width="10.5703125" style="319" bestFit="1" customWidth="1" collapsed="1"/>
    <col min="65" max="65" width="9.5703125" style="319" bestFit="1" customWidth="1"/>
    <col min="66" max="66" width="19.42578125" style="319" bestFit="1" customWidth="1"/>
    <col min="67" max="67" width="17.42578125" style="319" bestFit="1" customWidth="1"/>
    <col min="68" max="68" width="19.140625" bestFit="1" customWidth="1"/>
    <col min="69" max="69" width="17.42578125" bestFit="1" customWidth="1"/>
    <col min="70" max="70" width="14.5703125" hidden="1" customWidth="1" outlineLevel="1"/>
    <col min="71" max="71" width="13.140625" hidden="1" customWidth="1" outlineLevel="1"/>
    <col min="72" max="72" width="17.5703125" bestFit="1" customWidth="1" collapsed="1"/>
    <col min="73" max="73" width="16" hidden="1" customWidth="1" outlineLevel="1"/>
    <col min="74" max="74" width="12.5703125" hidden="1" customWidth="1" outlineLevel="1"/>
    <col min="75" max="75" width="14.5703125" bestFit="1" customWidth="1" collapsed="1"/>
    <col min="76" max="76" width="16" hidden="1" customWidth="1" outlineLevel="1"/>
    <col min="77" max="77" width="14.5703125" hidden="1" customWidth="1" outlineLevel="1"/>
    <col min="78" max="78" width="61.5703125" style="152" customWidth="1" collapsed="1"/>
    <col min="79" max="79" width="12.42578125" customWidth="1"/>
    <col min="80" max="82" width="9.42578125" customWidth="1"/>
    <col min="83" max="90" width="20.5703125" customWidth="1"/>
  </cols>
  <sheetData>
    <row r="1" spans="1:90">
      <c r="A1" s="186" t="s">
        <v>2404</v>
      </c>
      <c r="E1" s="184"/>
      <c r="Q1" s="320"/>
      <c r="AK1" s="1"/>
      <c r="AL1" s="2"/>
      <c r="AM1" s="3"/>
      <c r="AN1" s="3"/>
      <c r="AO1" s="4"/>
      <c r="AP1" s="5"/>
      <c r="AQ1" s="4"/>
      <c r="AR1" s="4"/>
      <c r="AS1" s="4"/>
      <c r="AT1" s="2"/>
      <c r="AU1" s="2"/>
      <c r="AV1" s="2"/>
      <c r="AW1" s="4"/>
      <c r="AX1" s="2"/>
      <c r="AY1" s="2"/>
      <c r="AZ1" s="2"/>
      <c r="BA1" s="2"/>
      <c r="BB1" s="2"/>
      <c r="BC1" s="2"/>
      <c r="BD1" s="4"/>
      <c r="BE1" s="2"/>
      <c r="BF1" s="4"/>
      <c r="BG1" s="4"/>
      <c r="BH1" s="4"/>
      <c r="BI1" s="4"/>
      <c r="BJ1" s="4"/>
      <c r="BK1" s="4"/>
      <c r="BL1" s="4"/>
      <c r="BM1" s="2"/>
      <c r="BN1" s="4"/>
      <c r="BO1" s="4"/>
      <c r="CC1" s="151"/>
      <c r="CD1" s="151"/>
    </row>
    <row r="2" spans="1:90">
      <c r="A2" s="191" t="s">
        <v>2405</v>
      </c>
      <c r="E2" s="1"/>
      <c r="F2" s="1"/>
      <c r="P2" s="1"/>
      <c r="Q2" s="168"/>
      <c r="R2" s="1"/>
      <c r="S2" s="1"/>
      <c r="T2" s="1"/>
      <c r="U2" s="1"/>
      <c r="V2" s="1"/>
      <c r="W2" s="1"/>
      <c r="Y2" s="1"/>
      <c r="AK2" s="1"/>
      <c r="AO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U2" s="1"/>
      <c r="BX2" s="1"/>
      <c r="CA2" s="1"/>
      <c r="CB2" s="1"/>
      <c r="CE2" s="1"/>
      <c r="CF2" s="1"/>
    </row>
    <row r="3" spans="1:90" ht="15.75" customHeight="1" thickBot="1">
      <c r="A3" s="181" t="s">
        <v>1948</v>
      </c>
      <c r="E3" s="1"/>
      <c r="F3" s="1"/>
      <c r="G3" s="1">
        <f t="array" aca="1" ref="G3" ca="1">COUNTA(_xlfn.UNIQUE(_xlfn._xlws.FILTER(G6:G995,SUBTOTAL(3,OFFSET(G6,ROW(G6:G995)-ROW(G6),0)))))</f>
        <v>1</v>
      </c>
      <c r="I3" s="1">
        <f>+SUBTOTAL(3,I6:I1002)</f>
        <v>356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H3" s="1">
        <f>+SUBTOTAL(3,AH6:AH1002)</f>
        <v>61</v>
      </c>
      <c r="AK3" s="1"/>
      <c r="AQ3" s="1"/>
      <c r="AR3" s="1"/>
      <c r="AS3" s="1"/>
      <c r="AT3" s="1"/>
      <c r="AU3" s="1"/>
      <c r="AV3" s="1"/>
      <c r="AX3" s="1"/>
      <c r="AY3" s="1"/>
      <c r="AZ3" s="1"/>
      <c r="BA3" s="1"/>
      <c r="BB3" s="1"/>
      <c r="BC3" s="1"/>
      <c r="BE3" s="1"/>
      <c r="BF3" s="1"/>
      <c r="BG3" s="1"/>
      <c r="BH3" s="1"/>
      <c r="BI3" s="1"/>
      <c r="BJ3" s="1"/>
      <c r="BK3" s="1">
        <f>+SUBTOTAL(3,BK6:BK1002)</f>
        <v>152</v>
      </c>
      <c r="BL3" s="1"/>
      <c r="BN3" s="1"/>
      <c r="BO3" s="1"/>
      <c r="BP3" s="1">
        <f>SUBTOTAL(3,BP6:BP296)</f>
        <v>291</v>
      </c>
      <c r="BQ3" s="1"/>
      <c r="BR3" s="1"/>
      <c r="BS3" s="1"/>
      <c r="BT3" s="1"/>
      <c r="BU3" s="1"/>
      <c r="BV3" s="1"/>
      <c r="BW3" s="1"/>
      <c r="BX3" s="1"/>
      <c r="BY3" s="1"/>
      <c r="CE3" s="1"/>
    </row>
    <row r="4" spans="1:90" ht="15.75" customHeight="1" thickBot="1">
      <c r="A4" s="163" t="s">
        <v>2406</v>
      </c>
      <c r="B4" s="167"/>
      <c r="C4" s="167"/>
      <c r="D4" s="167"/>
      <c r="E4" s="167"/>
      <c r="F4" s="167"/>
      <c r="G4" s="164"/>
      <c r="H4" s="188"/>
      <c r="I4" s="165"/>
      <c r="J4" s="165"/>
      <c r="K4" s="165"/>
      <c r="L4" s="165"/>
      <c r="M4" s="165"/>
      <c r="N4" s="194"/>
      <c r="O4" s="165"/>
      <c r="P4" s="165"/>
      <c r="Q4" s="165"/>
      <c r="R4" s="165"/>
      <c r="S4" s="165"/>
      <c r="T4" s="165"/>
      <c r="U4" s="165"/>
      <c r="V4" s="179"/>
      <c r="W4" s="342" t="s">
        <v>2407</v>
      </c>
      <c r="X4" s="338"/>
      <c r="Y4" s="338"/>
      <c r="Z4" s="338"/>
      <c r="AA4" s="338"/>
      <c r="AB4" s="338"/>
      <c r="AC4" s="339"/>
      <c r="AD4" s="340" t="s">
        <v>2406</v>
      </c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9"/>
      <c r="AQ4" s="341" t="s">
        <v>2406</v>
      </c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9"/>
      <c r="BF4" s="337" t="s">
        <v>2408</v>
      </c>
      <c r="BG4" s="338"/>
      <c r="BH4" s="338"/>
      <c r="BI4" s="338"/>
      <c r="BJ4" s="338"/>
      <c r="BK4" s="338"/>
      <c r="BL4" s="338"/>
      <c r="BM4" s="339"/>
      <c r="BN4" s="321"/>
      <c r="BO4" s="322"/>
      <c r="BP4" s="225" t="s">
        <v>2406</v>
      </c>
      <c r="BQ4" s="160"/>
      <c r="BR4" s="160"/>
      <c r="BS4" s="160"/>
      <c r="BT4" s="160"/>
      <c r="BU4" s="160"/>
      <c r="BV4" s="160"/>
      <c r="BW4" s="226"/>
      <c r="BX4" s="160"/>
      <c r="BY4" s="226"/>
      <c r="CE4" s="269" t="s">
        <v>2409</v>
      </c>
      <c r="CF4" s="270"/>
      <c r="CG4" s="270"/>
      <c r="CH4" s="270"/>
      <c r="CI4" s="270"/>
      <c r="CJ4" s="269"/>
      <c r="CK4" s="270"/>
      <c r="CL4" s="271"/>
    </row>
    <row r="5" spans="1:90" ht="42" customHeight="1" thickBot="1">
      <c r="A5" s="161" t="s">
        <v>12</v>
      </c>
      <c r="B5" s="148" t="s">
        <v>2410</v>
      </c>
      <c r="C5" s="148" t="s">
        <v>2411</v>
      </c>
      <c r="D5" s="148" t="s">
        <v>2412</v>
      </c>
      <c r="E5" s="150" t="s">
        <v>2413</v>
      </c>
      <c r="F5" s="148" t="s">
        <v>2414</v>
      </c>
      <c r="G5" s="162" t="s">
        <v>13</v>
      </c>
      <c r="H5" s="162" t="s">
        <v>44</v>
      </c>
      <c r="I5" s="162" t="s">
        <v>179</v>
      </c>
      <c r="J5" s="162" t="s">
        <v>2415</v>
      </c>
      <c r="K5" s="162" t="s">
        <v>2416</v>
      </c>
      <c r="L5" s="162" t="s">
        <v>2417</v>
      </c>
      <c r="M5" s="162" t="s">
        <v>2418</v>
      </c>
      <c r="N5" s="195" t="s">
        <v>2419</v>
      </c>
      <c r="O5" s="162" t="s">
        <v>46</v>
      </c>
      <c r="P5" s="162" t="s">
        <v>47</v>
      </c>
      <c r="Q5" s="162" t="s">
        <v>2420</v>
      </c>
      <c r="R5" s="162" t="s">
        <v>2421</v>
      </c>
      <c r="S5" s="162" t="s">
        <v>15</v>
      </c>
      <c r="T5" s="162" t="s">
        <v>2422</v>
      </c>
      <c r="U5" s="162" t="s">
        <v>2423</v>
      </c>
      <c r="V5" s="162" t="s">
        <v>2424</v>
      </c>
      <c r="W5" s="166" t="s">
        <v>2425</v>
      </c>
      <c r="X5" s="166" t="s">
        <v>2426</v>
      </c>
      <c r="Y5" s="166" t="s">
        <v>2427</v>
      </c>
      <c r="Z5" s="166" t="s">
        <v>2428</v>
      </c>
      <c r="AA5" s="166" t="s">
        <v>2429</v>
      </c>
      <c r="AB5" s="166" t="s">
        <v>2430</v>
      </c>
      <c r="AC5" s="166" t="s">
        <v>2431</v>
      </c>
      <c r="AD5" s="323" t="s">
        <v>2432</v>
      </c>
      <c r="AE5" s="323" t="s">
        <v>2433</v>
      </c>
      <c r="AF5" s="323" t="s">
        <v>2434</v>
      </c>
      <c r="AG5" s="323" t="s">
        <v>2435</v>
      </c>
      <c r="AH5" s="324" t="s">
        <v>2436</v>
      </c>
      <c r="AI5" s="324" t="s">
        <v>2437</v>
      </c>
      <c r="AJ5" s="324" t="s">
        <v>185</v>
      </c>
      <c r="AK5" s="323" t="s">
        <v>2438</v>
      </c>
      <c r="AL5" s="323" t="s">
        <v>2439</v>
      </c>
      <c r="AM5" s="323" t="s">
        <v>2440</v>
      </c>
      <c r="AN5" s="323" t="s">
        <v>2441</v>
      </c>
      <c r="AO5" s="323" t="s">
        <v>2442</v>
      </c>
      <c r="AP5" s="323" t="s">
        <v>2443</v>
      </c>
      <c r="AQ5" s="325" t="s">
        <v>2444</v>
      </c>
      <c r="AR5" s="325" t="s">
        <v>2445</v>
      </c>
      <c r="AS5" s="325" t="s">
        <v>2446</v>
      </c>
      <c r="AT5" s="325" t="s">
        <v>2447</v>
      </c>
      <c r="AU5" s="325" t="s">
        <v>2448</v>
      </c>
      <c r="AV5" s="325" t="s">
        <v>2449</v>
      </c>
      <c r="AW5" s="325" t="s">
        <v>2450</v>
      </c>
      <c r="AX5" s="325" t="s">
        <v>2451</v>
      </c>
      <c r="AY5" s="325" t="s">
        <v>2452</v>
      </c>
      <c r="AZ5" s="325" t="s">
        <v>2446</v>
      </c>
      <c r="BA5" s="325" t="s">
        <v>2453</v>
      </c>
      <c r="BB5" s="325" t="s">
        <v>2454</v>
      </c>
      <c r="BC5" s="325" t="s">
        <v>2455</v>
      </c>
      <c r="BD5" s="325" t="s">
        <v>2456</v>
      </c>
      <c r="BE5" s="325" t="s">
        <v>2457</v>
      </c>
      <c r="BF5" s="325" t="s">
        <v>2458</v>
      </c>
      <c r="BG5" s="325" t="s">
        <v>2459</v>
      </c>
      <c r="BH5" s="325" t="s">
        <v>2460</v>
      </c>
      <c r="BI5" s="325" t="s">
        <v>2461</v>
      </c>
      <c r="BJ5" s="325" t="s">
        <v>2462</v>
      </c>
      <c r="BK5" s="325" t="s">
        <v>2463</v>
      </c>
      <c r="BL5" s="325" t="s">
        <v>2464</v>
      </c>
      <c r="BM5" s="325" t="s">
        <v>2465</v>
      </c>
      <c r="BN5" s="325" t="s">
        <v>2466</v>
      </c>
      <c r="BO5" s="325" t="s">
        <v>2467</v>
      </c>
      <c r="BP5" s="14" t="s">
        <v>2468</v>
      </c>
      <c r="BQ5" s="14" t="s">
        <v>2469</v>
      </c>
      <c r="BR5" s="14" t="s">
        <v>2470</v>
      </c>
      <c r="BS5" s="14" t="s">
        <v>2471</v>
      </c>
      <c r="BT5" s="14" t="s">
        <v>2472</v>
      </c>
      <c r="BU5" s="14" t="s">
        <v>2473</v>
      </c>
      <c r="BV5" s="14" t="s">
        <v>2474</v>
      </c>
      <c r="BW5" s="14" t="s">
        <v>2475</v>
      </c>
      <c r="BX5" s="14" t="s">
        <v>2476</v>
      </c>
      <c r="BY5" s="14" t="s">
        <v>2477</v>
      </c>
      <c r="BZ5" s="268" t="s">
        <v>2478</v>
      </c>
      <c r="CA5" s="149" t="s">
        <v>2479</v>
      </c>
      <c r="CB5" s="149" t="s">
        <v>2480</v>
      </c>
      <c r="CC5" s="149" t="s">
        <v>2481</v>
      </c>
      <c r="CD5" s="149"/>
      <c r="CE5" s="326" t="s">
        <v>178</v>
      </c>
      <c r="CF5" s="326" t="s">
        <v>179</v>
      </c>
      <c r="CG5" s="326" t="s">
        <v>46</v>
      </c>
      <c r="CH5" s="326" t="s">
        <v>47</v>
      </c>
      <c r="CI5" s="326" t="s">
        <v>2482</v>
      </c>
      <c r="CJ5" s="326" t="s">
        <v>2483</v>
      </c>
      <c r="CK5" s="326" t="s">
        <v>2484</v>
      </c>
      <c r="CL5" s="326" t="s">
        <v>2485</v>
      </c>
    </row>
    <row r="6" spans="1:90" ht="30" customHeight="1">
      <c r="A6" s="187">
        <v>1</v>
      </c>
      <c r="B6" s="190" t="s">
        <v>2486</v>
      </c>
      <c r="C6" s="190" t="s">
        <v>2487</v>
      </c>
      <c r="D6" s="190" t="s">
        <v>135</v>
      </c>
      <c r="E6" s="8" t="e">
        <f ca="1">+_xlfn.CONCAT(G6,"-",B6,"_",C6,"_",_xlfn.XLOOKUP(BP6,Account!M:M,Account!N:N))</f>
        <v>#NAME?</v>
      </c>
      <c r="F6" s="12">
        <v>45670</v>
      </c>
      <c r="G6" s="190" t="s">
        <v>2073</v>
      </c>
      <c r="H6" s="190" t="s">
        <v>2488</v>
      </c>
      <c r="I6" s="10" t="s">
        <v>2074</v>
      </c>
      <c r="J6" s="190">
        <v>11</v>
      </c>
      <c r="K6" s="190" t="s">
        <v>2038</v>
      </c>
      <c r="L6" s="190" t="s">
        <v>1263</v>
      </c>
      <c r="M6" s="190" t="s">
        <v>2489</v>
      </c>
      <c r="N6" s="10" t="s">
        <v>2490</v>
      </c>
      <c r="O6" s="169" t="s">
        <v>2491</v>
      </c>
      <c r="P6" s="170" t="s">
        <v>2492</v>
      </c>
      <c r="Q6" s="327">
        <v>13067.712</v>
      </c>
      <c r="R6" s="190">
        <v>55</v>
      </c>
      <c r="S6" s="190" t="s">
        <v>2493</v>
      </c>
      <c r="T6" s="190" t="s">
        <v>2494</v>
      </c>
      <c r="U6" s="190" t="s">
        <v>2495</v>
      </c>
      <c r="V6" s="8" t="s">
        <v>1760</v>
      </c>
      <c r="W6" s="171" t="s">
        <v>1261</v>
      </c>
      <c r="X6" s="9">
        <v>87861095209</v>
      </c>
      <c r="Y6" s="12" t="s">
        <v>2496</v>
      </c>
      <c r="Z6" s="12">
        <v>45713</v>
      </c>
      <c r="AA6" s="12">
        <v>45720</v>
      </c>
      <c r="AB6" s="143" t="str">
        <f t="shared" ref="AB6:AB69" ca="1" si="0">IF(AA6="ds","Submit",IF(AA6="","NY Submit",IF(AA6&lt;TODAY(),"Expired",IFERROR(DATEDIF(TODAY(),AA6,"d"),""))))</f>
        <v>Expired</v>
      </c>
      <c r="AC6" s="13"/>
      <c r="AD6" s="12">
        <v>45681</v>
      </c>
      <c r="AE6" s="12">
        <v>45686</v>
      </c>
      <c r="AF6" s="12"/>
      <c r="AG6" s="12">
        <v>45716</v>
      </c>
      <c r="AH6" s="11"/>
      <c r="AI6" s="11">
        <v>45722</v>
      </c>
      <c r="AJ6" s="12"/>
      <c r="AK6" s="11"/>
      <c r="AL6" s="11"/>
      <c r="AM6" s="11"/>
      <c r="AN6" s="11">
        <v>45727</v>
      </c>
      <c r="AO6" s="11" t="str">
        <f>+IF(AN6&lt;&gt;"","BAST",IF(AI6&lt;&gt;"","Dismantle",IF(AG6&lt;&gt;"","RFD App",IF(AF6="Drop","Drop",IF(AE6&lt;&gt;"","Survey Report",IF(AD6&lt;&gt;"","Survey","NY Survey"))))))</f>
        <v>BAST</v>
      </c>
      <c r="AP6" s="173"/>
      <c r="AQ6" s="12">
        <v>45719</v>
      </c>
      <c r="AR6" s="12">
        <v>45719</v>
      </c>
      <c r="AS6" s="12">
        <v>45719</v>
      </c>
      <c r="AT6" s="12">
        <v>45765</v>
      </c>
      <c r="AU6" s="12">
        <v>45735</v>
      </c>
      <c r="AV6" s="12">
        <v>45735</v>
      </c>
      <c r="AW6" s="11" t="str">
        <f t="shared" ref="AW6:AW69" si="1">+IF(AV6&lt;&gt;"","1st BOQ App on ISAAC",IF(AU6&lt;&gt;"","Upload 1st BOQ &amp; BAN Isaac",IF(AT6="DRM","need DRM",IF(AT6&lt;&gt;"","BAN App",IF(AR6&lt;&gt;"","1st BOQ Pass TI",IF(AS6&lt;&gt;"","Engineering Structural Manager App",IF(AQ6&lt;&gt;"","1st BOQ Submit","NY Submit")))))))</f>
        <v>1st BOQ App on ISAAC</v>
      </c>
      <c r="AX6" s="12"/>
      <c r="AY6" s="12"/>
      <c r="AZ6" s="12"/>
      <c r="BA6" s="12"/>
      <c r="BB6" s="12"/>
      <c r="BC6" s="12"/>
      <c r="BD6" s="11" t="str">
        <f t="shared" ref="BD6:BD69" si="2">+IF(BC6&lt;&gt;"","2nd BOQ App on ISAAC",IF(BB6&lt;&gt;"","Upload 2nd BOQ &amp; BAN Isaac",IF(BA6="DRM","need DRM",IF(BA6&lt;&gt;"","BAN App",IF(AZ6&lt;&gt;"","Engineering Structural Manager App",IF(AY6&lt;&gt;"","2nd BOQ Pass TI",IF(AX6&lt;&gt;"","2nd BOQ Submit","NY Submit")))))))</f>
        <v>NY Submit</v>
      </c>
      <c r="BE6" s="174"/>
      <c r="BF6" s="12">
        <v>45689</v>
      </c>
      <c r="BG6" s="12">
        <v>45695</v>
      </c>
      <c r="BH6" s="12" t="s">
        <v>2497</v>
      </c>
      <c r="BI6" s="12">
        <v>45689</v>
      </c>
      <c r="BJ6" s="12">
        <v>45695</v>
      </c>
      <c r="BK6" s="174" t="s">
        <v>2498</v>
      </c>
      <c r="BL6" s="12" t="str">
        <f t="shared" ref="BL6:BL69" si="3">+IF(BG6&lt;&gt;"","Approved",IF(BF6&lt;&gt;"","Submit","NY Submit"))</f>
        <v>Approved</v>
      </c>
      <c r="BM6" s="12" t="str">
        <f t="shared" ref="BM6:BM69" si="4">+IF(BJ6&lt;&gt;"","Approved",IF(BI6&lt;&gt;"","Submit","NY Submit"))</f>
        <v>Approved</v>
      </c>
      <c r="BN6" s="12">
        <v>45727</v>
      </c>
      <c r="BO6" s="12">
        <v>45727</v>
      </c>
      <c r="BP6" s="155" t="s">
        <v>1760</v>
      </c>
      <c r="BQ6" s="12" t="s">
        <v>2499</v>
      </c>
      <c r="BR6" s="12">
        <v>45791</v>
      </c>
      <c r="BS6" s="143">
        <f ca="1">IF(AO6="Drop",
    "Drop",
    IF(ISBLANK(AV6),
        0,
        IF(ISBLANK(BR6),
            DATEDIF(AV6,TODAY(),"d"),
            DATEDIF(AV6,BR6,"d")
        )
    )
)</f>
        <v>56</v>
      </c>
      <c r="BT6" s="12"/>
      <c r="BU6" s="12"/>
      <c r="BV6" s="143">
        <f ca="1">IF(AO6="Drop",
    "Drop",
    IF(ISBLANK(BC6),
        0,
        IF(ISBLANK(BU6),
            DATEDIF(BC6,TODAY(),"d"),
            DATEDIF(BC6,BU6,"d")
        )
    )
)</f>
        <v>0</v>
      </c>
      <c r="BW6" s="12"/>
      <c r="BX6" s="12"/>
      <c r="BY6" s="143"/>
      <c r="BZ6" s="13" t="s">
        <v>2500</v>
      </c>
      <c r="CA6" s="13"/>
      <c r="CB6" s="13"/>
      <c r="CC6" s="13"/>
      <c r="CD6" s="13"/>
      <c r="CE6" s="198" t="s">
        <v>2501</v>
      </c>
      <c r="CF6" s="198" t="s">
        <v>2502</v>
      </c>
      <c r="CG6" s="272">
        <v>-7.43527</v>
      </c>
      <c r="CH6" s="272">
        <v>109.27025999999999</v>
      </c>
      <c r="CI6" s="198" t="s">
        <v>2503</v>
      </c>
      <c r="CJ6" s="198"/>
      <c r="CK6" s="198"/>
      <c r="CL6" s="198"/>
    </row>
    <row r="7" spans="1:90" ht="30" customHeight="1">
      <c r="A7" s="187">
        <v>2</v>
      </c>
      <c r="B7" s="190" t="s">
        <v>2486</v>
      </c>
      <c r="C7" s="190" t="s">
        <v>2487</v>
      </c>
      <c r="D7" s="190" t="s">
        <v>135</v>
      </c>
      <c r="E7" s="8" t="e">
        <f ca="1">+_xlfn.CONCAT(G7,"-",B7,"_",C7,"_",_xlfn.XLOOKUP(BP7,Account!M:M,Account!N:N))</f>
        <v>#NAME?</v>
      </c>
      <c r="F7" s="12">
        <v>45670</v>
      </c>
      <c r="G7" s="190" t="s">
        <v>2073</v>
      </c>
      <c r="H7" s="190" t="s">
        <v>2488</v>
      </c>
      <c r="I7" s="10" t="s">
        <v>2074</v>
      </c>
      <c r="J7" s="190">
        <v>11</v>
      </c>
      <c r="K7" s="190" t="s">
        <v>2038</v>
      </c>
      <c r="L7" s="190" t="s">
        <v>1263</v>
      </c>
      <c r="M7" s="190" t="s">
        <v>2489</v>
      </c>
      <c r="N7" s="10" t="s">
        <v>2490</v>
      </c>
      <c r="O7" s="169" t="s">
        <v>2491</v>
      </c>
      <c r="P7" s="170" t="s">
        <v>2492</v>
      </c>
      <c r="Q7" s="327">
        <v>13067.712</v>
      </c>
      <c r="R7" s="190">
        <v>55</v>
      </c>
      <c r="S7" s="190" t="s">
        <v>2493</v>
      </c>
      <c r="T7" s="190" t="s">
        <v>2494</v>
      </c>
      <c r="U7" s="190" t="s">
        <v>2495</v>
      </c>
      <c r="V7" s="8" t="s">
        <v>2011</v>
      </c>
      <c r="W7" s="171" t="s">
        <v>1261</v>
      </c>
      <c r="X7" s="9">
        <v>87861095209</v>
      </c>
      <c r="Y7" s="12" t="s">
        <v>2496</v>
      </c>
      <c r="Z7" s="12">
        <v>45713</v>
      </c>
      <c r="AA7" s="12">
        <v>45720</v>
      </c>
      <c r="AB7" s="143" t="str">
        <f t="shared" ca="1" si="0"/>
        <v>Expired</v>
      </c>
      <c r="AC7" s="13"/>
      <c r="AD7" s="12">
        <v>45681</v>
      </c>
      <c r="AE7" s="12">
        <v>45686</v>
      </c>
      <c r="AF7" s="12"/>
      <c r="AG7" s="12"/>
      <c r="AH7" s="11">
        <v>45717</v>
      </c>
      <c r="AI7" s="11"/>
      <c r="AJ7" s="12"/>
      <c r="AK7" s="11"/>
      <c r="AL7" s="11"/>
      <c r="AM7" s="11">
        <v>45727</v>
      </c>
      <c r="AN7" s="11"/>
      <c r="AO7" s="11" t="str">
        <f>+IF(AM7&lt;&gt;"","ATP App MS",IF(AJ7&lt;&gt;"","Inbound",IF(AH7&lt;&gt;"","Dismantle Perangkat",IF(AF7="Drop","Drop",IF(AE7&lt;&gt;"","Survey Report",IF(AD7&lt;&gt;"","Survey","NY Survey"))))))</f>
        <v>ATP App MS</v>
      </c>
      <c r="AP7" s="173"/>
      <c r="AQ7" s="12">
        <v>45719</v>
      </c>
      <c r="AR7" s="12">
        <v>45719</v>
      </c>
      <c r="AS7" s="12">
        <v>45719</v>
      </c>
      <c r="AT7" s="12">
        <v>45765</v>
      </c>
      <c r="AU7" s="12">
        <v>45735</v>
      </c>
      <c r="AV7" s="12">
        <v>45735</v>
      </c>
      <c r="AW7" s="11" t="str">
        <f t="shared" si="1"/>
        <v>1st BOQ App on ISAAC</v>
      </c>
      <c r="AX7" s="12"/>
      <c r="AY7" s="12"/>
      <c r="AZ7" s="12"/>
      <c r="BA7" s="12"/>
      <c r="BB7" s="12"/>
      <c r="BC7" s="12"/>
      <c r="BD7" s="11" t="str">
        <f t="shared" si="2"/>
        <v>NY Submit</v>
      </c>
      <c r="BE7" s="174"/>
      <c r="BF7" s="12">
        <v>45689</v>
      </c>
      <c r="BG7" s="12">
        <v>45695</v>
      </c>
      <c r="BH7" s="12" t="s">
        <v>2497</v>
      </c>
      <c r="BI7" s="12">
        <v>45689</v>
      </c>
      <c r="BJ7" s="12">
        <v>45708</v>
      </c>
      <c r="BK7" s="174"/>
      <c r="BL7" s="12" t="str">
        <f t="shared" si="3"/>
        <v>Approved</v>
      </c>
      <c r="BM7" s="12" t="str">
        <f t="shared" si="4"/>
        <v>Approved</v>
      </c>
      <c r="BN7" s="12">
        <v>45727</v>
      </c>
      <c r="BO7" s="12">
        <v>45803</v>
      </c>
      <c r="BP7" s="155" t="s">
        <v>2011</v>
      </c>
      <c r="BQ7" s="12" t="s">
        <v>2504</v>
      </c>
      <c r="BR7" s="12">
        <v>45791</v>
      </c>
      <c r="BS7" s="143">
        <f t="shared" ref="BS7:BS38" ca="1" si="5">IF(AO7="Drop",
"Drop",
IF(ISBLANK(AV7),
0,
IF(ISBLANK(BR7),
DATEDIF(AV7,TODAY(),"d"),
DATEDIF(AV7,BR7,"d")
)
)
)</f>
        <v>56</v>
      </c>
      <c r="BT7" s="12"/>
      <c r="BU7" s="12"/>
      <c r="BV7" s="143">
        <f t="shared" ref="BV7:BV38" ca="1" si="6">IF(AO7="Drop",
"Drop",
IF(ISBLANK(BC7),
0,
IF(ISBLANK(BU7),
DATEDIF(BC7,TODAY(),"d"),
DATEDIF(BC7,BU7,"d")
)
)
)</f>
        <v>0</v>
      </c>
      <c r="BW7" s="12"/>
      <c r="BX7" s="12"/>
      <c r="BY7" s="143"/>
      <c r="BZ7" s="13" t="s">
        <v>2500</v>
      </c>
      <c r="CA7" s="13"/>
      <c r="CB7" s="13"/>
      <c r="CC7" s="13"/>
      <c r="CD7" s="13"/>
      <c r="CE7" s="198" t="s">
        <v>2501</v>
      </c>
      <c r="CF7" s="198" t="s">
        <v>2502</v>
      </c>
      <c r="CG7" s="272">
        <v>-7.43527</v>
      </c>
      <c r="CH7" s="272">
        <v>109.27025999999999</v>
      </c>
      <c r="CI7" s="198" t="s">
        <v>2503</v>
      </c>
      <c r="CJ7" s="198"/>
      <c r="CK7" s="198"/>
      <c r="CL7" s="198"/>
    </row>
    <row r="8" spans="1:90" ht="30" customHeight="1">
      <c r="A8" s="187">
        <v>3</v>
      </c>
      <c r="B8" s="190" t="s">
        <v>2486</v>
      </c>
      <c r="C8" s="190" t="s">
        <v>2487</v>
      </c>
      <c r="D8" s="190" t="s">
        <v>135</v>
      </c>
      <c r="E8" s="8" t="e">
        <f ca="1">+_xlfn.CONCAT(G8,"-",B8,"_",C8,"_",_xlfn.XLOOKUP(BP8,Account!M:M,Account!N:N))</f>
        <v>#NAME?</v>
      </c>
      <c r="F8" s="12">
        <v>45670</v>
      </c>
      <c r="G8" s="190" t="s">
        <v>2073</v>
      </c>
      <c r="H8" s="190" t="s">
        <v>2488</v>
      </c>
      <c r="I8" s="10" t="s">
        <v>2074</v>
      </c>
      <c r="J8" s="190">
        <v>11</v>
      </c>
      <c r="K8" s="190" t="s">
        <v>2038</v>
      </c>
      <c r="L8" s="190" t="s">
        <v>1263</v>
      </c>
      <c r="M8" s="190" t="s">
        <v>2489</v>
      </c>
      <c r="N8" s="10" t="s">
        <v>2490</v>
      </c>
      <c r="O8" s="169" t="s">
        <v>2491</v>
      </c>
      <c r="P8" s="170" t="s">
        <v>2492</v>
      </c>
      <c r="Q8" s="327">
        <v>13067.712</v>
      </c>
      <c r="R8" s="190">
        <v>55</v>
      </c>
      <c r="S8" s="190" t="s">
        <v>2493</v>
      </c>
      <c r="T8" s="190" t="s">
        <v>2494</v>
      </c>
      <c r="U8" s="190" t="s">
        <v>2495</v>
      </c>
      <c r="V8" s="8" t="s">
        <v>1768</v>
      </c>
      <c r="W8" s="171" t="s">
        <v>1261</v>
      </c>
      <c r="X8" s="9">
        <v>87861095209</v>
      </c>
      <c r="Y8" s="12" t="s">
        <v>2496</v>
      </c>
      <c r="Z8" s="12">
        <v>45713</v>
      </c>
      <c r="AA8" s="12">
        <v>45720</v>
      </c>
      <c r="AB8" s="143" t="str">
        <f t="shared" ca="1" si="0"/>
        <v>Expired</v>
      </c>
      <c r="AC8" s="13"/>
      <c r="AD8" s="12">
        <v>45681</v>
      </c>
      <c r="AE8" s="12">
        <v>45686</v>
      </c>
      <c r="AF8" s="12"/>
      <c r="AG8" s="12"/>
      <c r="AH8" s="12"/>
      <c r="AI8" s="12"/>
      <c r="AJ8" s="12"/>
      <c r="AK8" s="11">
        <v>45719</v>
      </c>
      <c r="AL8" s="11">
        <v>45719</v>
      </c>
      <c r="AM8" s="11">
        <v>45727</v>
      </c>
      <c r="AN8" s="11"/>
      <c r="AO8" s="11" t="str">
        <f>+IF(AM8&lt;&gt;"","ATP App MS",IF(AL8&lt;&gt;"","OA/RFS",IF(AK8&lt;&gt;"","Install",IF(AH8&lt;&gt;"","Dismantle Perangkat",IF(AF8="Drop","Drop",IF(AE8&lt;&gt;"","Survey Report",IF(AD8&lt;&gt;"","Survey","NY Survey")))))))</f>
        <v>ATP App MS</v>
      </c>
      <c r="AP8" s="173"/>
      <c r="AQ8" s="12">
        <v>45719</v>
      </c>
      <c r="AR8" s="12">
        <v>45719</v>
      </c>
      <c r="AS8" s="12">
        <v>45719</v>
      </c>
      <c r="AT8" s="12">
        <v>45765</v>
      </c>
      <c r="AU8" s="12">
        <v>45735</v>
      </c>
      <c r="AV8" s="12">
        <v>45735</v>
      </c>
      <c r="AW8" s="11" t="str">
        <f t="shared" si="1"/>
        <v>1st BOQ App on ISAAC</v>
      </c>
      <c r="AX8" s="12"/>
      <c r="AY8" s="12"/>
      <c r="AZ8" s="12"/>
      <c r="BA8" s="12"/>
      <c r="BB8" s="12"/>
      <c r="BC8" s="12"/>
      <c r="BD8" s="11" t="str">
        <f t="shared" si="2"/>
        <v>NY Submit</v>
      </c>
      <c r="BE8" s="174"/>
      <c r="BF8" s="12">
        <v>45689</v>
      </c>
      <c r="BG8" s="12">
        <v>45695</v>
      </c>
      <c r="BH8" s="12" t="s">
        <v>2497</v>
      </c>
      <c r="BI8" s="12">
        <v>45689</v>
      </c>
      <c r="BJ8" s="12">
        <v>45708</v>
      </c>
      <c r="BK8" s="174"/>
      <c r="BL8" s="12" t="str">
        <f t="shared" si="3"/>
        <v>Approved</v>
      </c>
      <c r="BM8" s="12" t="str">
        <f t="shared" si="4"/>
        <v>Approved</v>
      </c>
      <c r="BN8" s="12">
        <v>45727</v>
      </c>
      <c r="BO8" s="12">
        <v>45803</v>
      </c>
      <c r="BP8" s="155" t="s">
        <v>1768</v>
      </c>
      <c r="BQ8" s="12" t="s">
        <v>2505</v>
      </c>
      <c r="BR8" s="12">
        <v>45791</v>
      </c>
      <c r="BS8" s="143">
        <f t="shared" ca="1" si="5"/>
        <v>56</v>
      </c>
      <c r="BT8" s="12"/>
      <c r="BU8" s="12"/>
      <c r="BV8" s="143">
        <f t="shared" ca="1" si="6"/>
        <v>0</v>
      </c>
      <c r="BW8" s="12"/>
      <c r="BX8" s="12"/>
      <c r="BY8" s="143"/>
      <c r="BZ8" s="13" t="s">
        <v>2500</v>
      </c>
      <c r="CA8" s="13"/>
      <c r="CB8" s="13"/>
      <c r="CC8" s="13"/>
      <c r="CD8" s="13"/>
      <c r="CE8" s="198" t="s">
        <v>2501</v>
      </c>
      <c r="CF8" s="198" t="s">
        <v>2502</v>
      </c>
      <c r="CG8" s="272">
        <v>-7.43527</v>
      </c>
      <c r="CH8" s="272">
        <v>109.27025999999999</v>
      </c>
      <c r="CI8" s="198" t="s">
        <v>2503</v>
      </c>
      <c r="CJ8" s="198"/>
      <c r="CK8" s="198"/>
      <c r="CL8" s="198"/>
    </row>
    <row r="9" spans="1:90">
      <c r="A9" s="187">
        <v>4</v>
      </c>
      <c r="B9" s="190" t="s">
        <v>2486</v>
      </c>
      <c r="C9" s="190" t="s">
        <v>2487</v>
      </c>
      <c r="D9" s="190" t="s">
        <v>135</v>
      </c>
      <c r="E9" s="8" t="e">
        <f ca="1">+_xlfn.CONCAT(G9,"-",B9,"_",C9,"_",_xlfn.XLOOKUP(BP9,Account!M:M,Account!N:N))</f>
        <v>#NAME?</v>
      </c>
      <c r="F9" s="12">
        <v>45670</v>
      </c>
      <c r="G9" s="190" t="s">
        <v>2073</v>
      </c>
      <c r="H9" s="190" t="s">
        <v>2488</v>
      </c>
      <c r="I9" s="10" t="s">
        <v>2074</v>
      </c>
      <c r="J9" s="190">
        <v>11</v>
      </c>
      <c r="K9" s="190" t="s">
        <v>2038</v>
      </c>
      <c r="L9" s="190" t="s">
        <v>1263</v>
      </c>
      <c r="M9" s="190" t="s">
        <v>2489</v>
      </c>
      <c r="N9" s="10" t="s">
        <v>2490</v>
      </c>
      <c r="O9" s="169" t="s">
        <v>2491</v>
      </c>
      <c r="P9" s="170" t="s">
        <v>2492</v>
      </c>
      <c r="Q9" s="327">
        <v>13067.712</v>
      </c>
      <c r="R9" s="190">
        <v>55</v>
      </c>
      <c r="S9" s="190" t="s">
        <v>2493</v>
      </c>
      <c r="T9" s="190" t="s">
        <v>2494</v>
      </c>
      <c r="U9" s="190" t="s">
        <v>2495</v>
      </c>
      <c r="V9" s="8" t="s">
        <v>2506</v>
      </c>
      <c r="W9" s="171" t="s">
        <v>1261</v>
      </c>
      <c r="X9" s="9">
        <v>87861095209</v>
      </c>
      <c r="Y9" s="12" t="s">
        <v>2496</v>
      </c>
      <c r="Z9" s="12">
        <v>45713</v>
      </c>
      <c r="AA9" s="12">
        <v>45720</v>
      </c>
      <c r="AB9" s="143" t="str">
        <f t="shared" ca="1" si="0"/>
        <v>Expired</v>
      </c>
      <c r="AC9" s="13"/>
      <c r="AD9" s="12">
        <v>45737</v>
      </c>
      <c r="AE9" s="12">
        <v>45737</v>
      </c>
      <c r="AF9" s="12"/>
      <c r="AG9" s="12"/>
      <c r="AH9" s="11"/>
      <c r="AI9" s="11"/>
      <c r="AJ9" s="11"/>
      <c r="AK9" s="11"/>
      <c r="AL9" s="11"/>
      <c r="AM9" s="12">
        <v>45737</v>
      </c>
      <c r="AN9" s="12"/>
      <c r="AO9" s="11" t="str">
        <f>+IF(AM9&lt;&gt;"","Survey LOS App",IF(AF9="Drop","Drop",IF(AE9&lt;&gt;"","Survey Report",IF(AD9&lt;&gt;"","Survey","NY Survey"))))</f>
        <v>Survey LOS App</v>
      </c>
      <c r="AP9" s="173"/>
      <c r="AQ9" s="12"/>
      <c r="AR9" s="12"/>
      <c r="AS9" s="12"/>
      <c r="AT9" s="12"/>
      <c r="AU9" s="12"/>
      <c r="AV9" s="12"/>
      <c r="AW9" s="11" t="str">
        <f t="shared" si="1"/>
        <v>NY Submit</v>
      </c>
      <c r="AX9" s="12"/>
      <c r="AY9" s="12"/>
      <c r="AZ9" s="12"/>
      <c r="BA9" s="12"/>
      <c r="BB9" s="12"/>
      <c r="BC9" s="12"/>
      <c r="BD9" s="11" t="str">
        <f t="shared" si="2"/>
        <v>NY Submit</v>
      </c>
      <c r="BE9" s="174"/>
      <c r="BF9" s="12"/>
      <c r="BG9" s="12"/>
      <c r="BH9" s="12"/>
      <c r="BI9" s="12"/>
      <c r="BJ9" s="12"/>
      <c r="BK9" s="174"/>
      <c r="BL9" s="12" t="str">
        <f t="shared" si="3"/>
        <v>NY Submit</v>
      </c>
      <c r="BM9" s="12" t="str">
        <f t="shared" si="4"/>
        <v>NY Submit</v>
      </c>
      <c r="BN9" s="12"/>
      <c r="BO9" s="12"/>
      <c r="BP9" s="155" t="s">
        <v>2507</v>
      </c>
      <c r="BQ9" s="12" t="s">
        <v>2508</v>
      </c>
      <c r="BR9" s="12">
        <v>45726</v>
      </c>
      <c r="BS9" s="143">
        <f t="shared" ca="1" si="5"/>
        <v>0</v>
      </c>
      <c r="BT9" s="12"/>
      <c r="BU9" s="12"/>
      <c r="BV9" s="143">
        <f t="shared" ca="1" si="6"/>
        <v>0</v>
      </c>
      <c r="BW9" s="12"/>
      <c r="BX9" s="12"/>
      <c r="BY9" s="143"/>
      <c r="BZ9" s="13" t="s">
        <v>2500</v>
      </c>
      <c r="CA9" s="13"/>
      <c r="CB9" s="13"/>
      <c r="CC9" s="13"/>
      <c r="CD9" s="13"/>
      <c r="CE9" s="198" t="s">
        <v>2509</v>
      </c>
      <c r="CF9" s="198" t="s">
        <v>2510</v>
      </c>
      <c r="CG9" s="272">
        <v>-7.43527</v>
      </c>
      <c r="CH9" s="272">
        <v>109.27025999999999</v>
      </c>
      <c r="CI9" s="198"/>
      <c r="CJ9" s="198"/>
      <c r="CK9" s="198"/>
      <c r="CL9" s="198"/>
    </row>
    <row r="10" spans="1:90" ht="30" customHeight="1">
      <c r="A10" s="187">
        <v>5</v>
      </c>
      <c r="B10" s="190" t="s">
        <v>2486</v>
      </c>
      <c r="C10" s="190" t="s">
        <v>2487</v>
      </c>
      <c r="D10" s="190" t="s">
        <v>135</v>
      </c>
      <c r="E10" s="8" t="e">
        <f ca="1">+_xlfn.CONCAT(G10,"-",B10,"_",C10,"_",_xlfn.XLOOKUP(BP10,Account!M:M,Account!N:N))</f>
        <v>#NAME?</v>
      </c>
      <c r="F10" s="12">
        <v>45670</v>
      </c>
      <c r="G10" s="190" t="s">
        <v>2511</v>
      </c>
      <c r="H10" s="190" t="s">
        <v>2512</v>
      </c>
      <c r="I10" s="10" t="s">
        <v>2513</v>
      </c>
      <c r="J10" s="190">
        <v>11</v>
      </c>
      <c r="K10" s="190" t="s">
        <v>2038</v>
      </c>
      <c r="L10" s="190" t="s">
        <v>1263</v>
      </c>
      <c r="M10" s="190" t="s">
        <v>2514</v>
      </c>
      <c r="N10" s="10" t="s">
        <v>2515</v>
      </c>
      <c r="O10" s="169" t="s">
        <v>2516</v>
      </c>
      <c r="P10" s="170" t="s">
        <v>2517</v>
      </c>
      <c r="Q10" s="327">
        <v>2490.6959999999999</v>
      </c>
      <c r="R10" s="190">
        <v>20</v>
      </c>
      <c r="S10" s="190" t="s">
        <v>2493</v>
      </c>
      <c r="T10" s="190" t="s">
        <v>2518</v>
      </c>
      <c r="U10" s="190" t="s">
        <v>2519</v>
      </c>
      <c r="V10" s="8" t="s">
        <v>1760</v>
      </c>
      <c r="W10" s="171"/>
      <c r="X10" s="9"/>
      <c r="Y10" s="12" t="s">
        <v>2432</v>
      </c>
      <c r="Z10" s="12">
        <v>45692</v>
      </c>
      <c r="AA10" s="12">
        <v>45700</v>
      </c>
      <c r="AB10" s="143" t="str">
        <f t="shared" ca="1" si="0"/>
        <v>Expired</v>
      </c>
      <c r="AC10" s="13"/>
      <c r="AD10" s="12">
        <v>45695</v>
      </c>
      <c r="AE10" s="12">
        <v>45698</v>
      </c>
      <c r="AF10" s="12"/>
      <c r="AG10" s="12">
        <v>46034</v>
      </c>
      <c r="AH10" s="11"/>
      <c r="AI10" s="11">
        <v>46058</v>
      </c>
      <c r="AJ10" s="11"/>
      <c r="AK10" s="11"/>
      <c r="AL10" s="11"/>
      <c r="AM10" s="11"/>
      <c r="AN10" s="11">
        <v>46058</v>
      </c>
      <c r="AO10" s="11" t="str">
        <f>+IF(AN10&lt;&gt;"","BAST",IF(AI10&lt;&gt;"","Dismantle",IF(AG10&lt;&gt;"","RFD App",IF(AF10="Drop","Drop",IF(AE10&lt;&gt;"","Survey Report",IF(AD10&lt;&gt;"","Survey","NY Survey"))))))</f>
        <v>BAST</v>
      </c>
      <c r="AP10" s="173" t="s">
        <v>2520</v>
      </c>
      <c r="AQ10" s="12">
        <v>45999</v>
      </c>
      <c r="AR10" s="12">
        <v>46034</v>
      </c>
      <c r="AS10" s="12">
        <v>46006</v>
      </c>
      <c r="AT10" s="12"/>
      <c r="AU10" s="12">
        <v>46034</v>
      </c>
      <c r="AV10" s="12">
        <v>46034</v>
      </c>
      <c r="AW10" s="11" t="str">
        <f t="shared" si="1"/>
        <v>1st BOQ App on ISAAC</v>
      </c>
      <c r="AX10" s="12"/>
      <c r="AY10" s="12"/>
      <c r="AZ10" s="12"/>
      <c r="BA10" s="12"/>
      <c r="BB10" s="12"/>
      <c r="BC10" s="12"/>
      <c r="BD10" s="11" t="str">
        <f t="shared" si="2"/>
        <v>NY Submit</v>
      </c>
      <c r="BE10" s="174"/>
      <c r="BF10" s="12">
        <v>45699</v>
      </c>
      <c r="BG10" s="12">
        <v>45705</v>
      </c>
      <c r="BH10" s="12" t="s">
        <v>2521</v>
      </c>
      <c r="BI10" s="12">
        <v>45699</v>
      </c>
      <c r="BJ10" s="12">
        <v>45705</v>
      </c>
      <c r="BK10" s="174" t="s">
        <v>2522</v>
      </c>
      <c r="BL10" s="12" t="str">
        <f t="shared" si="3"/>
        <v>Approved</v>
      </c>
      <c r="BM10" s="12" t="str">
        <f t="shared" si="4"/>
        <v>Approved</v>
      </c>
      <c r="BN10" s="12">
        <v>46059</v>
      </c>
      <c r="BO10" s="12">
        <v>46059</v>
      </c>
      <c r="BP10" s="155" t="s">
        <v>1760</v>
      </c>
      <c r="BQ10" s="12" t="s">
        <v>2523</v>
      </c>
      <c r="BR10" s="12">
        <v>46052</v>
      </c>
      <c r="BS10" s="143">
        <f t="shared" ca="1" si="5"/>
        <v>18</v>
      </c>
      <c r="BT10" s="12"/>
      <c r="BU10" s="12"/>
      <c r="BV10" s="143">
        <f t="shared" ca="1" si="6"/>
        <v>0</v>
      </c>
      <c r="BW10" s="12"/>
      <c r="BX10" s="12"/>
      <c r="BY10" s="143"/>
      <c r="BZ10" s="13" t="s">
        <v>2500</v>
      </c>
      <c r="CA10" s="13"/>
      <c r="CB10" s="13"/>
      <c r="CC10" s="13"/>
      <c r="CD10" s="13"/>
      <c r="CE10" s="198" t="s">
        <v>2524</v>
      </c>
      <c r="CF10" s="198" t="s">
        <v>2525</v>
      </c>
      <c r="CG10" s="272">
        <v>-7.5729100000000003</v>
      </c>
      <c r="CH10" s="272">
        <v>110.82080000000001</v>
      </c>
      <c r="CI10" s="198"/>
      <c r="CJ10" s="198"/>
      <c r="CK10" s="198"/>
      <c r="CL10" s="198"/>
    </row>
    <row r="11" spans="1:90" ht="30" customHeight="1">
      <c r="A11" s="187">
        <v>6</v>
      </c>
      <c r="B11" s="190" t="s">
        <v>2486</v>
      </c>
      <c r="C11" s="190" t="s">
        <v>2487</v>
      </c>
      <c r="D11" s="190" t="s">
        <v>135</v>
      </c>
      <c r="E11" s="8" t="e">
        <f ca="1">+_xlfn.CONCAT(G11,"-",B11,"_",C11,"_",_xlfn.XLOOKUP(BP11,Account!M:M,Account!N:N))</f>
        <v>#NAME?</v>
      </c>
      <c r="F11" s="12">
        <v>45670</v>
      </c>
      <c r="G11" s="190" t="s">
        <v>2511</v>
      </c>
      <c r="H11" s="190" t="s">
        <v>2512</v>
      </c>
      <c r="I11" s="10" t="s">
        <v>2513</v>
      </c>
      <c r="J11" s="190">
        <v>11</v>
      </c>
      <c r="K11" s="190" t="s">
        <v>2038</v>
      </c>
      <c r="L11" s="190" t="s">
        <v>1263</v>
      </c>
      <c r="M11" s="190" t="s">
        <v>2514</v>
      </c>
      <c r="N11" s="10" t="s">
        <v>2515</v>
      </c>
      <c r="O11" s="169" t="s">
        <v>2516</v>
      </c>
      <c r="P11" s="170" t="s">
        <v>2517</v>
      </c>
      <c r="Q11" s="327">
        <v>2490.6959999999999</v>
      </c>
      <c r="R11" s="190">
        <v>20</v>
      </c>
      <c r="S11" s="190" t="s">
        <v>2493</v>
      </c>
      <c r="T11" s="190" t="s">
        <v>2518</v>
      </c>
      <c r="U11" s="190" t="s">
        <v>2519</v>
      </c>
      <c r="V11" s="8" t="s">
        <v>2011</v>
      </c>
      <c r="W11" s="171"/>
      <c r="X11" s="9"/>
      <c r="Y11" s="12" t="s">
        <v>2432</v>
      </c>
      <c r="Z11" s="12">
        <v>45692</v>
      </c>
      <c r="AA11" s="12">
        <v>45700</v>
      </c>
      <c r="AB11" s="143" t="str">
        <f t="shared" ca="1" si="0"/>
        <v>Expired</v>
      </c>
      <c r="AC11" s="13"/>
      <c r="AD11" s="12">
        <v>45695</v>
      </c>
      <c r="AE11" s="12">
        <v>45698</v>
      </c>
      <c r="AF11" s="12" t="s">
        <v>2526</v>
      </c>
      <c r="AG11" s="12"/>
      <c r="AH11" s="11"/>
      <c r="AI11" s="11"/>
      <c r="AJ11" s="11"/>
      <c r="AK11" s="11"/>
      <c r="AL11" s="11"/>
      <c r="AM11" s="11"/>
      <c r="AN11" s="11"/>
      <c r="AO11" s="11" t="str">
        <f>+IF(AM11&lt;&gt;"","ATP App MS",IF(AJ11&lt;&gt;"","Inbound",IF(AH11&lt;&gt;"","Dismantle Perangkat",IF(AF11="Drop","Drop",IF(AE11&lt;&gt;"","Survey Report",IF(AD11&lt;&gt;"","Survey","NY Survey"))))))</f>
        <v>Drop</v>
      </c>
      <c r="AP11" s="173" t="s">
        <v>2527</v>
      </c>
      <c r="AQ11" s="12">
        <v>45999</v>
      </c>
      <c r="AR11" s="12">
        <v>46034</v>
      </c>
      <c r="AS11" s="12">
        <v>46006</v>
      </c>
      <c r="AT11" s="12"/>
      <c r="AU11" s="12">
        <v>46034</v>
      </c>
      <c r="AV11" s="12">
        <v>46034</v>
      </c>
      <c r="AW11" s="11" t="str">
        <f t="shared" si="1"/>
        <v>1st BOQ App on ISAAC</v>
      </c>
      <c r="AX11" s="12"/>
      <c r="AY11" s="12"/>
      <c r="AZ11" s="12"/>
      <c r="BA11" s="12"/>
      <c r="BB11" s="12"/>
      <c r="BC11" s="12"/>
      <c r="BD11" s="11" t="str">
        <f t="shared" si="2"/>
        <v>NY Submit</v>
      </c>
      <c r="BE11" s="174"/>
      <c r="BF11" s="12">
        <v>45699</v>
      </c>
      <c r="BG11" s="12">
        <v>45705</v>
      </c>
      <c r="BH11" s="12" t="s">
        <v>2521</v>
      </c>
      <c r="BI11" s="12">
        <v>45699</v>
      </c>
      <c r="BJ11" s="12">
        <v>45705</v>
      </c>
      <c r="BK11" s="174"/>
      <c r="BL11" s="12" t="str">
        <f t="shared" si="3"/>
        <v>Approved</v>
      </c>
      <c r="BM11" s="12" t="str">
        <f t="shared" si="4"/>
        <v>Approved</v>
      </c>
      <c r="BN11" s="12"/>
      <c r="BO11" s="12"/>
      <c r="BP11" s="155" t="s">
        <v>2011</v>
      </c>
      <c r="BQ11" s="12" t="s">
        <v>2526</v>
      </c>
      <c r="BR11" s="12"/>
      <c r="BS11" s="143" t="str">
        <f t="shared" ca="1" si="5"/>
        <v>Drop</v>
      </c>
      <c r="BT11" s="12"/>
      <c r="BU11" s="12"/>
      <c r="BV11" s="143" t="str">
        <f t="shared" ca="1" si="6"/>
        <v>Drop</v>
      </c>
      <c r="BW11" s="12"/>
      <c r="BX11" s="12"/>
      <c r="BY11" s="143"/>
      <c r="BZ11" s="13" t="s">
        <v>2527</v>
      </c>
      <c r="CA11" s="13"/>
      <c r="CB11" s="13"/>
      <c r="CC11" s="13"/>
      <c r="CD11" s="13"/>
      <c r="CE11" s="198" t="s">
        <v>2524</v>
      </c>
      <c r="CF11" s="198" t="s">
        <v>2525</v>
      </c>
      <c r="CG11" s="272">
        <v>-7.5729100000000003</v>
      </c>
      <c r="CH11" s="272">
        <v>110.82080000000001</v>
      </c>
      <c r="CI11" s="198"/>
      <c r="CJ11" s="198"/>
      <c r="CK11" s="198"/>
      <c r="CL11" s="198"/>
    </row>
    <row r="12" spans="1:90" ht="30" customHeight="1">
      <c r="A12" s="187">
        <v>7</v>
      </c>
      <c r="B12" s="190" t="s">
        <v>2486</v>
      </c>
      <c r="C12" s="190" t="s">
        <v>2487</v>
      </c>
      <c r="D12" s="190" t="s">
        <v>135</v>
      </c>
      <c r="E12" s="8" t="e">
        <f ca="1">+_xlfn.CONCAT(G12,"-",B12,"_",C12,"_",_xlfn.XLOOKUP(BP12,Account!M:M,Account!N:N))</f>
        <v>#NAME?</v>
      </c>
      <c r="F12" s="12">
        <v>45670</v>
      </c>
      <c r="G12" s="190" t="s">
        <v>2511</v>
      </c>
      <c r="H12" s="190" t="s">
        <v>2512</v>
      </c>
      <c r="I12" s="10" t="s">
        <v>2513</v>
      </c>
      <c r="J12" s="190">
        <v>11</v>
      </c>
      <c r="K12" s="190" t="s">
        <v>2038</v>
      </c>
      <c r="L12" s="190" t="s">
        <v>1263</v>
      </c>
      <c r="M12" s="190" t="s">
        <v>2514</v>
      </c>
      <c r="N12" s="10"/>
      <c r="O12" s="169" t="s">
        <v>2516</v>
      </c>
      <c r="P12" s="170" t="s">
        <v>2517</v>
      </c>
      <c r="Q12" s="327">
        <v>2490.6959999999999</v>
      </c>
      <c r="R12" s="190">
        <v>20</v>
      </c>
      <c r="S12" s="190" t="s">
        <v>2493</v>
      </c>
      <c r="T12" s="190" t="s">
        <v>2518</v>
      </c>
      <c r="U12" s="190" t="s">
        <v>2519</v>
      </c>
      <c r="V12" s="8" t="s">
        <v>1768</v>
      </c>
      <c r="W12" s="171"/>
      <c r="X12" s="9"/>
      <c r="Y12" s="12" t="s">
        <v>2432</v>
      </c>
      <c r="Z12" s="12">
        <v>45692</v>
      </c>
      <c r="AA12" s="12">
        <v>45700</v>
      </c>
      <c r="AB12" s="143" t="str">
        <f t="shared" ca="1" si="0"/>
        <v>Expired</v>
      </c>
      <c r="AC12" s="13"/>
      <c r="AD12" s="12">
        <v>45695</v>
      </c>
      <c r="AE12" s="12">
        <v>45698</v>
      </c>
      <c r="AF12" s="12" t="s">
        <v>2526</v>
      </c>
      <c r="AG12" s="12"/>
      <c r="AH12" s="11"/>
      <c r="AI12" s="11"/>
      <c r="AJ12" s="11"/>
      <c r="AK12" s="11"/>
      <c r="AL12" s="11"/>
      <c r="AM12" s="11"/>
      <c r="AN12" s="11"/>
      <c r="AO12" s="11" t="str">
        <f>+IF(AM12&lt;&gt;"","ATP App MS",IF(AL12&lt;&gt;"","OA/RFS",IF(AK12&lt;&gt;"","Install",IF(AH12&lt;&gt;"","Dismantle Perangkat",IF(AF12="Drop","Drop",IF(AE12&lt;&gt;"","Survey Report",IF(AD12&lt;&gt;"","Survey","NY Survey")))))))</f>
        <v>Drop</v>
      </c>
      <c r="AP12" s="173"/>
      <c r="AQ12" s="12"/>
      <c r="AR12" s="12"/>
      <c r="AS12" s="12"/>
      <c r="AT12" s="12"/>
      <c r="AU12" s="12"/>
      <c r="AV12" s="12"/>
      <c r="AW12" s="11" t="str">
        <f t="shared" si="1"/>
        <v>NY Submit</v>
      </c>
      <c r="AX12" s="12"/>
      <c r="AY12" s="12"/>
      <c r="AZ12" s="12"/>
      <c r="BA12" s="12"/>
      <c r="BB12" s="12"/>
      <c r="BC12" s="12"/>
      <c r="BD12" s="11" t="str">
        <f t="shared" si="2"/>
        <v>NY Submit</v>
      </c>
      <c r="BE12" s="174"/>
      <c r="BF12" s="12">
        <v>45699</v>
      </c>
      <c r="BG12" s="12">
        <v>45705</v>
      </c>
      <c r="BH12" s="12" t="s">
        <v>2521</v>
      </c>
      <c r="BI12" s="12">
        <v>45699</v>
      </c>
      <c r="BJ12" s="12">
        <v>45705</v>
      </c>
      <c r="BK12" s="174"/>
      <c r="BL12" s="12" t="str">
        <f t="shared" si="3"/>
        <v>Approved</v>
      </c>
      <c r="BM12" s="12" t="str">
        <f t="shared" si="4"/>
        <v>Approved</v>
      </c>
      <c r="BN12" s="12"/>
      <c r="BO12" s="12"/>
      <c r="BP12" s="155" t="s">
        <v>1768</v>
      </c>
      <c r="BQ12" s="12" t="s">
        <v>2526</v>
      </c>
      <c r="BR12" s="12"/>
      <c r="BS12" s="143" t="str">
        <f t="shared" ca="1" si="5"/>
        <v>Drop</v>
      </c>
      <c r="BT12" s="12"/>
      <c r="BU12" s="12"/>
      <c r="BV12" s="143" t="str">
        <f t="shared" ca="1" si="6"/>
        <v>Drop</v>
      </c>
      <c r="BW12" s="12"/>
      <c r="BX12" s="12"/>
      <c r="BY12" s="143"/>
      <c r="BZ12" s="13" t="s">
        <v>2527</v>
      </c>
      <c r="CA12" s="13"/>
      <c r="CB12" s="13"/>
      <c r="CC12" s="13"/>
      <c r="CD12" s="13"/>
      <c r="CE12" s="198" t="s">
        <v>2524</v>
      </c>
      <c r="CF12" s="198" t="s">
        <v>2525</v>
      </c>
      <c r="CG12" s="272">
        <v>-7.5729100000000003</v>
      </c>
      <c r="CH12" s="272">
        <v>110.82080000000001</v>
      </c>
      <c r="CI12" s="198"/>
      <c r="CJ12" s="198"/>
      <c r="CK12" s="198"/>
      <c r="CL12" s="198"/>
    </row>
    <row r="13" spans="1:90">
      <c r="A13" s="187">
        <v>8</v>
      </c>
      <c r="B13" s="190" t="s">
        <v>2486</v>
      </c>
      <c r="C13" s="190" t="s">
        <v>2487</v>
      </c>
      <c r="D13" s="190" t="s">
        <v>135</v>
      </c>
      <c r="E13" s="8" t="e">
        <f ca="1">+_xlfn.CONCAT(G13,"-",B13,"_",C13,"_",_xlfn.XLOOKUP(BP13,Account!M:M,Account!N:N))</f>
        <v>#NAME?</v>
      </c>
      <c r="F13" s="12">
        <v>45670</v>
      </c>
      <c r="G13" s="190" t="s">
        <v>2083</v>
      </c>
      <c r="H13" s="190" t="s">
        <v>2528</v>
      </c>
      <c r="I13" s="10" t="s">
        <v>2084</v>
      </c>
      <c r="J13" s="190">
        <v>11</v>
      </c>
      <c r="K13" s="190" t="s">
        <v>2486</v>
      </c>
      <c r="L13" s="190" t="s">
        <v>1263</v>
      </c>
      <c r="M13" s="190" t="s">
        <v>2529</v>
      </c>
      <c r="N13" s="10"/>
      <c r="O13" s="169" t="s">
        <v>2530</v>
      </c>
      <c r="P13" s="170" t="s">
        <v>2531</v>
      </c>
      <c r="Q13" s="327">
        <v>13212.913</v>
      </c>
      <c r="R13" s="190">
        <v>70</v>
      </c>
      <c r="S13" s="190" t="s">
        <v>404</v>
      </c>
      <c r="T13" s="190" t="s">
        <v>2494</v>
      </c>
      <c r="U13" s="190" t="s">
        <v>2495</v>
      </c>
      <c r="V13" s="8" t="s">
        <v>1760</v>
      </c>
      <c r="W13" s="171"/>
      <c r="X13" s="9"/>
      <c r="Y13" s="12" t="s">
        <v>2432</v>
      </c>
      <c r="Z13" s="12">
        <v>45692</v>
      </c>
      <c r="AA13" s="12">
        <v>45700</v>
      </c>
      <c r="AB13" s="143" t="str">
        <f t="shared" ca="1" si="0"/>
        <v>Expired</v>
      </c>
      <c r="AC13" s="13"/>
      <c r="AD13" s="12">
        <v>45695</v>
      </c>
      <c r="AE13" s="12">
        <v>45698</v>
      </c>
      <c r="AF13" s="12"/>
      <c r="AG13" s="12">
        <v>45784</v>
      </c>
      <c r="AH13" s="11"/>
      <c r="AI13" s="11">
        <v>45793</v>
      </c>
      <c r="AJ13" s="11"/>
      <c r="AK13" s="11"/>
      <c r="AL13" s="11"/>
      <c r="AM13" s="11"/>
      <c r="AN13" s="11">
        <v>45793</v>
      </c>
      <c r="AO13" s="11" t="str">
        <f>+IF(AN13&lt;&gt;"","BAST",IF(AI13&lt;&gt;"","Dismantle",IF(AG13&lt;&gt;"","RFD App",IF(AF13="Drop","Drop",IF(AE13&lt;&gt;"","Survey Report",IF(AD13&lt;&gt;"","Survey","NY Survey"))))))</f>
        <v>BAST</v>
      </c>
      <c r="AP13" s="173"/>
      <c r="AQ13" s="12">
        <v>45775</v>
      </c>
      <c r="AR13" s="12">
        <v>45796</v>
      </c>
      <c r="AS13" s="12">
        <v>45796</v>
      </c>
      <c r="AT13" s="12"/>
      <c r="AU13" s="12">
        <v>45800</v>
      </c>
      <c r="AV13" s="12">
        <v>45799</v>
      </c>
      <c r="AW13" s="11" t="str">
        <f t="shared" si="1"/>
        <v>1st BOQ App on ISAAC</v>
      </c>
      <c r="AX13" s="12"/>
      <c r="AY13" s="12"/>
      <c r="AZ13" s="12"/>
      <c r="BA13" s="12"/>
      <c r="BB13" s="12"/>
      <c r="BC13" s="12"/>
      <c r="BD13" s="11" t="str">
        <f t="shared" si="2"/>
        <v>NY Submit</v>
      </c>
      <c r="BE13" s="174"/>
      <c r="BF13" s="12">
        <v>45699</v>
      </c>
      <c r="BG13" s="12">
        <v>45701</v>
      </c>
      <c r="BH13" s="12" t="s">
        <v>2532</v>
      </c>
      <c r="BI13" s="12">
        <v>45699</v>
      </c>
      <c r="BJ13" s="12">
        <v>45701</v>
      </c>
      <c r="BK13" s="174" t="s">
        <v>2533</v>
      </c>
      <c r="BL13" s="12" t="str">
        <f t="shared" si="3"/>
        <v>Approved</v>
      </c>
      <c r="BM13" s="12" t="str">
        <f t="shared" si="4"/>
        <v>Approved</v>
      </c>
      <c r="BN13" s="12">
        <v>45793</v>
      </c>
      <c r="BO13" s="12">
        <v>45799</v>
      </c>
      <c r="BP13" s="155" t="s">
        <v>1760</v>
      </c>
      <c r="BQ13" s="12" t="s">
        <v>2534</v>
      </c>
      <c r="BR13" s="12">
        <v>45834</v>
      </c>
      <c r="BS13" s="143">
        <f t="shared" ca="1" si="5"/>
        <v>35</v>
      </c>
      <c r="BT13" s="176"/>
      <c r="BU13" s="12"/>
      <c r="BV13" s="143">
        <f t="shared" ca="1" si="6"/>
        <v>0</v>
      </c>
      <c r="BW13" s="12"/>
      <c r="BX13" s="12"/>
      <c r="BY13" s="143"/>
      <c r="BZ13" s="13" t="s">
        <v>2500</v>
      </c>
      <c r="CA13" s="13"/>
      <c r="CB13" s="13"/>
      <c r="CC13" s="13"/>
      <c r="CD13" s="13"/>
      <c r="CE13" s="198" t="s">
        <v>2535</v>
      </c>
      <c r="CF13" s="198" t="s">
        <v>2536</v>
      </c>
      <c r="CG13" s="272">
        <v>-7.3272599999999999</v>
      </c>
      <c r="CH13" s="272">
        <v>110.86248999999999</v>
      </c>
      <c r="CI13" s="198"/>
      <c r="CJ13" s="198"/>
      <c r="CK13" s="198"/>
      <c r="CL13" s="198"/>
    </row>
    <row r="14" spans="1:90">
      <c r="A14" s="187">
        <v>9</v>
      </c>
      <c r="B14" s="190" t="s">
        <v>2486</v>
      </c>
      <c r="C14" s="190" t="s">
        <v>2487</v>
      </c>
      <c r="D14" s="190" t="s">
        <v>135</v>
      </c>
      <c r="E14" s="8" t="e">
        <f ca="1">+_xlfn.CONCAT(G14,"-",B14,"_",C14,"_",_xlfn.XLOOKUP(BP14,Account!M:M,Account!N:N))</f>
        <v>#NAME?</v>
      </c>
      <c r="F14" s="12">
        <v>45670</v>
      </c>
      <c r="G14" s="190" t="s">
        <v>2083</v>
      </c>
      <c r="H14" s="190" t="s">
        <v>2528</v>
      </c>
      <c r="I14" s="10" t="s">
        <v>2084</v>
      </c>
      <c r="J14" s="190">
        <v>11</v>
      </c>
      <c r="K14" s="190" t="s">
        <v>2486</v>
      </c>
      <c r="L14" s="190" t="s">
        <v>1263</v>
      </c>
      <c r="M14" s="190" t="s">
        <v>2529</v>
      </c>
      <c r="N14" s="10"/>
      <c r="O14" s="169" t="s">
        <v>2530</v>
      </c>
      <c r="P14" s="170" t="s">
        <v>2531</v>
      </c>
      <c r="Q14" s="327">
        <v>13212.913</v>
      </c>
      <c r="R14" s="190">
        <v>70</v>
      </c>
      <c r="S14" s="190" t="s">
        <v>404</v>
      </c>
      <c r="T14" s="190" t="s">
        <v>2494</v>
      </c>
      <c r="U14" s="190" t="s">
        <v>2495</v>
      </c>
      <c r="V14" s="8" t="s">
        <v>2011</v>
      </c>
      <c r="W14" s="171"/>
      <c r="X14" s="9"/>
      <c r="Y14" s="12" t="s">
        <v>2432</v>
      </c>
      <c r="Z14" s="12">
        <v>45692</v>
      </c>
      <c r="AA14" s="12">
        <v>45700</v>
      </c>
      <c r="AB14" s="143" t="str">
        <f t="shared" ca="1" si="0"/>
        <v>Expired</v>
      </c>
      <c r="AC14" s="13"/>
      <c r="AD14" s="12">
        <v>45695</v>
      </c>
      <c r="AE14" s="12">
        <v>45698</v>
      </c>
      <c r="AF14" s="12"/>
      <c r="AG14" s="12"/>
      <c r="AH14" s="11">
        <v>45787</v>
      </c>
      <c r="AI14" s="11"/>
      <c r="AJ14" s="11"/>
      <c r="AK14" s="11"/>
      <c r="AL14" s="11"/>
      <c r="AM14" s="11">
        <v>45889</v>
      </c>
      <c r="AN14" s="11">
        <v>45889</v>
      </c>
      <c r="AO14" s="11" t="str">
        <f>+IF(AM14&lt;&gt;"","ATP App MS",IF(AJ14&lt;&gt;"","Inbound",IF(AH14&lt;&gt;"","Dismantle Perangkat",IF(AF14="Drop","Drop",IF(AE14&lt;&gt;"","Survey Report",IF(AD14&lt;&gt;"","Survey","NY Survey"))))))</f>
        <v>ATP App MS</v>
      </c>
      <c r="AP14" s="173"/>
      <c r="AQ14" s="12">
        <v>45775</v>
      </c>
      <c r="AR14" s="12">
        <v>45796</v>
      </c>
      <c r="AS14" s="12">
        <v>45796</v>
      </c>
      <c r="AT14" s="12"/>
      <c r="AU14" s="12">
        <v>45800</v>
      </c>
      <c r="AV14" s="12">
        <v>45799</v>
      </c>
      <c r="AW14" s="11" t="str">
        <f t="shared" si="1"/>
        <v>1st BOQ App on ISAAC</v>
      </c>
      <c r="AX14" s="12"/>
      <c r="AY14" s="12"/>
      <c r="AZ14" s="12"/>
      <c r="BA14" s="12"/>
      <c r="BB14" s="12"/>
      <c r="BC14" s="12"/>
      <c r="BD14" s="11" t="str">
        <f t="shared" si="2"/>
        <v>NY Submit</v>
      </c>
      <c r="BE14" s="174"/>
      <c r="BF14" s="12">
        <v>45699</v>
      </c>
      <c r="BG14" s="12">
        <v>45701</v>
      </c>
      <c r="BH14" s="12" t="s">
        <v>2532</v>
      </c>
      <c r="BI14" s="12">
        <v>45699</v>
      </c>
      <c r="BJ14" s="12">
        <v>45779</v>
      </c>
      <c r="BK14" s="174"/>
      <c r="BL14" s="12" t="str">
        <f t="shared" si="3"/>
        <v>Approved</v>
      </c>
      <c r="BM14" s="12" t="str">
        <f t="shared" si="4"/>
        <v>Approved</v>
      </c>
      <c r="BN14" s="12"/>
      <c r="BO14" s="12"/>
      <c r="BP14" s="155" t="s">
        <v>2011</v>
      </c>
      <c r="BQ14" s="12" t="s">
        <v>2537</v>
      </c>
      <c r="BR14" s="12">
        <v>45834</v>
      </c>
      <c r="BS14" s="143">
        <f t="shared" ca="1" si="5"/>
        <v>35</v>
      </c>
      <c r="BT14" s="176"/>
      <c r="BU14" s="12"/>
      <c r="BV14" s="143">
        <f t="shared" ca="1" si="6"/>
        <v>0</v>
      </c>
      <c r="BW14" s="12"/>
      <c r="BX14" s="12"/>
      <c r="BY14" s="143"/>
      <c r="BZ14" s="13" t="s">
        <v>2500</v>
      </c>
      <c r="CA14" s="13"/>
      <c r="CB14" s="13"/>
      <c r="CC14" s="13"/>
      <c r="CD14" s="13"/>
      <c r="CE14" s="198" t="s">
        <v>2535</v>
      </c>
      <c r="CF14" s="198" t="s">
        <v>2536</v>
      </c>
      <c r="CG14" s="272">
        <v>-7.3272599999999999</v>
      </c>
      <c r="CH14" s="272">
        <v>110.86248999999999</v>
      </c>
      <c r="CI14" s="198"/>
      <c r="CJ14" s="198"/>
      <c r="CK14" s="198"/>
      <c r="CL14" s="198"/>
    </row>
    <row r="15" spans="1:90">
      <c r="A15" s="187">
        <v>10</v>
      </c>
      <c r="B15" s="190" t="s">
        <v>2486</v>
      </c>
      <c r="C15" s="190" t="s">
        <v>2487</v>
      </c>
      <c r="D15" s="190" t="s">
        <v>135</v>
      </c>
      <c r="E15" s="8" t="e">
        <f ca="1">+_xlfn.CONCAT(G15,"-",B15,"_",C15,"_",_xlfn.XLOOKUP(BP15,Account!M:M,Account!N:N))</f>
        <v>#NAME?</v>
      </c>
      <c r="F15" s="12">
        <v>45670</v>
      </c>
      <c r="G15" s="190" t="s">
        <v>2083</v>
      </c>
      <c r="H15" s="190" t="s">
        <v>2528</v>
      </c>
      <c r="I15" s="10" t="s">
        <v>2084</v>
      </c>
      <c r="J15" s="190">
        <v>11</v>
      </c>
      <c r="K15" s="190" t="s">
        <v>2486</v>
      </c>
      <c r="L15" s="190" t="s">
        <v>1263</v>
      </c>
      <c r="M15" s="190" t="s">
        <v>2529</v>
      </c>
      <c r="N15" s="10"/>
      <c r="O15" s="169" t="s">
        <v>2530</v>
      </c>
      <c r="P15" s="170" t="s">
        <v>2531</v>
      </c>
      <c r="Q15" s="327">
        <v>13212.913</v>
      </c>
      <c r="R15" s="190">
        <v>70</v>
      </c>
      <c r="S15" s="190" t="s">
        <v>404</v>
      </c>
      <c r="T15" s="190" t="s">
        <v>2494</v>
      </c>
      <c r="U15" s="190" t="s">
        <v>2495</v>
      </c>
      <c r="V15" s="8" t="s">
        <v>1768</v>
      </c>
      <c r="W15" s="171"/>
      <c r="X15" s="9"/>
      <c r="Y15" s="12" t="s">
        <v>2432</v>
      </c>
      <c r="Z15" s="12">
        <v>45692</v>
      </c>
      <c r="AA15" s="12">
        <v>45700</v>
      </c>
      <c r="AB15" s="143" t="str">
        <f t="shared" ca="1" si="0"/>
        <v>Expired</v>
      </c>
      <c r="AC15" s="13"/>
      <c r="AD15" s="12">
        <v>45695</v>
      </c>
      <c r="AE15" s="12">
        <v>45698</v>
      </c>
      <c r="AF15" s="12"/>
      <c r="AG15" s="12"/>
      <c r="AH15" s="11"/>
      <c r="AI15" s="11"/>
      <c r="AJ15" s="11"/>
      <c r="AK15" s="11">
        <v>45792</v>
      </c>
      <c r="AL15" s="11">
        <v>45792</v>
      </c>
      <c r="AM15" s="11">
        <v>45889</v>
      </c>
      <c r="AN15" s="11">
        <v>45889</v>
      </c>
      <c r="AO15" s="11" t="str">
        <f>+IF(AM15&lt;&gt;"","ATP App MS",IF(AL15&lt;&gt;"","OA/RFS",IF(AK15&lt;&gt;"","Install",IF(AH15&lt;&gt;"","Dismantle Perangkat",IF(AF15="Drop","Drop",IF(AE15&lt;&gt;"","Survey Report",IF(AD15&lt;&gt;"","Survey","NY Survey")))))))</f>
        <v>ATP App MS</v>
      </c>
      <c r="AP15" s="173"/>
      <c r="AQ15" s="12">
        <v>45775</v>
      </c>
      <c r="AR15" s="12">
        <v>45796</v>
      </c>
      <c r="AS15" s="12">
        <v>45796</v>
      </c>
      <c r="AT15" s="12">
        <v>45807</v>
      </c>
      <c r="AU15" s="12">
        <v>45800</v>
      </c>
      <c r="AV15" s="12">
        <v>45799</v>
      </c>
      <c r="AW15" s="11" t="str">
        <f t="shared" si="1"/>
        <v>1st BOQ App on ISAAC</v>
      </c>
      <c r="AX15" s="12"/>
      <c r="AY15" s="12"/>
      <c r="AZ15" s="12"/>
      <c r="BA15" s="12"/>
      <c r="BB15" s="12"/>
      <c r="BC15" s="12"/>
      <c r="BD15" s="11" t="str">
        <f t="shared" si="2"/>
        <v>NY Submit</v>
      </c>
      <c r="BE15" s="174"/>
      <c r="BF15" s="12">
        <v>45699</v>
      </c>
      <c r="BG15" s="12">
        <v>45701</v>
      </c>
      <c r="BH15" s="12" t="s">
        <v>2532</v>
      </c>
      <c r="BI15" s="12">
        <v>45699</v>
      </c>
      <c r="BJ15" s="12">
        <v>45779</v>
      </c>
      <c r="BK15" s="174"/>
      <c r="BL15" s="12" t="str">
        <f t="shared" si="3"/>
        <v>Approved</v>
      </c>
      <c r="BM15" s="12" t="str">
        <f t="shared" si="4"/>
        <v>Approved</v>
      </c>
      <c r="BN15" s="12"/>
      <c r="BO15" s="12"/>
      <c r="BP15" s="155" t="s">
        <v>1768</v>
      </c>
      <c r="BQ15" s="12" t="s">
        <v>2538</v>
      </c>
      <c r="BR15" s="12">
        <v>45834</v>
      </c>
      <c r="BS15" s="143">
        <f t="shared" ca="1" si="5"/>
        <v>35</v>
      </c>
      <c r="BT15" s="176"/>
      <c r="BU15" s="12"/>
      <c r="BV15" s="143">
        <f t="shared" ca="1" si="6"/>
        <v>0</v>
      </c>
      <c r="BW15" s="12"/>
      <c r="BX15" s="12"/>
      <c r="BY15" s="143"/>
      <c r="BZ15" s="13" t="s">
        <v>2500</v>
      </c>
      <c r="CA15" s="13"/>
      <c r="CB15" s="13"/>
      <c r="CC15" s="13"/>
      <c r="CD15" s="13"/>
      <c r="CE15" s="198" t="s">
        <v>2535</v>
      </c>
      <c r="CF15" s="198" t="s">
        <v>2536</v>
      </c>
      <c r="CG15" s="272">
        <v>-7.3272599999999999</v>
      </c>
      <c r="CH15" s="272">
        <v>110.86248999999999</v>
      </c>
      <c r="CI15" s="198"/>
      <c r="CJ15" s="198"/>
      <c r="CK15" s="198"/>
      <c r="CL15" s="198"/>
    </row>
    <row r="16" spans="1:90">
      <c r="A16" s="187">
        <v>11</v>
      </c>
      <c r="B16" s="190" t="s">
        <v>2486</v>
      </c>
      <c r="C16" s="190" t="s">
        <v>2487</v>
      </c>
      <c r="D16" s="190" t="s">
        <v>135</v>
      </c>
      <c r="E16" s="8" t="e">
        <f ca="1">+_xlfn.CONCAT(G16,"-",B16,"_",C16,"_",_xlfn.XLOOKUP(BP16,Account!M:M,Account!N:N))</f>
        <v>#NAME?</v>
      </c>
      <c r="F16" s="12">
        <v>45670</v>
      </c>
      <c r="G16" s="190" t="s">
        <v>2083</v>
      </c>
      <c r="H16" s="190" t="s">
        <v>2528</v>
      </c>
      <c r="I16" s="10" t="s">
        <v>2084</v>
      </c>
      <c r="J16" s="190">
        <v>11</v>
      </c>
      <c r="K16" s="190" t="s">
        <v>2486</v>
      </c>
      <c r="L16" s="190" t="s">
        <v>1263</v>
      </c>
      <c r="M16" s="190"/>
      <c r="N16" s="10"/>
      <c r="O16" s="169" t="s">
        <v>2530</v>
      </c>
      <c r="P16" s="170" t="s">
        <v>2531</v>
      </c>
      <c r="Q16" s="327">
        <v>13212.913</v>
      </c>
      <c r="R16" s="190">
        <v>70</v>
      </c>
      <c r="S16" s="190" t="s">
        <v>404</v>
      </c>
      <c r="T16" s="190" t="s">
        <v>2494</v>
      </c>
      <c r="U16" s="190" t="s">
        <v>2495</v>
      </c>
      <c r="V16" s="8" t="s">
        <v>2539</v>
      </c>
      <c r="W16" s="171"/>
      <c r="X16" s="9"/>
      <c r="Y16" s="12" t="s">
        <v>2432</v>
      </c>
      <c r="Z16" s="12">
        <v>45692</v>
      </c>
      <c r="AA16" s="12">
        <v>45700</v>
      </c>
      <c r="AB16" s="143" t="str">
        <f t="shared" ca="1" si="0"/>
        <v>Expired</v>
      </c>
      <c r="AC16" s="13"/>
      <c r="AD16" s="12">
        <v>45763</v>
      </c>
      <c r="AE16" s="12">
        <v>45785</v>
      </c>
      <c r="AF16" s="12"/>
      <c r="AG16" s="12"/>
      <c r="AH16" s="11"/>
      <c r="AI16" s="11"/>
      <c r="AJ16" s="11"/>
      <c r="AK16" s="11"/>
      <c r="AL16" s="11"/>
      <c r="AM16" s="11">
        <v>45804</v>
      </c>
      <c r="AN16" s="11"/>
      <c r="AO16" s="11" t="str">
        <f>+IF(AM16&lt;&gt;"","Survey LOS App",IF(AF16="Drop","Drop",IF(AE16&lt;&gt;"","Survey Report",IF(AD16&lt;&gt;"","Survey","NY Survey"))))</f>
        <v>Survey LOS App</v>
      </c>
      <c r="AP16" s="173"/>
      <c r="AQ16" s="12"/>
      <c r="AR16" s="12"/>
      <c r="AS16" s="12"/>
      <c r="AT16" s="12"/>
      <c r="AU16" s="12"/>
      <c r="AV16" s="12"/>
      <c r="AW16" s="11" t="str">
        <f t="shared" si="1"/>
        <v>NY Submit</v>
      </c>
      <c r="AX16" s="12"/>
      <c r="AY16" s="12"/>
      <c r="AZ16" s="12"/>
      <c r="BA16" s="12"/>
      <c r="BB16" s="12"/>
      <c r="BC16" s="12"/>
      <c r="BD16" s="11" t="str">
        <f t="shared" si="2"/>
        <v>NY Submit</v>
      </c>
      <c r="BE16" s="190"/>
      <c r="BF16" s="12"/>
      <c r="BG16" s="12"/>
      <c r="BH16" s="12"/>
      <c r="BI16" s="12"/>
      <c r="BJ16" s="12"/>
      <c r="BK16" s="174"/>
      <c r="BL16" s="12" t="str">
        <f t="shared" si="3"/>
        <v>NY Submit</v>
      </c>
      <c r="BM16" s="12" t="str">
        <f t="shared" si="4"/>
        <v>NY Submit</v>
      </c>
      <c r="BN16" s="12"/>
      <c r="BO16" s="12"/>
      <c r="BP16" s="155" t="s">
        <v>2507</v>
      </c>
      <c r="BQ16" s="12" t="s">
        <v>2540</v>
      </c>
      <c r="BR16" s="12">
        <v>45807</v>
      </c>
      <c r="BS16" s="143">
        <f t="shared" ca="1" si="5"/>
        <v>0</v>
      </c>
      <c r="BT16" s="176"/>
      <c r="BU16" s="12"/>
      <c r="BV16" s="143">
        <f t="shared" ca="1" si="6"/>
        <v>0</v>
      </c>
      <c r="BW16" s="12"/>
      <c r="BX16" s="12"/>
      <c r="BY16" s="143"/>
      <c r="BZ16" s="13" t="s">
        <v>2500</v>
      </c>
      <c r="CA16" s="13"/>
      <c r="CB16" s="13"/>
      <c r="CC16" s="13"/>
      <c r="CD16" s="13"/>
      <c r="CE16" s="198" t="s">
        <v>2541</v>
      </c>
      <c r="CF16" s="198" t="s">
        <v>2542</v>
      </c>
      <c r="CG16" s="272">
        <v>-7.3272599999999999</v>
      </c>
      <c r="CH16" s="272">
        <v>110.86248999999999</v>
      </c>
      <c r="CI16" s="198"/>
      <c r="CJ16" s="198"/>
      <c r="CK16" s="198"/>
      <c r="CL16" s="198"/>
    </row>
    <row r="17" spans="1:90">
      <c r="A17" s="187">
        <v>12</v>
      </c>
      <c r="B17" s="190" t="s">
        <v>2486</v>
      </c>
      <c r="C17" s="190" t="s">
        <v>2487</v>
      </c>
      <c r="D17" s="190" t="s">
        <v>135</v>
      </c>
      <c r="E17" s="8" t="e">
        <f ca="1">+_xlfn.CONCAT(G17,"-",B17,"_",C17,"_",_xlfn.XLOOKUP(BP17,Account!M:M,Account!N:N))</f>
        <v>#NAME?</v>
      </c>
      <c r="F17" s="12">
        <v>45670</v>
      </c>
      <c r="G17" s="190" t="s">
        <v>2078</v>
      </c>
      <c r="H17" s="190" t="s">
        <v>2543</v>
      </c>
      <c r="I17" s="10" t="s">
        <v>2079</v>
      </c>
      <c r="J17" s="190">
        <v>18</v>
      </c>
      <c r="K17" s="190" t="s">
        <v>2038</v>
      </c>
      <c r="L17" s="6" t="s">
        <v>1293</v>
      </c>
      <c r="M17" s="190" t="s">
        <v>2544</v>
      </c>
      <c r="N17" s="10" t="s">
        <v>2545</v>
      </c>
      <c r="O17" s="169" t="s">
        <v>2546</v>
      </c>
      <c r="P17" s="170" t="s">
        <v>2547</v>
      </c>
      <c r="Q17" s="327">
        <v>5076.24</v>
      </c>
      <c r="R17" s="190">
        <v>25</v>
      </c>
      <c r="S17" s="190" t="s">
        <v>2548</v>
      </c>
      <c r="T17" s="190" t="s">
        <v>2518</v>
      </c>
      <c r="U17" s="190" t="s">
        <v>2519</v>
      </c>
      <c r="V17" s="8" t="s">
        <v>1760</v>
      </c>
      <c r="W17" s="171"/>
      <c r="X17" s="9"/>
      <c r="Y17" s="12" t="s">
        <v>2432</v>
      </c>
      <c r="Z17" s="12">
        <v>45686</v>
      </c>
      <c r="AA17" s="12">
        <v>45693</v>
      </c>
      <c r="AB17" s="143" t="str">
        <f t="shared" ca="1" si="0"/>
        <v>Expired</v>
      </c>
      <c r="AC17" s="13"/>
      <c r="AD17" s="12">
        <v>45698</v>
      </c>
      <c r="AE17" s="12">
        <v>45701</v>
      </c>
      <c r="AF17" s="12"/>
      <c r="AG17" s="12">
        <v>45877</v>
      </c>
      <c r="AH17" s="11"/>
      <c r="AI17" s="11">
        <v>45901</v>
      </c>
      <c r="AJ17" s="11"/>
      <c r="AK17" s="11"/>
      <c r="AL17" s="11"/>
      <c r="AM17" s="11">
        <v>45925</v>
      </c>
      <c r="AN17" s="11">
        <v>45925</v>
      </c>
      <c r="AO17" s="11" t="str">
        <f>+IF(AN17&lt;&gt;"","BAST",IF(AI17&lt;&gt;"","Dismantle",IF(AG17&lt;&gt;"","RFD App",IF(AF17="Drop","Drop",IF(AE17&lt;&gt;"","Survey Report",IF(AD17&lt;&gt;"","Survey","NY Survey"))))))</f>
        <v>BAST</v>
      </c>
      <c r="AP17" s="173"/>
      <c r="AQ17" s="12">
        <v>45909</v>
      </c>
      <c r="AR17" s="12">
        <v>45890</v>
      </c>
      <c r="AS17" s="12">
        <v>45890</v>
      </c>
      <c r="AT17" s="12">
        <v>45910</v>
      </c>
      <c r="AU17" s="12">
        <v>45922</v>
      </c>
      <c r="AV17" s="12">
        <v>45922</v>
      </c>
      <c r="AW17" s="11" t="str">
        <f t="shared" si="1"/>
        <v>1st BOQ App on ISAAC</v>
      </c>
      <c r="AX17" s="12"/>
      <c r="AY17" s="12"/>
      <c r="AZ17" s="12"/>
      <c r="BA17" s="12"/>
      <c r="BB17" s="12"/>
      <c r="BC17" s="12"/>
      <c r="BD17" s="11" t="str">
        <f t="shared" si="2"/>
        <v>NY Submit</v>
      </c>
      <c r="BE17" s="174"/>
      <c r="BF17" s="12">
        <v>45701</v>
      </c>
      <c r="BG17" s="12">
        <v>45705</v>
      </c>
      <c r="BH17" s="12" t="s">
        <v>2549</v>
      </c>
      <c r="BI17" s="12">
        <v>45701</v>
      </c>
      <c r="BJ17" s="12">
        <v>45705</v>
      </c>
      <c r="BK17" s="174" t="s">
        <v>2550</v>
      </c>
      <c r="BL17" s="12" t="str">
        <f t="shared" si="3"/>
        <v>Approved</v>
      </c>
      <c r="BM17" s="12" t="str">
        <f t="shared" si="4"/>
        <v>Approved</v>
      </c>
      <c r="BN17" s="11">
        <v>45925</v>
      </c>
      <c r="BO17" s="12">
        <v>45929</v>
      </c>
      <c r="BP17" s="155" t="s">
        <v>1760</v>
      </c>
      <c r="BQ17" s="12" t="s">
        <v>2551</v>
      </c>
      <c r="BR17" s="12">
        <v>45938</v>
      </c>
      <c r="BS17" s="143">
        <f t="shared" ca="1" si="5"/>
        <v>16</v>
      </c>
      <c r="BT17" s="176"/>
      <c r="BU17" s="12"/>
      <c r="BV17" s="143">
        <f t="shared" ca="1" si="6"/>
        <v>0</v>
      </c>
      <c r="BW17" s="12"/>
      <c r="BX17" s="12"/>
      <c r="BY17" s="143"/>
      <c r="BZ17" s="13" t="s">
        <v>2500</v>
      </c>
      <c r="CA17" s="13"/>
      <c r="CB17" s="13"/>
      <c r="CC17" s="13"/>
      <c r="CD17" s="13"/>
      <c r="CE17" s="198" t="s">
        <v>2552</v>
      </c>
      <c r="CF17" s="198" t="s">
        <v>2553</v>
      </c>
      <c r="CG17" s="272">
        <v>-1.2707599999999999</v>
      </c>
      <c r="CH17" s="272">
        <v>116.85149</v>
      </c>
      <c r="CI17" s="198"/>
      <c r="CJ17" s="198"/>
      <c r="CK17" s="198"/>
      <c r="CL17" s="198"/>
    </row>
    <row r="18" spans="1:90">
      <c r="A18" s="187">
        <v>13</v>
      </c>
      <c r="B18" s="190" t="s">
        <v>2486</v>
      </c>
      <c r="C18" s="190" t="s">
        <v>2487</v>
      </c>
      <c r="D18" s="190" t="s">
        <v>135</v>
      </c>
      <c r="E18" s="8" t="e">
        <f ca="1">+_xlfn.CONCAT(G18,"-",B18,"_",C18,"_",_xlfn.XLOOKUP(BP18,Account!M:M,Account!N:N))</f>
        <v>#NAME?</v>
      </c>
      <c r="F18" s="12">
        <v>45670</v>
      </c>
      <c r="G18" s="190" t="s">
        <v>2078</v>
      </c>
      <c r="H18" s="190" t="s">
        <v>2543</v>
      </c>
      <c r="I18" s="10" t="s">
        <v>2079</v>
      </c>
      <c r="J18" s="190">
        <v>18</v>
      </c>
      <c r="K18" s="190" t="s">
        <v>2038</v>
      </c>
      <c r="L18" s="6" t="s">
        <v>1293</v>
      </c>
      <c r="M18" s="190" t="s">
        <v>2544</v>
      </c>
      <c r="N18" s="10" t="s">
        <v>2545</v>
      </c>
      <c r="O18" s="169" t="s">
        <v>2546</v>
      </c>
      <c r="P18" s="170" t="s">
        <v>2547</v>
      </c>
      <c r="Q18" s="327">
        <v>5076.24</v>
      </c>
      <c r="R18" s="190">
        <v>25</v>
      </c>
      <c r="S18" s="190" t="s">
        <v>2548</v>
      </c>
      <c r="T18" s="190" t="s">
        <v>2518</v>
      </c>
      <c r="U18" s="190" t="s">
        <v>2519</v>
      </c>
      <c r="V18" s="8" t="s">
        <v>2011</v>
      </c>
      <c r="W18" s="171"/>
      <c r="X18" s="9"/>
      <c r="Y18" s="12" t="s">
        <v>2432</v>
      </c>
      <c r="Z18" s="12">
        <v>45686</v>
      </c>
      <c r="AA18" s="12">
        <v>45693</v>
      </c>
      <c r="AB18" s="143" t="str">
        <f t="shared" ca="1" si="0"/>
        <v>Expired</v>
      </c>
      <c r="AC18" s="13"/>
      <c r="AD18" s="12">
        <v>45698</v>
      </c>
      <c r="AE18" s="12">
        <v>45701</v>
      </c>
      <c r="AF18" s="12"/>
      <c r="AG18" s="12">
        <v>45877</v>
      </c>
      <c r="AH18" s="11">
        <v>45880</v>
      </c>
      <c r="AI18" s="11"/>
      <c r="AJ18" s="11"/>
      <c r="AK18" s="11"/>
      <c r="AL18" s="11"/>
      <c r="AM18" s="11">
        <v>46078</v>
      </c>
      <c r="AN18" s="11">
        <v>46078</v>
      </c>
      <c r="AO18" s="11" t="str">
        <f>+IF(AM18&lt;&gt;"","ATP App MS",IF(AJ18&lt;&gt;"","Inbound",IF(AH18&lt;&gt;"","Dismantle Perangkat",IF(AF18="Drop","Drop",IF(AE18&lt;&gt;"","Survey Report",IF(AD18&lt;&gt;"","Survey","NY Survey"))))))</f>
        <v>ATP App MS</v>
      </c>
      <c r="AP18" s="173"/>
      <c r="AQ18" s="12">
        <v>45909</v>
      </c>
      <c r="AR18" s="12">
        <v>45890</v>
      </c>
      <c r="AS18" s="12">
        <v>45890</v>
      </c>
      <c r="AT18" s="12"/>
      <c r="AU18" s="12">
        <v>45922</v>
      </c>
      <c r="AV18" s="12">
        <v>45922</v>
      </c>
      <c r="AW18" s="11" t="str">
        <f t="shared" si="1"/>
        <v>1st BOQ App on ISAAC</v>
      </c>
      <c r="AX18" s="12"/>
      <c r="AY18" s="12"/>
      <c r="AZ18" s="12"/>
      <c r="BA18" s="12"/>
      <c r="BB18" s="12"/>
      <c r="BC18" s="12"/>
      <c r="BD18" s="11" t="str">
        <f t="shared" si="2"/>
        <v>NY Submit</v>
      </c>
      <c r="BE18" s="174"/>
      <c r="BF18" s="12">
        <v>45701</v>
      </c>
      <c r="BG18" s="12">
        <v>45705</v>
      </c>
      <c r="BH18" s="12" t="s">
        <v>2549</v>
      </c>
      <c r="BI18" s="12">
        <v>45701</v>
      </c>
      <c r="BJ18" s="12">
        <v>45705</v>
      </c>
      <c r="BK18" s="174"/>
      <c r="BL18" s="12" t="str">
        <f t="shared" si="3"/>
        <v>Approved</v>
      </c>
      <c r="BM18" s="12" t="str">
        <f t="shared" si="4"/>
        <v>Approved</v>
      </c>
      <c r="BN18" s="12"/>
      <c r="BO18" s="12"/>
      <c r="BP18" s="155" t="s">
        <v>2011</v>
      </c>
      <c r="BQ18" s="12" t="s">
        <v>2554</v>
      </c>
      <c r="BR18" s="12">
        <v>45938</v>
      </c>
      <c r="BS18" s="143">
        <f t="shared" ca="1" si="5"/>
        <v>16</v>
      </c>
      <c r="BT18" s="176"/>
      <c r="BU18" s="12"/>
      <c r="BV18" s="143">
        <f t="shared" ca="1" si="6"/>
        <v>0</v>
      </c>
      <c r="BW18" s="12"/>
      <c r="BX18" s="12"/>
      <c r="BY18" s="143"/>
      <c r="BZ18" s="13" t="s">
        <v>2500</v>
      </c>
      <c r="CA18" s="13" t="s">
        <v>2555</v>
      </c>
      <c r="CB18" s="13" t="s">
        <v>2486</v>
      </c>
      <c r="CC18" s="13"/>
      <c r="CD18" s="13"/>
      <c r="CE18" s="198"/>
      <c r="CF18" s="198"/>
      <c r="CG18" s="272"/>
      <c r="CH18" s="272"/>
      <c r="CI18" s="198"/>
      <c r="CJ18" s="198"/>
      <c r="CK18" s="198"/>
      <c r="CL18" s="198"/>
    </row>
    <row r="19" spans="1:90">
      <c r="A19" s="187">
        <v>14</v>
      </c>
      <c r="B19" s="190" t="s">
        <v>2486</v>
      </c>
      <c r="C19" s="190" t="s">
        <v>2487</v>
      </c>
      <c r="D19" s="190" t="s">
        <v>135</v>
      </c>
      <c r="E19" s="8" t="e">
        <f ca="1">+_xlfn.CONCAT(G19,"-",B19,"_",C19,"_",_xlfn.XLOOKUP(BP19,Account!M:M,Account!N:N))</f>
        <v>#NAME?</v>
      </c>
      <c r="F19" s="12">
        <v>45670</v>
      </c>
      <c r="G19" s="190" t="s">
        <v>2078</v>
      </c>
      <c r="H19" s="190" t="s">
        <v>2543</v>
      </c>
      <c r="I19" s="10" t="s">
        <v>2079</v>
      </c>
      <c r="J19" s="190">
        <v>18</v>
      </c>
      <c r="K19" s="190" t="s">
        <v>2038</v>
      </c>
      <c r="L19" s="6" t="s">
        <v>1293</v>
      </c>
      <c r="M19" s="190" t="s">
        <v>2544</v>
      </c>
      <c r="N19" s="10" t="s">
        <v>2545</v>
      </c>
      <c r="O19" s="169" t="s">
        <v>2546</v>
      </c>
      <c r="P19" s="170" t="s">
        <v>2547</v>
      </c>
      <c r="Q19" s="327">
        <v>5076.24</v>
      </c>
      <c r="R19" s="190">
        <v>25</v>
      </c>
      <c r="S19" s="190" t="s">
        <v>2548</v>
      </c>
      <c r="T19" s="190" t="s">
        <v>2518</v>
      </c>
      <c r="U19" s="190" t="s">
        <v>2519</v>
      </c>
      <c r="V19" s="8" t="s">
        <v>1768</v>
      </c>
      <c r="W19" s="171" t="s">
        <v>2556</v>
      </c>
      <c r="X19" s="9"/>
      <c r="Y19" s="12" t="s">
        <v>2432</v>
      </c>
      <c r="Z19" s="12">
        <v>45686</v>
      </c>
      <c r="AA19" s="12">
        <v>45693</v>
      </c>
      <c r="AB19" s="143" t="str">
        <f t="shared" ca="1" si="0"/>
        <v>Expired</v>
      </c>
      <c r="AC19" s="13"/>
      <c r="AD19" s="12">
        <v>45698</v>
      </c>
      <c r="AE19" s="12">
        <v>45701</v>
      </c>
      <c r="AF19" s="12"/>
      <c r="AG19" s="12">
        <v>45877</v>
      </c>
      <c r="AH19" s="11"/>
      <c r="AI19" s="11"/>
      <c r="AJ19" s="11"/>
      <c r="AK19" s="11"/>
      <c r="AL19" s="11">
        <v>45965</v>
      </c>
      <c r="AM19" s="11">
        <v>46078</v>
      </c>
      <c r="AN19" s="11">
        <v>46078</v>
      </c>
      <c r="AO19" s="11" t="str">
        <f>+IF(AM19&lt;&gt;"","ATP App MS",IF(AL19&lt;&gt;"","OA/RFS",IF(AK19&lt;&gt;"","Install",IF(AH19&lt;&gt;"","Dismantle Perangkat",IF(AF19="Drop","Drop",IF(AE19&lt;&gt;"","Survey Report",IF(AD19&lt;&gt;"","Survey","NY Survey")))))))</f>
        <v>ATP App MS</v>
      </c>
      <c r="AP19" s="189" t="s">
        <v>2557</v>
      </c>
      <c r="AQ19" s="12">
        <v>45909</v>
      </c>
      <c r="AR19" s="12">
        <v>45890</v>
      </c>
      <c r="AS19" s="12">
        <v>45890</v>
      </c>
      <c r="AT19" s="12">
        <v>45910</v>
      </c>
      <c r="AU19" s="12">
        <v>45922</v>
      </c>
      <c r="AV19" s="12">
        <v>45922</v>
      </c>
      <c r="AW19" s="11" t="str">
        <f t="shared" si="1"/>
        <v>1st BOQ App on ISAAC</v>
      </c>
      <c r="AX19" s="12"/>
      <c r="AY19" s="12"/>
      <c r="AZ19" s="12"/>
      <c r="BA19" s="12"/>
      <c r="BB19" s="12"/>
      <c r="BC19" s="12"/>
      <c r="BD19" s="11" t="str">
        <f t="shared" si="2"/>
        <v>NY Submit</v>
      </c>
      <c r="BE19" s="174"/>
      <c r="BF19" s="12">
        <v>45701</v>
      </c>
      <c r="BG19" s="12">
        <v>45705</v>
      </c>
      <c r="BH19" s="12" t="s">
        <v>2549</v>
      </c>
      <c r="BI19" s="12">
        <v>45701</v>
      </c>
      <c r="BJ19" s="12">
        <v>45705</v>
      </c>
      <c r="BK19" s="174"/>
      <c r="BL19" s="12" t="str">
        <f t="shared" si="3"/>
        <v>Approved</v>
      </c>
      <c r="BM19" s="12" t="str">
        <f t="shared" si="4"/>
        <v>Approved</v>
      </c>
      <c r="BN19" s="12"/>
      <c r="BO19" s="12"/>
      <c r="BP19" s="155" t="s">
        <v>1768</v>
      </c>
      <c r="BQ19" s="12" t="s">
        <v>2558</v>
      </c>
      <c r="BR19" s="12">
        <v>45938</v>
      </c>
      <c r="BS19" s="143">
        <f t="shared" ca="1" si="5"/>
        <v>16</v>
      </c>
      <c r="BT19" s="176"/>
      <c r="BU19" s="12"/>
      <c r="BV19" s="143">
        <f t="shared" ca="1" si="6"/>
        <v>0</v>
      </c>
      <c r="BW19" s="12"/>
      <c r="BX19" s="12"/>
      <c r="BY19" s="143"/>
      <c r="BZ19" s="13" t="s">
        <v>2500</v>
      </c>
      <c r="CA19" s="13" t="s">
        <v>2555</v>
      </c>
      <c r="CB19" s="13" t="s">
        <v>2486</v>
      </c>
      <c r="CC19" s="13"/>
      <c r="CD19" s="13"/>
      <c r="CE19" s="198" t="s">
        <v>2552</v>
      </c>
      <c r="CF19" s="198" t="s">
        <v>2553</v>
      </c>
      <c r="CG19" s="272"/>
      <c r="CH19" s="272"/>
      <c r="CI19" s="198"/>
      <c r="CJ19" s="198"/>
      <c r="CK19" s="198"/>
      <c r="CL19" s="198"/>
    </row>
    <row r="20" spans="1:90" ht="30" customHeight="1">
      <c r="A20" s="187">
        <v>15</v>
      </c>
      <c r="B20" s="190" t="s">
        <v>2486</v>
      </c>
      <c r="C20" s="190" t="s">
        <v>2487</v>
      </c>
      <c r="D20" s="190" t="s">
        <v>135</v>
      </c>
      <c r="E20" s="8" t="e">
        <f ca="1">+_xlfn.CONCAT(G20,"-",B20,"_",C20,"_",_xlfn.XLOOKUP(BP20,Account!M:M,Account!N:N))</f>
        <v>#NAME?</v>
      </c>
      <c r="F20" s="12">
        <v>45666</v>
      </c>
      <c r="G20" s="190" t="s">
        <v>2559</v>
      </c>
      <c r="H20" s="190" t="s">
        <v>2560</v>
      </c>
      <c r="I20" s="10" t="s">
        <v>2561</v>
      </c>
      <c r="J20" s="190">
        <v>16</v>
      </c>
      <c r="K20" s="190" t="s">
        <v>2486</v>
      </c>
      <c r="L20" s="190" t="s">
        <v>1230</v>
      </c>
      <c r="M20" s="190" t="s">
        <v>2562</v>
      </c>
      <c r="N20" s="10"/>
      <c r="O20" s="169" t="s">
        <v>2563</v>
      </c>
      <c r="P20" s="170" t="s">
        <v>2564</v>
      </c>
      <c r="Q20" s="327"/>
      <c r="R20" s="190">
        <v>12</v>
      </c>
      <c r="S20" s="190" t="s">
        <v>68</v>
      </c>
      <c r="T20" s="190" t="s">
        <v>2518</v>
      </c>
      <c r="U20" s="190" t="s">
        <v>2565</v>
      </c>
      <c r="V20" s="8" t="s">
        <v>1760</v>
      </c>
      <c r="W20" s="171" t="s">
        <v>1231</v>
      </c>
      <c r="X20" s="9" t="s">
        <v>2566</v>
      </c>
      <c r="Y20" s="174" t="s">
        <v>2567</v>
      </c>
      <c r="Z20" s="172"/>
      <c r="AA20" s="172"/>
      <c r="AB20" s="143" t="str">
        <f t="shared" ca="1" si="0"/>
        <v>NY Submit</v>
      </c>
      <c r="AC20" s="13"/>
      <c r="AD20" s="12">
        <v>45655</v>
      </c>
      <c r="AE20" s="12">
        <v>45680</v>
      </c>
      <c r="AF20" s="12"/>
      <c r="AG20" s="11">
        <v>45673</v>
      </c>
      <c r="AH20" s="11"/>
      <c r="AI20" s="11">
        <v>45673</v>
      </c>
      <c r="AJ20" s="11"/>
      <c r="AK20" s="11"/>
      <c r="AL20" s="11"/>
      <c r="AM20" s="11"/>
      <c r="AN20" s="11">
        <v>45674</v>
      </c>
      <c r="AO20" s="11" t="str">
        <f>+IF(AN20&lt;&gt;"","BAST",IF(AI20&lt;&gt;"","Dismantle",IF(AG20&lt;&gt;"","RFD App",IF(AF20="Drop","Drop",IF(AE20&lt;&gt;"","Survey Report",IF(AD20&lt;&gt;"","Survey","NY Survey"))))))</f>
        <v>BAST</v>
      </c>
      <c r="AP20" s="173"/>
      <c r="AQ20" s="12">
        <v>45677</v>
      </c>
      <c r="AR20" s="12">
        <v>45677</v>
      </c>
      <c r="AS20" s="12"/>
      <c r="AT20" s="12"/>
      <c r="AU20" s="12"/>
      <c r="AV20" s="12"/>
      <c r="AW20" s="11" t="str">
        <f t="shared" si="1"/>
        <v>1st BOQ Pass TI</v>
      </c>
      <c r="AX20" s="12"/>
      <c r="AY20" s="12"/>
      <c r="AZ20" s="12"/>
      <c r="BA20" s="12"/>
      <c r="BB20" s="12"/>
      <c r="BC20" s="12"/>
      <c r="BD20" s="11" t="str">
        <f t="shared" si="2"/>
        <v>NY Submit</v>
      </c>
      <c r="BE20" s="174"/>
      <c r="BF20" s="12">
        <v>45677</v>
      </c>
      <c r="BG20" s="12">
        <v>45680</v>
      </c>
      <c r="BH20" s="12" t="s">
        <v>2568</v>
      </c>
      <c r="BI20" s="12">
        <v>45677</v>
      </c>
      <c r="BJ20" s="12">
        <v>45680</v>
      </c>
      <c r="BK20" s="174" t="s">
        <v>2569</v>
      </c>
      <c r="BL20" s="12" t="str">
        <f t="shared" si="3"/>
        <v>Approved</v>
      </c>
      <c r="BM20" s="12" t="str">
        <f t="shared" si="4"/>
        <v>Approved</v>
      </c>
      <c r="BN20" s="12">
        <v>45677</v>
      </c>
      <c r="BO20" s="12">
        <v>45693</v>
      </c>
      <c r="BP20" s="155" t="s">
        <v>1760</v>
      </c>
      <c r="BQ20" s="12" t="s">
        <v>2570</v>
      </c>
      <c r="BR20" s="12">
        <v>45699</v>
      </c>
      <c r="BS20" s="143">
        <f t="shared" ca="1" si="5"/>
        <v>0</v>
      </c>
      <c r="BT20" s="176"/>
      <c r="BU20" s="12"/>
      <c r="BV20" s="143">
        <f t="shared" ca="1" si="6"/>
        <v>0</v>
      </c>
      <c r="BW20" s="12"/>
      <c r="BX20" s="12"/>
      <c r="BY20" s="143"/>
      <c r="BZ20" s="13" t="s">
        <v>2500</v>
      </c>
      <c r="CA20" s="13"/>
      <c r="CB20" s="13"/>
      <c r="CC20" s="13"/>
      <c r="CD20" s="13"/>
      <c r="CE20" s="198"/>
      <c r="CF20" s="198"/>
      <c r="CG20" s="272"/>
      <c r="CH20" s="272"/>
      <c r="CI20" s="198"/>
      <c r="CJ20" s="198" t="s">
        <v>2571</v>
      </c>
      <c r="CK20" s="198"/>
      <c r="CL20" s="198"/>
    </row>
    <row r="21" spans="1:90">
      <c r="A21" s="187">
        <v>16</v>
      </c>
      <c r="B21" s="190" t="s">
        <v>2486</v>
      </c>
      <c r="C21" s="190" t="s">
        <v>2487</v>
      </c>
      <c r="D21" s="190" t="s">
        <v>135</v>
      </c>
      <c r="E21" s="8" t="e">
        <f ca="1">+_xlfn.CONCAT(G21,"-",B21,"_",C21,"_",_xlfn.XLOOKUP(BP21,Account!M:M,Account!N:N))</f>
        <v>#NAME?</v>
      </c>
      <c r="F21" s="12">
        <v>45666</v>
      </c>
      <c r="G21" s="190" t="s">
        <v>2559</v>
      </c>
      <c r="H21" s="190" t="s">
        <v>2560</v>
      </c>
      <c r="I21" s="10" t="s">
        <v>2561</v>
      </c>
      <c r="J21" s="190">
        <v>16</v>
      </c>
      <c r="K21" s="190" t="s">
        <v>2486</v>
      </c>
      <c r="L21" s="190" t="s">
        <v>1230</v>
      </c>
      <c r="M21" s="190" t="s">
        <v>2562</v>
      </c>
      <c r="N21" s="10"/>
      <c r="O21" s="169" t="s">
        <v>2563</v>
      </c>
      <c r="P21" s="170" t="s">
        <v>2564</v>
      </c>
      <c r="Q21" s="327"/>
      <c r="R21" s="190">
        <v>12</v>
      </c>
      <c r="S21" s="190" t="s">
        <v>68</v>
      </c>
      <c r="T21" s="190" t="s">
        <v>2518</v>
      </c>
      <c r="U21" s="190" t="s">
        <v>2565</v>
      </c>
      <c r="V21" s="8" t="s">
        <v>2011</v>
      </c>
      <c r="W21" s="171"/>
      <c r="X21" s="9"/>
      <c r="Y21" s="174" t="s">
        <v>2567</v>
      </c>
      <c r="Z21" s="172"/>
      <c r="AA21" s="172"/>
      <c r="AB21" s="143" t="str">
        <f t="shared" ca="1" si="0"/>
        <v>NY Submit</v>
      </c>
      <c r="AC21" s="13"/>
      <c r="AD21" s="12">
        <v>45655</v>
      </c>
      <c r="AE21" s="12">
        <v>45680</v>
      </c>
      <c r="AF21" s="12"/>
      <c r="AG21" s="12"/>
      <c r="AH21" s="11">
        <v>45671</v>
      </c>
      <c r="AI21" s="11"/>
      <c r="AJ21" s="11"/>
      <c r="AK21" s="11"/>
      <c r="AL21" s="11"/>
      <c r="AM21" s="11">
        <v>45674</v>
      </c>
      <c r="AN21" s="11"/>
      <c r="AO21" s="11" t="str">
        <f>+IF(AM21&lt;&gt;"","ATP App MS",IF(AJ21&lt;&gt;"","Inbound",IF(AH21&lt;&gt;"","Dismantle Perangkat",IF(AF21="Drop","Drop",IF(AE21&lt;&gt;"","Survey Report",IF(AD21&lt;&gt;"","Survey","NY Survey"))))))</f>
        <v>ATP App MS</v>
      </c>
      <c r="AP21" s="173"/>
      <c r="AQ21" s="12">
        <v>45677</v>
      </c>
      <c r="AR21" s="12">
        <v>45677</v>
      </c>
      <c r="AS21" s="12"/>
      <c r="AT21" s="12"/>
      <c r="AU21" s="12"/>
      <c r="AV21" s="12"/>
      <c r="AW21" s="11" t="str">
        <f t="shared" si="1"/>
        <v>1st BOQ Pass TI</v>
      </c>
      <c r="AX21" s="12"/>
      <c r="AY21" s="12"/>
      <c r="AZ21" s="12"/>
      <c r="BA21" s="12"/>
      <c r="BB21" s="12"/>
      <c r="BC21" s="12"/>
      <c r="BD21" s="11" t="str">
        <f t="shared" si="2"/>
        <v>NY Submit</v>
      </c>
      <c r="BE21" s="174"/>
      <c r="BF21" s="12">
        <v>45677</v>
      </c>
      <c r="BG21" s="12">
        <v>45680</v>
      </c>
      <c r="BH21" s="12" t="s">
        <v>2568</v>
      </c>
      <c r="BI21" s="12">
        <v>45677</v>
      </c>
      <c r="BJ21" s="12">
        <v>45667</v>
      </c>
      <c r="BK21" s="174"/>
      <c r="BL21" s="12" t="str">
        <f t="shared" si="3"/>
        <v>Approved</v>
      </c>
      <c r="BM21" s="12" t="str">
        <f t="shared" si="4"/>
        <v>Approved</v>
      </c>
      <c r="BN21" s="12">
        <v>45677</v>
      </c>
      <c r="BO21" s="12">
        <v>45693</v>
      </c>
      <c r="BP21" s="155" t="s">
        <v>2011</v>
      </c>
      <c r="BQ21" s="12" t="s">
        <v>2572</v>
      </c>
      <c r="BR21" s="12">
        <v>45699</v>
      </c>
      <c r="BS21" s="143">
        <f t="shared" ca="1" si="5"/>
        <v>0</v>
      </c>
      <c r="BT21" s="176"/>
      <c r="BU21" s="12"/>
      <c r="BV21" s="143">
        <f t="shared" ca="1" si="6"/>
        <v>0</v>
      </c>
      <c r="BW21" s="12"/>
      <c r="BX21" s="12"/>
      <c r="BY21" s="143"/>
      <c r="BZ21" s="13" t="s">
        <v>2500</v>
      </c>
      <c r="CA21" s="13"/>
      <c r="CB21" s="13"/>
      <c r="CC21" s="13"/>
      <c r="CD21" s="13"/>
      <c r="CE21" s="198"/>
      <c r="CF21" s="198"/>
      <c r="CG21" s="272"/>
      <c r="CH21" s="272"/>
      <c r="CI21" s="198"/>
      <c r="CJ21" s="198"/>
      <c r="CK21" s="198"/>
      <c r="CL21" s="198"/>
    </row>
    <row r="22" spans="1:90">
      <c r="A22" s="187">
        <v>17</v>
      </c>
      <c r="B22" s="190" t="s">
        <v>2486</v>
      </c>
      <c r="C22" s="190" t="s">
        <v>2487</v>
      </c>
      <c r="D22" s="190" t="s">
        <v>135</v>
      </c>
      <c r="E22" s="8" t="e">
        <f ca="1">+_xlfn.CONCAT(G22,"-",B22,"_",C22,"_",_xlfn.XLOOKUP(BP22,Account!M:M,Account!N:N))</f>
        <v>#NAME?</v>
      </c>
      <c r="F22" s="12">
        <v>45666</v>
      </c>
      <c r="G22" s="190" t="s">
        <v>2559</v>
      </c>
      <c r="H22" s="190" t="s">
        <v>2560</v>
      </c>
      <c r="I22" s="10" t="s">
        <v>2561</v>
      </c>
      <c r="J22" s="190">
        <v>16</v>
      </c>
      <c r="K22" s="190" t="s">
        <v>2486</v>
      </c>
      <c r="L22" s="190" t="s">
        <v>1230</v>
      </c>
      <c r="M22" s="190" t="s">
        <v>2562</v>
      </c>
      <c r="N22" s="10"/>
      <c r="O22" s="169" t="s">
        <v>2563</v>
      </c>
      <c r="P22" s="170" t="s">
        <v>2564</v>
      </c>
      <c r="Q22" s="327"/>
      <c r="R22" s="190">
        <v>12</v>
      </c>
      <c r="S22" s="190" t="s">
        <v>68</v>
      </c>
      <c r="T22" s="190" t="s">
        <v>2518</v>
      </c>
      <c r="U22" s="190" t="s">
        <v>2565</v>
      </c>
      <c r="V22" s="8" t="s">
        <v>1768</v>
      </c>
      <c r="W22" s="171" t="s">
        <v>2406</v>
      </c>
      <c r="X22" s="9"/>
      <c r="Y22" s="174" t="s">
        <v>2567</v>
      </c>
      <c r="Z22" s="172"/>
      <c r="AA22" s="172"/>
      <c r="AB22" s="143" t="str">
        <f t="shared" ca="1" si="0"/>
        <v>NY Submit</v>
      </c>
      <c r="AC22" s="13"/>
      <c r="AD22" s="12">
        <v>45655</v>
      </c>
      <c r="AE22" s="12">
        <v>45680</v>
      </c>
      <c r="AF22" s="12"/>
      <c r="AG22" s="12"/>
      <c r="AH22" s="11"/>
      <c r="AI22" s="11"/>
      <c r="AJ22" s="11"/>
      <c r="AK22" s="11">
        <v>45672</v>
      </c>
      <c r="AL22" s="11">
        <v>45672</v>
      </c>
      <c r="AM22" s="11">
        <v>45674</v>
      </c>
      <c r="AN22" s="11"/>
      <c r="AO22" s="11" t="str">
        <f>+IF(AM22&lt;&gt;"","ATP App MS",IF(AL22&lt;&gt;"","OA/RFS",IF(AK22&lt;&gt;"","Install",IF(AH22&lt;&gt;"","Dismantle Perangkat",IF(AF22="Drop","Drop",IF(AE22&lt;&gt;"","Survey Report",IF(AD22&lt;&gt;"","Survey","NY Survey")))))))</f>
        <v>ATP App MS</v>
      </c>
      <c r="AP22" s="173"/>
      <c r="AQ22" s="12">
        <v>45677</v>
      </c>
      <c r="AR22" s="12">
        <v>45677</v>
      </c>
      <c r="AS22" s="12"/>
      <c r="AT22" s="12"/>
      <c r="AU22" s="12"/>
      <c r="AV22" s="12"/>
      <c r="AW22" s="11" t="str">
        <f t="shared" si="1"/>
        <v>1st BOQ Pass TI</v>
      </c>
      <c r="AX22" s="12"/>
      <c r="AY22" s="12"/>
      <c r="AZ22" s="12"/>
      <c r="BA22" s="12"/>
      <c r="BB22" s="12"/>
      <c r="BC22" s="12"/>
      <c r="BD22" s="11" t="str">
        <f t="shared" si="2"/>
        <v>NY Submit</v>
      </c>
      <c r="BE22" s="174"/>
      <c r="BF22" s="12">
        <v>45677</v>
      </c>
      <c r="BG22" s="12">
        <v>45680</v>
      </c>
      <c r="BH22" s="12" t="s">
        <v>2568</v>
      </c>
      <c r="BI22" s="12">
        <v>45677</v>
      </c>
      <c r="BJ22" s="12">
        <v>45667</v>
      </c>
      <c r="BK22" s="174"/>
      <c r="BL22" s="12" t="str">
        <f t="shared" si="3"/>
        <v>Approved</v>
      </c>
      <c r="BM22" s="12" t="str">
        <f t="shared" si="4"/>
        <v>Approved</v>
      </c>
      <c r="BN22" s="12">
        <v>45677</v>
      </c>
      <c r="BO22" s="12">
        <v>45693</v>
      </c>
      <c r="BP22" s="155" t="s">
        <v>1768</v>
      </c>
      <c r="BQ22" s="12" t="s">
        <v>2573</v>
      </c>
      <c r="BR22" s="12">
        <v>45699</v>
      </c>
      <c r="BS22" s="143">
        <f t="shared" ca="1" si="5"/>
        <v>0</v>
      </c>
      <c r="BT22" s="176"/>
      <c r="BU22" s="12"/>
      <c r="BV22" s="143">
        <f t="shared" ca="1" si="6"/>
        <v>0</v>
      </c>
      <c r="BW22" s="12"/>
      <c r="BX22" s="12"/>
      <c r="BY22" s="143"/>
      <c r="BZ22" s="13" t="s">
        <v>2500</v>
      </c>
      <c r="CA22" s="13"/>
      <c r="CB22" s="13"/>
      <c r="CC22" s="13"/>
      <c r="CD22" s="13"/>
      <c r="CE22" s="198"/>
      <c r="CF22" s="198"/>
      <c r="CG22" s="272"/>
      <c r="CH22" s="272"/>
      <c r="CI22" s="198"/>
      <c r="CJ22" s="198"/>
      <c r="CK22" s="198"/>
      <c r="CL22" s="198"/>
    </row>
    <row r="23" spans="1:90">
      <c r="A23" s="187">
        <v>18</v>
      </c>
      <c r="B23" s="190" t="s">
        <v>2486</v>
      </c>
      <c r="C23" s="190" t="s">
        <v>2487</v>
      </c>
      <c r="D23" s="190" t="s">
        <v>135</v>
      </c>
      <c r="E23" s="8" t="e">
        <f ca="1">+_xlfn.CONCAT(G23,"-",B23,"_",C23,"_",_xlfn.XLOOKUP(BP23,Account!M:M,Account!N:N))</f>
        <v>#NAME?</v>
      </c>
      <c r="F23" s="12">
        <v>45671</v>
      </c>
      <c r="G23" s="190" t="s">
        <v>2574</v>
      </c>
      <c r="H23" s="190" t="s">
        <v>2575</v>
      </c>
      <c r="I23" s="10" t="s">
        <v>2576</v>
      </c>
      <c r="J23" s="190">
        <v>11</v>
      </c>
      <c r="K23" s="190" t="s">
        <v>2038</v>
      </c>
      <c r="L23" s="190" t="s">
        <v>1263</v>
      </c>
      <c r="M23" s="190" t="s">
        <v>2577</v>
      </c>
      <c r="N23" s="10" t="s">
        <v>2578</v>
      </c>
      <c r="O23" s="178" t="s">
        <v>2579</v>
      </c>
      <c r="P23" s="170" t="s">
        <v>2580</v>
      </c>
      <c r="Q23" s="327">
        <v>1364.403</v>
      </c>
      <c r="R23" s="190"/>
      <c r="S23" s="190"/>
      <c r="T23" s="190" t="s">
        <v>2518</v>
      </c>
      <c r="U23" s="190" t="s">
        <v>2565</v>
      </c>
      <c r="V23" s="8" t="s">
        <v>1760</v>
      </c>
      <c r="W23" s="171"/>
      <c r="X23" s="9"/>
      <c r="Y23" s="12" t="s">
        <v>2432</v>
      </c>
      <c r="Z23" s="172">
        <v>45701</v>
      </c>
      <c r="AA23" s="172">
        <v>45708</v>
      </c>
      <c r="AB23" s="143" t="str">
        <f t="shared" ca="1" si="0"/>
        <v>Expired</v>
      </c>
      <c r="AC23" s="13"/>
      <c r="AD23" s="12">
        <v>45672</v>
      </c>
      <c r="AE23" s="12">
        <v>45686</v>
      </c>
      <c r="AF23" s="12"/>
      <c r="AG23" s="12"/>
      <c r="AH23" s="11"/>
      <c r="AI23" s="11">
        <v>46157</v>
      </c>
      <c r="AJ23" s="11"/>
      <c r="AK23" s="11"/>
      <c r="AL23" s="11"/>
      <c r="AM23" s="11">
        <v>46157</v>
      </c>
      <c r="AN23" s="11">
        <v>46157</v>
      </c>
      <c r="AO23" s="11" t="str">
        <f t="shared" ref="AO23:AO37" si="7">+IF(AN23&lt;&gt;"","BAST",IF(AI23&lt;&gt;"","Dismantle",IF(AG23&lt;&gt;"","RFD App",IF(AF23="Drop","Drop",IF(AE23&lt;&gt;"","Survey Report",IF(AD23&lt;&gt;"","Survey","NY Survey"))))))</f>
        <v>BAST</v>
      </c>
      <c r="AP23" s="173" t="s">
        <v>2581</v>
      </c>
      <c r="AQ23" s="12">
        <v>45786</v>
      </c>
      <c r="AR23" s="12">
        <v>45796</v>
      </c>
      <c r="AS23" s="12">
        <v>45788</v>
      </c>
      <c r="AT23" s="12"/>
      <c r="AU23" s="12">
        <v>45967</v>
      </c>
      <c r="AV23" s="12">
        <v>45967</v>
      </c>
      <c r="AW23" s="11" t="str">
        <f t="shared" si="1"/>
        <v>1st BOQ App on ISAAC</v>
      </c>
      <c r="AX23" s="12">
        <v>46162</v>
      </c>
      <c r="AY23" s="12"/>
      <c r="AZ23" s="12"/>
      <c r="BA23" s="12"/>
      <c r="BB23" s="12"/>
      <c r="BC23" s="12">
        <v>46168</v>
      </c>
      <c r="BD23" s="11" t="str">
        <f t="shared" si="2"/>
        <v>2nd BOQ App on ISAAC</v>
      </c>
      <c r="BE23" s="174" t="s">
        <v>2582</v>
      </c>
      <c r="BF23" s="12">
        <v>45706</v>
      </c>
      <c r="BG23" s="12">
        <v>45706</v>
      </c>
      <c r="BH23" s="12" t="s">
        <v>2583</v>
      </c>
      <c r="BI23" s="12">
        <v>45706</v>
      </c>
      <c r="BJ23" s="12">
        <v>45706</v>
      </c>
      <c r="BK23" s="174" t="s">
        <v>2584</v>
      </c>
      <c r="BL23" s="12" t="str">
        <f t="shared" si="3"/>
        <v>Approved</v>
      </c>
      <c r="BM23" s="12" t="str">
        <f t="shared" si="4"/>
        <v>Approved</v>
      </c>
      <c r="BN23" s="12"/>
      <c r="BO23" s="12"/>
      <c r="BP23" s="155" t="s">
        <v>1760</v>
      </c>
      <c r="BQ23" s="12" t="s">
        <v>2585</v>
      </c>
      <c r="BR23" s="12">
        <v>45974</v>
      </c>
      <c r="BS23" s="143">
        <f t="shared" ca="1" si="5"/>
        <v>7</v>
      </c>
      <c r="BT23" s="176" t="s">
        <v>2586</v>
      </c>
      <c r="BU23" s="12">
        <v>46206</v>
      </c>
      <c r="BV23" s="143">
        <f t="shared" ca="1" si="6"/>
        <v>38</v>
      </c>
      <c r="BW23" s="12"/>
      <c r="BX23" s="12"/>
      <c r="BY23" s="143"/>
      <c r="BZ23" s="13" t="s">
        <v>2500</v>
      </c>
      <c r="CA23" s="13" t="s">
        <v>2555</v>
      </c>
      <c r="CB23" s="13"/>
      <c r="CC23" s="13"/>
      <c r="CD23" s="13"/>
      <c r="CE23" s="198"/>
      <c r="CF23" s="198"/>
      <c r="CG23" s="272"/>
      <c r="CH23" s="272"/>
      <c r="CI23" s="198"/>
      <c r="CJ23" s="198"/>
      <c r="CK23" s="198"/>
      <c r="CL23" s="198"/>
    </row>
    <row r="24" spans="1:90">
      <c r="A24" s="187">
        <v>19</v>
      </c>
      <c r="B24" s="190" t="s">
        <v>2486</v>
      </c>
      <c r="C24" s="190" t="s">
        <v>2487</v>
      </c>
      <c r="D24" s="190" t="s">
        <v>135</v>
      </c>
      <c r="E24" s="8" t="e">
        <f ca="1">+_xlfn.CONCAT(G24,"-",B24,"_",C24,"_",_xlfn.XLOOKUP(BP24,Account!M:M,Account!N:N))</f>
        <v>#NAME?</v>
      </c>
      <c r="F24" s="12">
        <v>45681</v>
      </c>
      <c r="G24" s="190" t="s">
        <v>2587</v>
      </c>
      <c r="H24" s="190" t="s">
        <v>2588</v>
      </c>
      <c r="I24" s="10" t="s">
        <v>2589</v>
      </c>
      <c r="J24" s="190">
        <v>16</v>
      </c>
      <c r="K24" s="190" t="s">
        <v>2486</v>
      </c>
      <c r="L24" s="190" t="s">
        <v>1230</v>
      </c>
      <c r="M24" s="190" t="s">
        <v>2562</v>
      </c>
      <c r="N24" s="10" t="s">
        <v>2590</v>
      </c>
      <c r="O24" s="169" t="s">
        <v>2591</v>
      </c>
      <c r="P24" s="170" t="s">
        <v>2592</v>
      </c>
      <c r="Q24" s="327"/>
      <c r="R24" s="190">
        <v>9</v>
      </c>
      <c r="S24" s="190"/>
      <c r="T24" s="190" t="s">
        <v>2518</v>
      </c>
      <c r="U24" s="190" t="s">
        <v>2565</v>
      </c>
      <c r="V24" s="8" t="s">
        <v>1760</v>
      </c>
      <c r="W24" s="171"/>
      <c r="X24" s="9"/>
      <c r="Y24" s="12" t="s">
        <v>2496</v>
      </c>
      <c r="Z24" s="172">
        <v>45700</v>
      </c>
      <c r="AA24" s="172">
        <v>45707</v>
      </c>
      <c r="AB24" s="143" t="str">
        <f t="shared" ca="1" si="0"/>
        <v>Expired</v>
      </c>
      <c r="AC24" s="13"/>
      <c r="AD24" s="12">
        <v>45691</v>
      </c>
      <c r="AE24" s="12">
        <v>45707</v>
      </c>
      <c r="AF24" s="12"/>
      <c r="AG24" s="12">
        <v>45723</v>
      </c>
      <c r="AH24" s="11"/>
      <c r="AI24" s="11">
        <v>45724</v>
      </c>
      <c r="AJ24" s="11"/>
      <c r="AK24" s="11"/>
      <c r="AL24" s="11"/>
      <c r="AM24" s="11"/>
      <c r="AN24" s="11">
        <v>45724</v>
      </c>
      <c r="AO24" s="11" t="str">
        <f t="shared" si="7"/>
        <v>BAST</v>
      </c>
      <c r="AP24" s="173"/>
      <c r="AQ24" s="12">
        <v>45691</v>
      </c>
      <c r="AR24" s="12">
        <v>45691</v>
      </c>
      <c r="AS24" s="12">
        <v>45691</v>
      </c>
      <c r="AT24" s="12"/>
      <c r="AU24" s="12">
        <v>45721</v>
      </c>
      <c r="AV24" s="12">
        <v>45722</v>
      </c>
      <c r="AW24" s="11" t="str">
        <f t="shared" si="1"/>
        <v>1st BOQ App on ISAAC</v>
      </c>
      <c r="AX24" s="12"/>
      <c r="AY24" s="12"/>
      <c r="AZ24" s="12"/>
      <c r="BA24" s="12"/>
      <c r="BB24" s="12"/>
      <c r="BC24" s="12"/>
      <c r="BD24" s="11" t="str">
        <f t="shared" si="2"/>
        <v>NY Submit</v>
      </c>
      <c r="BE24" s="174"/>
      <c r="BF24" s="12">
        <v>45691</v>
      </c>
      <c r="BG24" s="12">
        <v>45708</v>
      </c>
      <c r="BH24" s="12" t="s">
        <v>2593</v>
      </c>
      <c r="BI24" s="12">
        <v>45691</v>
      </c>
      <c r="BJ24" s="12">
        <v>45708</v>
      </c>
      <c r="BK24" s="174" t="s">
        <v>2594</v>
      </c>
      <c r="BL24" s="12" t="str">
        <f t="shared" si="3"/>
        <v>Approved</v>
      </c>
      <c r="BM24" s="12" t="str">
        <f t="shared" si="4"/>
        <v>Approved</v>
      </c>
      <c r="BN24" s="12">
        <v>45724</v>
      </c>
      <c r="BO24" s="12">
        <v>45726</v>
      </c>
      <c r="BP24" s="155" t="s">
        <v>1760</v>
      </c>
      <c r="BQ24" s="12" t="s">
        <v>2595</v>
      </c>
      <c r="BR24" s="12">
        <v>45737</v>
      </c>
      <c r="BS24" s="143">
        <f t="shared" ca="1" si="5"/>
        <v>15</v>
      </c>
      <c r="BT24" s="176"/>
      <c r="BU24" s="12"/>
      <c r="BV24" s="143">
        <f t="shared" ca="1" si="6"/>
        <v>0</v>
      </c>
      <c r="BW24" s="12"/>
      <c r="BX24" s="12"/>
      <c r="BY24" s="143"/>
      <c r="BZ24" s="13" t="s">
        <v>2500</v>
      </c>
      <c r="CA24" s="13"/>
      <c r="CB24" s="13"/>
      <c r="CC24" s="13"/>
      <c r="CD24" s="13"/>
      <c r="CE24" s="198"/>
      <c r="CF24" s="198"/>
      <c r="CG24" s="272"/>
      <c r="CH24" s="272"/>
      <c r="CI24" s="198"/>
      <c r="CJ24" s="198"/>
      <c r="CK24" s="198"/>
      <c r="CL24" s="198"/>
    </row>
    <row r="25" spans="1:90">
      <c r="A25" s="187">
        <v>20</v>
      </c>
      <c r="B25" s="190" t="s">
        <v>2486</v>
      </c>
      <c r="C25" s="190" t="s">
        <v>2487</v>
      </c>
      <c r="D25" s="190" t="s">
        <v>135</v>
      </c>
      <c r="E25" s="8" t="e">
        <f ca="1">+_xlfn.CONCAT(G25,"-",B25,"_",C25,"_",_xlfn.XLOOKUP(BP25,Account!M:M,Account!N:N))</f>
        <v>#NAME?</v>
      </c>
      <c r="F25" s="12">
        <v>45681</v>
      </c>
      <c r="G25" s="190" t="s">
        <v>2596</v>
      </c>
      <c r="H25" s="190" t="s">
        <v>2597</v>
      </c>
      <c r="I25" s="10" t="s">
        <v>2598</v>
      </c>
      <c r="J25" s="190">
        <v>16</v>
      </c>
      <c r="K25" s="190" t="s">
        <v>2486</v>
      </c>
      <c r="L25" s="190" t="s">
        <v>1230</v>
      </c>
      <c r="M25" s="190" t="s">
        <v>2562</v>
      </c>
      <c r="N25" s="10" t="s">
        <v>2599</v>
      </c>
      <c r="O25" s="169" t="s">
        <v>2600</v>
      </c>
      <c r="P25" s="170" t="s">
        <v>2601</v>
      </c>
      <c r="Q25" s="327"/>
      <c r="R25" s="190">
        <v>12</v>
      </c>
      <c r="S25" s="190"/>
      <c r="T25" s="190" t="s">
        <v>2518</v>
      </c>
      <c r="U25" s="190" t="s">
        <v>2565</v>
      </c>
      <c r="V25" s="8" t="s">
        <v>1760</v>
      </c>
      <c r="W25" s="171"/>
      <c r="X25" s="9"/>
      <c r="Y25" s="12" t="s">
        <v>2496</v>
      </c>
      <c r="Z25" s="172">
        <v>45693</v>
      </c>
      <c r="AA25" s="172">
        <v>45700</v>
      </c>
      <c r="AB25" s="143" t="str">
        <f t="shared" ca="1" si="0"/>
        <v>Expired</v>
      </c>
      <c r="AC25" s="13"/>
      <c r="AD25" s="12">
        <v>45691</v>
      </c>
      <c r="AE25" s="12">
        <v>45707</v>
      </c>
      <c r="AF25" s="12"/>
      <c r="AG25" s="12">
        <v>45727</v>
      </c>
      <c r="AH25" s="11"/>
      <c r="AI25" s="11">
        <v>45729</v>
      </c>
      <c r="AJ25" s="11"/>
      <c r="AK25" s="11"/>
      <c r="AL25" s="11"/>
      <c r="AM25" s="11"/>
      <c r="AN25" s="11">
        <v>45730</v>
      </c>
      <c r="AO25" s="11" t="str">
        <f t="shared" si="7"/>
        <v>BAST</v>
      </c>
      <c r="AP25" s="173"/>
      <c r="AQ25" s="12">
        <v>45691</v>
      </c>
      <c r="AR25" s="12">
        <v>45691</v>
      </c>
      <c r="AS25" s="12">
        <v>45691</v>
      </c>
      <c r="AT25" s="12"/>
      <c r="AU25" s="12">
        <v>45721</v>
      </c>
      <c r="AV25" s="12">
        <v>45722</v>
      </c>
      <c r="AW25" s="11" t="str">
        <f t="shared" si="1"/>
        <v>1st BOQ App on ISAAC</v>
      </c>
      <c r="AX25" s="12"/>
      <c r="AY25" s="12"/>
      <c r="AZ25" s="12"/>
      <c r="BA25" s="12"/>
      <c r="BB25" s="12"/>
      <c r="BC25" s="12"/>
      <c r="BD25" s="11" t="str">
        <f t="shared" si="2"/>
        <v>NY Submit</v>
      </c>
      <c r="BE25" s="174"/>
      <c r="BF25" s="12">
        <v>45691</v>
      </c>
      <c r="BG25" s="12">
        <v>45708</v>
      </c>
      <c r="BH25" s="12" t="s">
        <v>2602</v>
      </c>
      <c r="BI25" s="12">
        <v>45691</v>
      </c>
      <c r="BJ25" s="12">
        <v>45708</v>
      </c>
      <c r="BK25" s="174" t="s">
        <v>2603</v>
      </c>
      <c r="BL25" s="12" t="str">
        <f t="shared" si="3"/>
        <v>Approved</v>
      </c>
      <c r="BM25" s="12" t="str">
        <f t="shared" si="4"/>
        <v>Approved</v>
      </c>
      <c r="BN25" s="12">
        <v>45730</v>
      </c>
      <c r="BO25" s="12">
        <v>45737</v>
      </c>
      <c r="BP25" s="155" t="s">
        <v>1760</v>
      </c>
      <c r="BQ25" s="12" t="s">
        <v>2604</v>
      </c>
      <c r="BR25" s="12">
        <v>45737</v>
      </c>
      <c r="BS25" s="143">
        <f t="shared" ca="1" si="5"/>
        <v>15</v>
      </c>
      <c r="BT25" s="176"/>
      <c r="BU25" s="12"/>
      <c r="BV25" s="143">
        <f t="shared" ca="1" si="6"/>
        <v>0</v>
      </c>
      <c r="BW25" s="12"/>
      <c r="BX25" s="12"/>
      <c r="BY25" s="143"/>
      <c r="BZ25" s="13" t="s">
        <v>2500</v>
      </c>
      <c r="CA25" s="13"/>
      <c r="CB25" s="13"/>
      <c r="CC25" s="13"/>
      <c r="CD25" s="13"/>
      <c r="CE25" s="198"/>
      <c r="CF25" s="198"/>
      <c r="CG25" s="272"/>
      <c r="CH25" s="272"/>
      <c r="CI25" s="198"/>
      <c r="CJ25" s="198"/>
      <c r="CK25" s="198"/>
      <c r="CL25" s="198"/>
    </row>
    <row r="26" spans="1:90">
      <c r="A26" s="187">
        <v>21</v>
      </c>
      <c r="B26" s="190" t="s">
        <v>2486</v>
      </c>
      <c r="C26" s="190" t="s">
        <v>2487</v>
      </c>
      <c r="D26" s="190" t="s">
        <v>135</v>
      </c>
      <c r="E26" s="8" t="e">
        <f ca="1">+_xlfn.CONCAT(G26,"-",B26,"_",C26,"_",_xlfn.XLOOKUP(BP26,Account!M:M,Account!N:N))</f>
        <v>#NAME?</v>
      </c>
      <c r="F26" s="12">
        <v>45681</v>
      </c>
      <c r="G26" s="190" t="s">
        <v>2605</v>
      </c>
      <c r="H26" s="190" t="s">
        <v>2606</v>
      </c>
      <c r="I26" s="10" t="s">
        <v>2607</v>
      </c>
      <c r="J26" s="190">
        <v>16</v>
      </c>
      <c r="K26" s="190" t="s">
        <v>2486</v>
      </c>
      <c r="L26" s="190" t="s">
        <v>1230</v>
      </c>
      <c r="M26" s="190" t="s">
        <v>2562</v>
      </c>
      <c r="N26" s="10" t="s">
        <v>2608</v>
      </c>
      <c r="O26" s="169" t="s">
        <v>2609</v>
      </c>
      <c r="P26" s="170" t="s">
        <v>2610</v>
      </c>
      <c r="Q26" s="327"/>
      <c r="R26" s="190">
        <v>6</v>
      </c>
      <c r="S26" s="190"/>
      <c r="T26" s="190" t="s">
        <v>2518</v>
      </c>
      <c r="U26" s="190" t="s">
        <v>2565</v>
      </c>
      <c r="V26" s="8" t="s">
        <v>1760</v>
      </c>
      <c r="W26" s="171" t="s">
        <v>1227</v>
      </c>
      <c r="X26" s="9">
        <v>8112345378</v>
      </c>
      <c r="Y26" s="12" t="s">
        <v>2496</v>
      </c>
      <c r="Z26" s="172">
        <v>45693</v>
      </c>
      <c r="AA26" s="172">
        <v>45700</v>
      </c>
      <c r="AB26" s="143" t="str">
        <f t="shared" ca="1" si="0"/>
        <v>Expired</v>
      </c>
      <c r="AC26" s="13"/>
      <c r="AD26" s="12">
        <v>45686</v>
      </c>
      <c r="AE26" s="12">
        <v>45689</v>
      </c>
      <c r="AF26" s="12"/>
      <c r="AG26" s="12">
        <v>45692</v>
      </c>
      <c r="AH26" s="11"/>
      <c r="AI26" s="11">
        <v>45698</v>
      </c>
      <c r="AJ26" s="11"/>
      <c r="AK26" s="11"/>
      <c r="AL26" s="11"/>
      <c r="AM26" s="11"/>
      <c r="AN26" s="11">
        <v>45707</v>
      </c>
      <c r="AO26" s="11" t="str">
        <f t="shared" si="7"/>
        <v>BAST</v>
      </c>
      <c r="AP26" s="173"/>
      <c r="AQ26" s="12">
        <v>45691</v>
      </c>
      <c r="AR26" s="12">
        <v>45691</v>
      </c>
      <c r="AS26" s="12">
        <v>45691</v>
      </c>
      <c r="AT26" s="12"/>
      <c r="AU26" s="12">
        <v>45692</v>
      </c>
      <c r="AV26" s="12">
        <v>45701</v>
      </c>
      <c r="AW26" s="11" t="str">
        <f t="shared" si="1"/>
        <v>1st BOQ App on ISAAC</v>
      </c>
      <c r="AX26" s="12"/>
      <c r="AY26" s="12"/>
      <c r="AZ26" s="12"/>
      <c r="BA26" s="12"/>
      <c r="BB26" s="12"/>
      <c r="BC26" s="12"/>
      <c r="BD26" s="11" t="str">
        <f t="shared" si="2"/>
        <v>NY Submit</v>
      </c>
      <c r="BE26" s="174"/>
      <c r="BF26" s="12">
        <v>45689</v>
      </c>
      <c r="BG26" s="12">
        <v>45691</v>
      </c>
      <c r="BH26" s="12" t="s">
        <v>2611</v>
      </c>
      <c r="BI26" s="12">
        <v>45689</v>
      </c>
      <c r="BJ26" s="12">
        <v>45691</v>
      </c>
      <c r="BK26" s="174" t="s">
        <v>2612</v>
      </c>
      <c r="BL26" s="12" t="str">
        <f t="shared" si="3"/>
        <v>Approved</v>
      </c>
      <c r="BM26" s="12" t="str">
        <f t="shared" si="4"/>
        <v>Approved</v>
      </c>
      <c r="BN26" s="12">
        <v>45705</v>
      </c>
      <c r="BO26" s="12">
        <v>45722</v>
      </c>
      <c r="BP26" s="155" t="s">
        <v>1760</v>
      </c>
      <c r="BQ26" s="12" t="s">
        <v>2613</v>
      </c>
      <c r="BR26" s="12">
        <v>45730</v>
      </c>
      <c r="BS26" s="143">
        <f t="shared" ca="1" si="5"/>
        <v>29</v>
      </c>
      <c r="BT26" s="176"/>
      <c r="BU26" s="12"/>
      <c r="BV26" s="143">
        <f t="shared" ca="1" si="6"/>
        <v>0</v>
      </c>
      <c r="BW26" s="12"/>
      <c r="BX26" s="12"/>
      <c r="BY26" s="143"/>
      <c r="BZ26" s="13" t="s">
        <v>2500</v>
      </c>
      <c r="CA26" s="13"/>
      <c r="CB26" s="13"/>
      <c r="CC26" s="13"/>
      <c r="CD26" s="13"/>
      <c r="CE26" s="198"/>
      <c r="CF26" s="198"/>
      <c r="CG26" s="272"/>
      <c r="CH26" s="272"/>
      <c r="CI26" s="198"/>
      <c r="CJ26" s="198"/>
      <c r="CK26" s="198"/>
      <c r="CL26" s="198"/>
    </row>
    <row r="27" spans="1:90">
      <c r="A27" s="187">
        <v>22</v>
      </c>
      <c r="B27" s="190" t="s">
        <v>2486</v>
      </c>
      <c r="C27" s="190" t="s">
        <v>2487</v>
      </c>
      <c r="D27" s="190" t="s">
        <v>135</v>
      </c>
      <c r="E27" s="8" t="e">
        <f ca="1">+_xlfn.CONCAT(G27,"-",B27,"_",C27,"_",_xlfn.XLOOKUP(BP27,Account!M:M,Account!N:N))</f>
        <v>#NAME?</v>
      </c>
      <c r="F27" s="12">
        <v>45681</v>
      </c>
      <c r="G27" s="190" t="s">
        <v>2614</v>
      </c>
      <c r="H27" s="190" t="s">
        <v>2615</v>
      </c>
      <c r="I27" s="10" t="s">
        <v>2616</v>
      </c>
      <c r="J27" s="190">
        <v>3</v>
      </c>
      <c r="K27" s="190" t="s">
        <v>2038</v>
      </c>
      <c r="L27" s="190" t="s">
        <v>1396</v>
      </c>
      <c r="M27" s="190" t="s">
        <v>2617</v>
      </c>
      <c r="N27" s="10" t="s">
        <v>2618</v>
      </c>
      <c r="O27" s="169" t="s">
        <v>2619</v>
      </c>
      <c r="P27" s="170" t="s">
        <v>2620</v>
      </c>
      <c r="Q27" s="327">
        <v>22120.78</v>
      </c>
      <c r="R27" s="190">
        <v>55</v>
      </c>
      <c r="S27" s="190"/>
      <c r="T27" s="190" t="s">
        <v>2494</v>
      </c>
      <c r="U27" s="190" t="s">
        <v>2495</v>
      </c>
      <c r="V27" s="8" t="s">
        <v>1760</v>
      </c>
      <c r="W27" s="171" t="s">
        <v>1408</v>
      </c>
      <c r="X27" s="9">
        <v>82168704736</v>
      </c>
      <c r="Y27" s="12" t="s">
        <v>2496</v>
      </c>
      <c r="Z27" s="12">
        <v>45700</v>
      </c>
      <c r="AA27" s="12">
        <v>45707</v>
      </c>
      <c r="AB27" s="143" t="str">
        <f t="shared" ca="1" si="0"/>
        <v>Expired</v>
      </c>
      <c r="AC27" s="13"/>
      <c r="AD27" s="12">
        <v>45684</v>
      </c>
      <c r="AE27" s="12">
        <v>45687</v>
      </c>
      <c r="AF27" s="12"/>
      <c r="AG27" s="12">
        <v>45699</v>
      </c>
      <c r="AH27" s="11"/>
      <c r="AI27" s="11">
        <v>45705</v>
      </c>
      <c r="AJ27" s="11"/>
      <c r="AK27" s="11"/>
      <c r="AL27" s="11"/>
      <c r="AM27" s="11"/>
      <c r="AN27" s="11">
        <v>45712</v>
      </c>
      <c r="AO27" s="11" t="str">
        <f t="shared" si="7"/>
        <v>BAST</v>
      </c>
      <c r="AP27" s="173"/>
      <c r="AQ27" s="12">
        <v>45689</v>
      </c>
      <c r="AR27" s="12">
        <v>45689</v>
      </c>
      <c r="AS27" s="12">
        <v>45714</v>
      </c>
      <c r="AT27" s="12">
        <v>45714</v>
      </c>
      <c r="AU27" s="12">
        <v>45721</v>
      </c>
      <c r="AV27" s="12">
        <v>45721</v>
      </c>
      <c r="AW27" s="11" t="str">
        <f t="shared" si="1"/>
        <v>1st BOQ App on ISAAC</v>
      </c>
      <c r="AX27" s="12"/>
      <c r="AY27" s="12"/>
      <c r="AZ27" s="12"/>
      <c r="BA27" s="12"/>
      <c r="BB27" s="12"/>
      <c r="BC27" s="12"/>
      <c r="BD27" s="11" t="str">
        <f t="shared" si="2"/>
        <v>NY Submit</v>
      </c>
      <c r="BE27" s="174"/>
      <c r="BF27" s="12">
        <v>45686</v>
      </c>
      <c r="BG27" s="12">
        <v>45687</v>
      </c>
      <c r="BH27" s="12" t="s">
        <v>2621</v>
      </c>
      <c r="BI27" s="12">
        <v>45686</v>
      </c>
      <c r="BJ27" s="12">
        <v>45687</v>
      </c>
      <c r="BK27" s="174" t="s">
        <v>2622</v>
      </c>
      <c r="BL27" s="12" t="str">
        <f t="shared" si="3"/>
        <v>Approved</v>
      </c>
      <c r="BM27" s="12" t="str">
        <f t="shared" si="4"/>
        <v>Approved</v>
      </c>
      <c r="BN27" s="12">
        <v>45710</v>
      </c>
      <c r="BO27" s="12">
        <v>45712</v>
      </c>
      <c r="BP27" s="155" t="s">
        <v>1760</v>
      </c>
      <c r="BQ27" s="12" t="s">
        <v>2623</v>
      </c>
      <c r="BR27" s="12">
        <v>45736</v>
      </c>
      <c r="BS27" s="143">
        <f t="shared" ca="1" si="5"/>
        <v>15</v>
      </c>
      <c r="BT27" s="176"/>
      <c r="BU27" s="12"/>
      <c r="BV27" s="143">
        <f t="shared" ca="1" si="6"/>
        <v>0</v>
      </c>
      <c r="BW27" s="12"/>
      <c r="BX27" s="12"/>
      <c r="BY27" s="143"/>
      <c r="BZ27" s="13" t="s">
        <v>2500</v>
      </c>
      <c r="CA27" s="13"/>
      <c r="CB27" s="13"/>
      <c r="CC27" s="13"/>
      <c r="CD27" s="13"/>
      <c r="CE27" s="198"/>
      <c r="CF27" s="198"/>
      <c r="CG27" s="272"/>
      <c r="CH27" s="272"/>
      <c r="CI27" s="198"/>
      <c r="CJ27" s="198"/>
      <c r="CK27" s="198"/>
      <c r="CL27" s="198"/>
    </row>
    <row r="28" spans="1:90">
      <c r="A28" s="187">
        <v>23</v>
      </c>
      <c r="B28" s="190" t="s">
        <v>2486</v>
      </c>
      <c r="C28" s="190" t="s">
        <v>2487</v>
      </c>
      <c r="D28" s="190" t="s">
        <v>135</v>
      </c>
      <c r="E28" s="8" t="e">
        <f ca="1">+_xlfn.CONCAT(G28,"-",B28,"_",C28,"_",_xlfn.XLOOKUP(BP28,Account!M:M,Account!N:N))</f>
        <v>#NAME?</v>
      </c>
      <c r="F28" s="12">
        <v>45681</v>
      </c>
      <c r="G28" s="190" t="s">
        <v>2624</v>
      </c>
      <c r="H28" s="190" t="s">
        <v>2625</v>
      </c>
      <c r="I28" s="10" t="s">
        <v>2626</v>
      </c>
      <c r="J28" s="190">
        <v>3</v>
      </c>
      <c r="K28" s="190" t="s">
        <v>2038</v>
      </c>
      <c r="L28" s="190" t="s">
        <v>1396</v>
      </c>
      <c r="M28" s="190" t="s">
        <v>2627</v>
      </c>
      <c r="N28" s="10" t="s">
        <v>2628</v>
      </c>
      <c r="O28" s="169" t="s">
        <v>2629</v>
      </c>
      <c r="P28" s="170" t="s">
        <v>2630</v>
      </c>
      <c r="Q28" s="327">
        <v>22120.78</v>
      </c>
      <c r="R28" s="190">
        <v>70</v>
      </c>
      <c r="S28" s="190"/>
      <c r="T28" s="190" t="s">
        <v>2494</v>
      </c>
      <c r="U28" s="190" t="s">
        <v>2495</v>
      </c>
      <c r="V28" s="8" t="s">
        <v>1760</v>
      </c>
      <c r="W28" s="171" t="s">
        <v>1408</v>
      </c>
      <c r="X28" s="9">
        <v>82168704736</v>
      </c>
      <c r="Y28" s="12" t="s">
        <v>2496</v>
      </c>
      <c r="Z28" s="12">
        <v>45700</v>
      </c>
      <c r="AA28" s="12">
        <v>45707</v>
      </c>
      <c r="AB28" s="143" t="str">
        <f t="shared" ca="1" si="0"/>
        <v>Expired</v>
      </c>
      <c r="AC28" s="13"/>
      <c r="AD28" s="12">
        <v>45684</v>
      </c>
      <c r="AE28" s="12">
        <v>45687</v>
      </c>
      <c r="AF28" s="12"/>
      <c r="AG28" s="12">
        <v>45696</v>
      </c>
      <c r="AH28" s="11"/>
      <c r="AI28" s="11">
        <v>45712</v>
      </c>
      <c r="AJ28" s="11"/>
      <c r="AK28" s="11"/>
      <c r="AL28" s="11"/>
      <c r="AM28" s="11"/>
      <c r="AN28" s="11">
        <v>45713</v>
      </c>
      <c r="AO28" s="11" t="str">
        <f t="shared" si="7"/>
        <v>BAST</v>
      </c>
      <c r="AP28" s="173"/>
      <c r="AQ28" s="12">
        <v>45689</v>
      </c>
      <c r="AR28" s="12">
        <v>45689</v>
      </c>
      <c r="AS28" s="12">
        <v>45714</v>
      </c>
      <c r="AT28" s="12">
        <v>45714</v>
      </c>
      <c r="AU28" s="12">
        <v>45721</v>
      </c>
      <c r="AV28" s="12">
        <v>45721</v>
      </c>
      <c r="AW28" s="11" t="str">
        <f t="shared" si="1"/>
        <v>1st BOQ App on ISAAC</v>
      </c>
      <c r="AX28" s="12"/>
      <c r="AY28" s="12"/>
      <c r="AZ28" s="12"/>
      <c r="BA28" s="12"/>
      <c r="BB28" s="12"/>
      <c r="BC28" s="12"/>
      <c r="BD28" s="11" t="str">
        <f t="shared" si="2"/>
        <v>NY Submit</v>
      </c>
      <c r="BE28" s="174"/>
      <c r="BF28" s="12">
        <v>45685</v>
      </c>
      <c r="BG28" s="12">
        <v>45687</v>
      </c>
      <c r="BH28" s="12" t="s">
        <v>2631</v>
      </c>
      <c r="BI28" s="12">
        <v>45685</v>
      </c>
      <c r="BJ28" s="12">
        <v>45687</v>
      </c>
      <c r="BK28" s="174" t="s">
        <v>2632</v>
      </c>
      <c r="BL28" s="12" t="str">
        <f t="shared" si="3"/>
        <v>Approved</v>
      </c>
      <c r="BM28" s="12" t="str">
        <f t="shared" si="4"/>
        <v>Approved</v>
      </c>
      <c r="BN28" s="12">
        <v>45713</v>
      </c>
      <c r="BO28" s="12">
        <v>45713</v>
      </c>
      <c r="BP28" s="155" t="s">
        <v>1760</v>
      </c>
      <c r="BQ28" s="12" t="s">
        <v>2633</v>
      </c>
      <c r="BR28" s="12">
        <v>45736</v>
      </c>
      <c r="BS28" s="143">
        <f t="shared" ca="1" si="5"/>
        <v>15</v>
      </c>
      <c r="BT28" s="176"/>
      <c r="BU28" s="12"/>
      <c r="BV28" s="143">
        <f t="shared" ca="1" si="6"/>
        <v>0</v>
      </c>
      <c r="BW28" s="12"/>
      <c r="BX28" s="12"/>
      <c r="BY28" s="143"/>
      <c r="BZ28" s="13" t="s">
        <v>2500</v>
      </c>
      <c r="CA28" s="13"/>
      <c r="CB28" s="13"/>
      <c r="CC28" s="13"/>
      <c r="CD28" s="13"/>
      <c r="CE28" s="198"/>
      <c r="CF28" s="198"/>
      <c r="CG28" s="272"/>
      <c r="CH28" s="272"/>
      <c r="CI28" s="198"/>
      <c r="CJ28" s="198"/>
      <c r="CK28" s="198"/>
      <c r="CL28" s="198"/>
    </row>
    <row r="29" spans="1:90">
      <c r="A29" s="187">
        <v>24</v>
      </c>
      <c r="B29" s="190" t="s">
        <v>2486</v>
      </c>
      <c r="C29" s="190" t="s">
        <v>2487</v>
      </c>
      <c r="D29" s="190" t="s">
        <v>135</v>
      </c>
      <c r="E29" s="8" t="e">
        <f ca="1">+_xlfn.CONCAT(G29,"-",B29,"_",C29,"_",_xlfn.XLOOKUP(BP29,Account!M:M,Account!N:N))</f>
        <v>#NAME?</v>
      </c>
      <c r="F29" s="12">
        <v>45681</v>
      </c>
      <c r="G29" s="190" t="s">
        <v>2634</v>
      </c>
      <c r="H29" s="190" t="s">
        <v>2635</v>
      </c>
      <c r="I29" s="10" t="s">
        <v>2636</v>
      </c>
      <c r="J29" s="190">
        <v>19</v>
      </c>
      <c r="K29" s="190" t="s">
        <v>2038</v>
      </c>
      <c r="L29" s="190" t="s">
        <v>1381</v>
      </c>
      <c r="M29" s="190" t="s">
        <v>2637</v>
      </c>
      <c r="N29" s="10" t="s">
        <v>2638</v>
      </c>
      <c r="O29" s="169" t="s">
        <v>2639</v>
      </c>
      <c r="P29" s="170" t="s">
        <v>2640</v>
      </c>
      <c r="Q29" s="327">
        <v>22120.78</v>
      </c>
      <c r="R29" s="190">
        <v>70</v>
      </c>
      <c r="S29" s="190"/>
      <c r="T29" s="190" t="s">
        <v>2494</v>
      </c>
      <c r="U29" s="190" t="s">
        <v>2495</v>
      </c>
      <c r="V29" s="8" t="s">
        <v>1760</v>
      </c>
      <c r="W29" s="171" t="s">
        <v>1378</v>
      </c>
      <c r="X29" s="171">
        <v>82195397250</v>
      </c>
      <c r="Y29" s="12" t="s">
        <v>2496</v>
      </c>
      <c r="Z29" s="12">
        <v>45700</v>
      </c>
      <c r="AA29" s="12">
        <v>45707</v>
      </c>
      <c r="AB29" s="143" t="str">
        <f t="shared" ca="1" si="0"/>
        <v>Expired</v>
      </c>
      <c r="AC29" s="13"/>
      <c r="AD29" s="12">
        <v>45687</v>
      </c>
      <c r="AE29" s="12">
        <v>45687</v>
      </c>
      <c r="AF29" s="12"/>
      <c r="AG29" s="12">
        <v>45699</v>
      </c>
      <c r="AH29" s="11"/>
      <c r="AI29" s="11">
        <v>45742</v>
      </c>
      <c r="AJ29" s="11"/>
      <c r="AK29" s="11"/>
      <c r="AL29" s="11"/>
      <c r="AM29" s="11"/>
      <c r="AN29" s="11">
        <v>45742</v>
      </c>
      <c r="AO29" s="11" t="str">
        <f t="shared" si="7"/>
        <v>BAST</v>
      </c>
      <c r="AP29" s="173"/>
      <c r="AQ29" s="12">
        <v>45689</v>
      </c>
      <c r="AR29" s="12">
        <v>45689</v>
      </c>
      <c r="AS29" s="12">
        <v>45714</v>
      </c>
      <c r="AT29" s="12">
        <v>45714</v>
      </c>
      <c r="AU29" s="12">
        <v>45707</v>
      </c>
      <c r="AV29" s="12">
        <v>45707</v>
      </c>
      <c r="AW29" s="11" t="str">
        <f t="shared" si="1"/>
        <v>1st BOQ App on ISAAC</v>
      </c>
      <c r="AX29" s="12"/>
      <c r="AY29" s="12"/>
      <c r="AZ29" s="12"/>
      <c r="BA29" s="12"/>
      <c r="BB29" s="12"/>
      <c r="BC29" s="12"/>
      <c r="BD29" s="11" t="str">
        <f t="shared" si="2"/>
        <v>NY Submit</v>
      </c>
      <c r="BE29" s="174"/>
      <c r="BF29" s="12">
        <v>45687</v>
      </c>
      <c r="BG29" s="12">
        <v>45687</v>
      </c>
      <c r="BH29" s="12" t="s">
        <v>2641</v>
      </c>
      <c r="BI29" s="12">
        <v>45687</v>
      </c>
      <c r="BJ29" s="12">
        <v>45687</v>
      </c>
      <c r="BK29" s="174" t="s">
        <v>2642</v>
      </c>
      <c r="BL29" s="12" t="str">
        <f t="shared" si="3"/>
        <v>Approved</v>
      </c>
      <c r="BM29" s="12" t="str">
        <f t="shared" si="4"/>
        <v>Approved</v>
      </c>
      <c r="BN29" s="12">
        <v>45761</v>
      </c>
      <c r="BO29" s="12">
        <v>45761</v>
      </c>
      <c r="BP29" s="155" t="s">
        <v>1760</v>
      </c>
      <c r="BQ29" s="12" t="s">
        <v>2643</v>
      </c>
      <c r="BR29" s="12">
        <v>45736</v>
      </c>
      <c r="BS29" s="143">
        <f t="shared" ca="1" si="5"/>
        <v>29</v>
      </c>
      <c r="BT29" s="176"/>
      <c r="BU29" s="12"/>
      <c r="BV29" s="143">
        <f t="shared" ca="1" si="6"/>
        <v>0</v>
      </c>
      <c r="BW29" s="12"/>
      <c r="BX29" s="12"/>
      <c r="BY29" s="143"/>
      <c r="BZ29" s="13" t="s">
        <v>2500</v>
      </c>
      <c r="CA29" s="13"/>
      <c r="CB29" s="13"/>
      <c r="CC29" s="13"/>
      <c r="CD29" s="13"/>
      <c r="CE29" s="198"/>
      <c r="CF29" s="198"/>
      <c r="CG29" s="272"/>
      <c r="CH29" s="272"/>
      <c r="CI29" s="198"/>
      <c r="CJ29" s="198"/>
      <c r="CK29" s="198"/>
      <c r="CL29" s="198"/>
    </row>
    <row r="30" spans="1:90">
      <c r="A30" s="187">
        <v>25</v>
      </c>
      <c r="B30" s="190" t="s">
        <v>2486</v>
      </c>
      <c r="C30" s="190" t="s">
        <v>2487</v>
      </c>
      <c r="D30" s="190" t="s">
        <v>135</v>
      </c>
      <c r="E30" s="8" t="e">
        <f ca="1">+_xlfn.CONCAT(G30,"-",B30,"_",C30,"_",_xlfn.XLOOKUP(BP30,Account!M:M,Account!N:N))</f>
        <v>#NAME?</v>
      </c>
      <c r="F30" s="12">
        <v>45681</v>
      </c>
      <c r="G30" s="190" t="s">
        <v>2644</v>
      </c>
      <c r="H30" s="190" t="s">
        <v>2645</v>
      </c>
      <c r="I30" s="10" t="s">
        <v>2646</v>
      </c>
      <c r="J30" s="190">
        <v>19</v>
      </c>
      <c r="K30" s="190" t="s">
        <v>2038</v>
      </c>
      <c r="L30" s="190" t="s">
        <v>1367</v>
      </c>
      <c r="M30" s="190" t="s">
        <v>2647</v>
      </c>
      <c r="N30" s="10" t="s">
        <v>2648</v>
      </c>
      <c r="O30" s="175">
        <v>-5.2587999999999999</v>
      </c>
      <c r="P30" s="190">
        <v>120.15962</v>
      </c>
      <c r="Q30" s="327">
        <v>22120.78</v>
      </c>
      <c r="R30" s="190">
        <v>70</v>
      </c>
      <c r="S30" s="190"/>
      <c r="T30" s="190" t="s">
        <v>2494</v>
      </c>
      <c r="U30" s="190" t="s">
        <v>2495</v>
      </c>
      <c r="V30" s="8" t="s">
        <v>1760</v>
      </c>
      <c r="W30" s="171" t="s">
        <v>1378</v>
      </c>
      <c r="X30" s="171">
        <v>82195397250</v>
      </c>
      <c r="Y30" s="12" t="s">
        <v>2496</v>
      </c>
      <c r="Z30" s="12">
        <v>45700</v>
      </c>
      <c r="AA30" s="12">
        <v>45707</v>
      </c>
      <c r="AB30" s="143" t="str">
        <f t="shared" ca="1" si="0"/>
        <v>Expired</v>
      </c>
      <c r="AC30" s="13"/>
      <c r="AD30" s="12">
        <v>45683</v>
      </c>
      <c r="AE30" s="12">
        <v>45687</v>
      </c>
      <c r="AF30" s="12"/>
      <c r="AG30" s="12">
        <v>45699</v>
      </c>
      <c r="AH30" s="11"/>
      <c r="AI30" s="11">
        <v>45716</v>
      </c>
      <c r="AJ30" s="11"/>
      <c r="AK30" s="11"/>
      <c r="AL30" s="11"/>
      <c r="AM30" s="11"/>
      <c r="AN30" s="11">
        <v>45727</v>
      </c>
      <c r="AO30" s="11" t="str">
        <f t="shared" si="7"/>
        <v>BAST</v>
      </c>
      <c r="AP30" s="173"/>
      <c r="AQ30" s="12">
        <v>45689</v>
      </c>
      <c r="AR30" s="12">
        <v>45689</v>
      </c>
      <c r="AS30" s="12">
        <v>45714</v>
      </c>
      <c r="AT30" s="12">
        <v>45714</v>
      </c>
      <c r="AU30" s="12">
        <v>45721</v>
      </c>
      <c r="AV30" s="12">
        <v>45721</v>
      </c>
      <c r="AW30" s="11" t="str">
        <f t="shared" si="1"/>
        <v>1st BOQ App on ISAAC</v>
      </c>
      <c r="AX30" s="12"/>
      <c r="AY30" s="12"/>
      <c r="AZ30" s="12"/>
      <c r="BA30" s="12"/>
      <c r="BB30" s="12"/>
      <c r="BC30" s="12"/>
      <c r="BD30" s="11" t="str">
        <f t="shared" si="2"/>
        <v>NY Submit</v>
      </c>
      <c r="BE30" s="174"/>
      <c r="BF30" s="12">
        <v>45686</v>
      </c>
      <c r="BG30" s="12">
        <v>45687</v>
      </c>
      <c r="BH30" s="12" t="s">
        <v>2649</v>
      </c>
      <c r="BI30" s="12">
        <v>45686</v>
      </c>
      <c r="BJ30" s="12">
        <v>45687</v>
      </c>
      <c r="BK30" s="174" t="s">
        <v>2650</v>
      </c>
      <c r="BL30" s="12" t="str">
        <f t="shared" si="3"/>
        <v>Approved</v>
      </c>
      <c r="BM30" s="12" t="str">
        <f t="shared" si="4"/>
        <v>Approved</v>
      </c>
      <c r="BN30" s="12">
        <v>45727</v>
      </c>
      <c r="BO30" s="12">
        <v>45727</v>
      </c>
      <c r="BP30" s="155" t="s">
        <v>1760</v>
      </c>
      <c r="BQ30" s="12" t="s">
        <v>2651</v>
      </c>
      <c r="BR30" s="12">
        <v>45736</v>
      </c>
      <c r="BS30" s="143">
        <f t="shared" ca="1" si="5"/>
        <v>15</v>
      </c>
      <c r="BT30" s="176"/>
      <c r="BU30" s="12"/>
      <c r="BV30" s="143">
        <f t="shared" ca="1" si="6"/>
        <v>0</v>
      </c>
      <c r="BW30" s="12"/>
      <c r="BX30" s="12"/>
      <c r="BY30" s="143"/>
      <c r="BZ30" s="13" t="s">
        <v>2500</v>
      </c>
      <c r="CA30" s="13"/>
      <c r="CB30" s="13"/>
      <c r="CC30" s="13"/>
      <c r="CD30" s="13"/>
      <c r="CE30" s="198"/>
      <c r="CF30" s="198"/>
      <c r="CG30" s="272"/>
      <c r="CH30" s="272"/>
      <c r="CI30" s="198"/>
      <c r="CJ30" s="198"/>
      <c r="CK30" s="198"/>
      <c r="CL30" s="198"/>
    </row>
    <row r="31" spans="1:90">
      <c r="A31" s="187">
        <v>26</v>
      </c>
      <c r="B31" s="190" t="s">
        <v>2486</v>
      </c>
      <c r="C31" s="190" t="s">
        <v>2487</v>
      </c>
      <c r="D31" s="190" t="s">
        <v>135</v>
      </c>
      <c r="E31" s="8" t="e">
        <f ca="1">+_xlfn.CONCAT(G31,"-",B31,"_",C31,"_",_xlfn.XLOOKUP(BP31,Account!M:M,Account!N:N))</f>
        <v>#NAME?</v>
      </c>
      <c r="F31" s="12">
        <v>45681</v>
      </c>
      <c r="G31" s="190" t="s">
        <v>2652</v>
      </c>
      <c r="H31" s="190" t="s">
        <v>2653</v>
      </c>
      <c r="I31" s="10" t="s">
        <v>2654</v>
      </c>
      <c r="J31" s="190">
        <v>19</v>
      </c>
      <c r="K31" s="190" t="s">
        <v>2038</v>
      </c>
      <c r="L31" s="190" t="s">
        <v>2655</v>
      </c>
      <c r="M31" s="190" t="s">
        <v>2656</v>
      </c>
      <c r="N31" s="10" t="s">
        <v>2657</v>
      </c>
      <c r="O31" s="169" t="s">
        <v>2658</v>
      </c>
      <c r="P31" s="170" t="s">
        <v>2659</v>
      </c>
      <c r="Q31" s="327">
        <v>22120.78</v>
      </c>
      <c r="R31" s="190">
        <v>70</v>
      </c>
      <c r="S31" s="190"/>
      <c r="T31" s="190" t="s">
        <v>2494</v>
      </c>
      <c r="U31" s="190" t="s">
        <v>2495</v>
      </c>
      <c r="V31" s="8" t="s">
        <v>1760</v>
      </c>
      <c r="W31" s="171" t="s">
        <v>1378</v>
      </c>
      <c r="X31" s="171">
        <v>82195397250</v>
      </c>
      <c r="Y31" s="12" t="s">
        <v>2496</v>
      </c>
      <c r="Z31" s="12">
        <v>45700</v>
      </c>
      <c r="AA31" s="12">
        <v>45707</v>
      </c>
      <c r="AB31" s="143" t="str">
        <f t="shared" ca="1" si="0"/>
        <v>Expired</v>
      </c>
      <c r="AC31" s="13"/>
      <c r="AD31" s="12">
        <v>45687</v>
      </c>
      <c r="AE31" s="12">
        <v>45687</v>
      </c>
      <c r="AF31" s="12"/>
      <c r="AG31" s="12">
        <v>45699</v>
      </c>
      <c r="AH31" s="11"/>
      <c r="AI31" s="11">
        <v>45719</v>
      </c>
      <c r="AJ31" s="11"/>
      <c r="AK31" s="11"/>
      <c r="AL31" s="11"/>
      <c r="AM31" s="11"/>
      <c r="AN31" s="11">
        <v>45719</v>
      </c>
      <c r="AO31" s="11" t="str">
        <f t="shared" si="7"/>
        <v>BAST</v>
      </c>
      <c r="AP31" s="173"/>
      <c r="AQ31" s="12">
        <v>45689</v>
      </c>
      <c r="AR31" s="12">
        <v>45689</v>
      </c>
      <c r="AS31" s="12">
        <v>45714</v>
      </c>
      <c r="AT31" s="12">
        <v>45714</v>
      </c>
      <c r="AU31" s="12">
        <v>45698</v>
      </c>
      <c r="AV31" s="12">
        <v>45698</v>
      </c>
      <c r="AW31" s="11" t="str">
        <f t="shared" si="1"/>
        <v>1st BOQ App on ISAAC</v>
      </c>
      <c r="AX31" s="12"/>
      <c r="AY31" s="12"/>
      <c r="AZ31" s="12"/>
      <c r="BA31" s="12"/>
      <c r="BB31" s="12"/>
      <c r="BC31" s="12"/>
      <c r="BD31" s="11" t="str">
        <f t="shared" si="2"/>
        <v>NY Submit</v>
      </c>
      <c r="BE31" s="174"/>
      <c r="BF31" s="12">
        <v>45687</v>
      </c>
      <c r="BG31" s="12">
        <v>45687</v>
      </c>
      <c r="BH31" s="12" t="s">
        <v>2660</v>
      </c>
      <c r="BI31" s="12">
        <v>45687</v>
      </c>
      <c r="BJ31" s="12">
        <v>45687</v>
      </c>
      <c r="BK31" s="174" t="s">
        <v>2661</v>
      </c>
      <c r="BL31" s="12" t="str">
        <f t="shared" si="3"/>
        <v>Approved</v>
      </c>
      <c r="BM31" s="12" t="str">
        <f t="shared" si="4"/>
        <v>Approved</v>
      </c>
      <c r="BN31" s="12">
        <v>45719</v>
      </c>
      <c r="BO31" s="12">
        <v>45719</v>
      </c>
      <c r="BP31" s="155" t="s">
        <v>1760</v>
      </c>
      <c r="BQ31" s="12" t="s">
        <v>2662</v>
      </c>
      <c r="BR31" s="12">
        <v>45736</v>
      </c>
      <c r="BS31" s="143">
        <f t="shared" ca="1" si="5"/>
        <v>38</v>
      </c>
      <c r="BT31" s="176"/>
      <c r="BU31" s="12"/>
      <c r="BV31" s="143">
        <f t="shared" ca="1" si="6"/>
        <v>0</v>
      </c>
      <c r="BW31" s="12"/>
      <c r="BX31" s="12"/>
      <c r="BY31" s="143"/>
      <c r="BZ31" s="13" t="s">
        <v>2500</v>
      </c>
      <c r="CA31" s="13"/>
      <c r="CB31" s="13"/>
      <c r="CC31" s="13"/>
      <c r="CD31" s="13"/>
      <c r="CE31" s="198"/>
      <c r="CF31" s="198"/>
      <c r="CG31" s="272"/>
      <c r="CH31" s="272"/>
      <c r="CI31" s="198"/>
      <c r="CJ31" s="198"/>
      <c r="CK31" s="198"/>
      <c r="CL31" s="198"/>
    </row>
    <row r="32" spans="1:90">
      <c r="A32" s="187">
        <v>27</v>
      </c>
      <c r="B32" s="190" t="s">
        <v>2486</v>
      </c>
      <c r="C32" s="190" t="s">
        <v>2487</v>
      </c>
      <c r="D32" s="190" t="s">
        <v>135</v>
      </c>
      <c r="E32" s="8" t="e">
        <f ca="1">+_xlfn.CONCAT(G32,"-",B32,"_",C32,"_",_xlfn.XLOOKUP(BP32,Account!M:M,Account!N:N))</f>
        <v>#NAME?</v>
      </c>
      <c r="F32" s="12">
        <v>45681</v>
      </c>
      <c r="G32" s="190" t="s">
        <v>2663</v>
      </c>
      <c r="H32" s="190" t="s">
        <v>2664</v>
      </c>
      <c r="I32" s="10" t="s">
        <v>2665</v>
      </c>
      <c r="J32" s="190">
        <v>16</v>
      </c>
      <c r="K32" s="190" t="s">
        <v>2486</v>
      </c>
      <c r="L32" s="190" t="s">
        <v>1230</v>
      </c>
      <c r="M32" s="190" t="s">
        <v>2666</v>
      </c>
      <c r="N32" s="10" t="s">
        <v>2667</v>
      </c>
      <c r="O32" s="169" t="s">
        <v>2668</v>
      </c>
      <c r="P32" s="170" t="s">
        <v>2669</v>
      </c>
      <c r="Q32" s="327"/>
      <c r="R32" s="190">
        <v>9</v>
      </c>
      <c r="S32" s="190"/>
      <c r="T32" s="190" t="s">
        <v>2518</v>
      </c>
      <c r="U32" s="190" t="s">
        <v>2565</v>
      </c>
      <c r="V32" s="8" t="s">
        <v>1760</v>
      </c>
      <c r="W32" s="10"/>
      <c r="X32" s="8"/>
      <c r="Y32" s="12" t="s">
        <v>2432</v>
      </c>
      <c r="Z32" s="12">
        <v>45700</v>
      </c>
      <c r="AA32" s="12">
        <v>45707</v>
      </c>
      <c r="AB32" s="143" t="str">
        <f t="shared" ca="1" si="0"/>
        <v>Expired</v>
      </c>
      <c r="AC32" s="13"/>
      <c r="AD32" s="12">
        <v>45688</v>
      </c>
      <c r="AE32" s="12">
        <v>45691</v>
      </c>
      <c r="AF32" s="12"/>
      <c r="AG32" s="12">
        <v>45915</v>
      </c>
      <c r="AH32" s="11"/>
      <c r="AI32" s="11">
        <v>45922</v>
      </c>
      <c r="AJ32" s="11"/>
      <c r="AK32" s="11"/>
      <c r="AL32" s="11"/>
      <c r="AM32" s="11">
        <v>45965</v>
      </c>
      <c r="AN32" s="11">
        <v>45965</v>
      </c>
      <c r="AO32" s="11" t="str">
        <f t="shared" si="7"/>
        <v>BAST</v>
      </c>
      <c r="AP32" s="173"/>
      <c r="AQ32" s="12">
        <v>45691</v>
      </c>
      <c r="AR32" s="12">
        <v>45691</v>
      </c>
      <c r="AS32" s="12">
        <v>45691</v>
      </c>
      <c r="AT32" s="12"/>
      <c r="AU32" s="12">
        <v>45692</v>
      </c>
      <c r="AV32" s="12">
        <v>45699</v>
      </c>
      <c r="AW32" s="11" t="str">
        <f t="shared" si="1"/>
        <v>1st BOQ App on ISAAC</v>
      </c>
      <c r="AX32" s="12"/>
      <c r="AY32" s="12"/>
      <c r="AZ32" s="12"/>
      <c r="BA32" s="12"/>
      <c r="BB32" s="12"/>
      <c r="BC32" s="12"/>
      <c r="BD32" s="11" t="str">
        <f t="shared" si="2"/>
        <v>NY Submit</v>
      </c>
      <c r="BE32" s="174"/>
      <c r="BF32" s="12">
        <v>45691</v>
      </c>
      <c r="BG32" s="12">
        <v>45691</v>
      </c>
      <c r="BH32" s="12" t="s">
        <v>2670</v>
      </c>
      <c r="BI32" s="12">
        <v>45691</v>
      </c>
      <c r="BJ32" s="12">
        <v>45691</v>
      </c>
      <c r="BK32" s="174" t="s">
        <v>2671</v>
      </c>
      <c r="BL32" s="12" t="str">
        <f t="shared" si="3"/>
        <v>Approved</v>
      </c>
      <c r="BM32" s="12" t="str">
        <f t="shared" si="4"/>
        <v>Approved</v>
      </c>
      <c r="BN32" s="12">
        <v>45966</v>
      </c>
      <c r="BO32" s="12">
        <v>45966</v>
      </c>
      <c r="BP32" s="155" t="s">
        <v>1760</v>
      </c>
      <c r="BQ32" s="12" t="s">
        <v>2672</v>
      </c>
      <c r="BR32" s="12">
        <v>45726</v>
      </c>
      <c r="BS32" s="143">
        <f t="shared" ca="1" si="5"/>
        <v>27</v>
      </c>
      <c r="BT32" s="176"/>
      <c r="BU32" s="12"/>
      <c r="BV32" s="143">
        <f t="shared" ca="1" si="6"/>
        <v>0</v>
      </c>
      <c r="BW32" s="12"/>
      <c r="BX32" s="12"/>
      <c r="BY32" s="143"/>
      <c r="BZ32" s="13" t="s">
        <v>2500</v>
      </c>
      <c r="CA32" s="13"/>
      <c r="CB32" s="13"/>
      <c r="CC32" s="13"/>
      <c r="CD32" s="13"/>
      <c r="CE32" s="198"/>
      <c r="CF32" s="198"/>
      <c r="CG32" s="272"/>
      <c r="CH32" s="272"/>
      <c r="CI32" s="198"/>
      <c r="CJ32" s="198"/>
      <c r="CK32" s="198"/>
      <c r="CL32" s="198"/>
    </row>
    <row r="33" spans="1:90">
      <c r="A33" s="187">
        <v>28</v>
      </c>
      <c r="B33" s="190" t="s">
        <v>2486</v>
      </c>
      <c r="C33" s="190" t="s">
        <v>2487</v>
      </c>
      <c r="D33" s="190" t="s">
        <v>135</v>
      </c>
      <c r="E33" s="8" t="e">
        <f ca="1">+_xlfn.CONCAT(G33,"-",B33,"_",C33,"_",_xlfn.XLOOKUP(BP33,Account!M:M,Account!N:N))</f>
        <v>#NAME?</v>
      </c>
      <c r="F33" s="12">
        <v>45681</v>
      </c>
      <c r="G33" s="190" t="s">
        <v>2673</v>
      </c>
      <c r="H33" s="190" t="s">
        <v>2674</v>
      </c>
      <c r="I33" s="10" t="s">
        <v>2675</v>
      </c>
      <c r="J33" s="190">
        <v>15</v>
      </c>
      <c r="K33" s="190" t="s">
        <v>2038</v>
      </c>
      <c r="L33" s="190" t="s">
        <v>1279</v>
      </c>
      <c r="M33" s="190" t="s">
        <v>2676</v>
      </c>
      <c r="N33" s="10" t="s">
        <v>2677</v>
      </c>
      <c r="O33" s="169" t="s">
        <v>2678</v>
      </c>
      <c r="P33" s="170" t="s">
        <v>2679</v>
      </c>
      <c r="Q33" s="327">
        <v>793</v>
      </c>
      <c r="R33" s="190">
        <v>6</v>
      </c>
      <c r="S33" s="190"/>
      <c r="T33" s="190" t="s">
        <v>2518</v>
      </c>
      <c r="U33" s="190" t="s">
        <v>2565</v>
      </c>
      <c r="V33" s="8" t="s">
        <v>1760</v>
      </c>
      <c r="W33" s="10"/>
      <c r="X33" s="8"/>
      <c r="Y33" s="12" t="s">
        <v>2496</v>
      </c>
      <c r="Z33" s="12">
        <v>45692</v>
      </c>
      <c r="AA33" s="12">
        <v>45700</v>
      </c>
      <c r="AB33" s="143" t="str">
        <f t="shared" ca="1" si="0"/>
        <v>Expired</v>
      </c>
      <c r="AC33" s="13"/>
      <c r="AD33" s="12">
        <v>45692</v>
      </c>
      <c r="AE33" s="12">
        <v>45693</v>
      </c>
      <c r="AF33" s="12"/>
      <c r="AG33" s="12">
        <v>45699</v>
      </c>
      <c r="AH33" s="11"/>
      <c r="AI33" s="11">
        <v>45709</v>
      </c>
      <c r="AJ33" s="11"/>
      <c r="AK33" s="11"/>
      <c r="AL33" s="11"/>
      <c r="AM33" s="11"/>
      <c r="AN33" s="11">
        <v>45730</v>
      </c>
      <c r="AO33" s="11" t="str">
        <f t="shared" si="7"/>
        <v>BAST</v>
      </c>
      <c r="AP33" s="173"/>
      <c r="AQ33" s="12">
        <v>45693</v>
      </c>
      <c r="AR33" s="12">
        <v>45693</v>
      </c>
      <c r="AS33" s="12">
        <v>45708</v>
      </c>
      <c r="AT33" s="12"/>
      <c r="AU33" s="12">
        <v>45721</v>
      </c>
      <c r="AV33" s="12">
        <v>45722</v>
      </c>
      <c r="AW33" s="11" t="str">
        <f t="shared" si="1"/>
        <v>1st BOQ App on ISAAC</v>
      </c>
      <c r="AX33" s="12"/>
      <c r="AY33" s="12"/>
      <c r="AZ33" s="12"/>
      <c r="BA33" s="12"/>
      <c r="BB33" s="12"/>
      <c r="BC33" s="12"/>
      <c r="BD33" s="11" t="str">
        <f t="shared" si="2"/>
        <v>NY Submit</v>
      </c>
      <c r="BE33" s="174"/>
      <c r="BF33" s="12">
        <v>45693</v>
      </c>
      <c r="BG33" s="12">
        <v>45693</v>
      </c>
      <c r="BH33" s="12" t="s">
        <v>2680</v>
      </c>
      <c r="BI33" s="12">
        <v>45693</v>
      </c>
      <c r="BJ33" s="12">
        <v>45693</v>
      </c>
      <c r="BK33" s="174" t="s">
        <v>2681</v>
      </c>
      <c r="BL33" s="12" t="str">
        <f t="shared" si="3"/>
        <v>Approved</v>
      </c>
      <c r="BM33" s="12" t="str">
        <f t="shared" si="4"/>
        <v>Approved</v>
      </c>
      <c r="BN33" s="12">
        <v>45712</v>
      </c>
      <c r="BO33" s="12">
        <v>45712</v>
      </c>
      <c r="BP33" s="155" t="s">
        <v>1760</v>
      </c>
      <c r="BQ33" s="12" t="s">
        <v>2682</v>
      </c>
      <c r="BR33" s="12">
        <v>45740</v>
      </c>
      <c r="BS33" s="143">
        <f t="shared" ca="1" si="5"/>
        <v>18</v>
      </c>
      <c r="BT33" s="176"/>
      <c r="BU33" s="12"/>
      <c r="BV33" s="143">
        <f t="shared" ca="1" si="6"/>
        <v>0</v>
      </c>
      <c r="BW33" s="12"/>
      <c r="BX33" s="12"/>
      <c r="BY33" s="143"/>
      <c r="BZ33" s="13" t="s">
        <v>2500</v>
      </c>
      <c r="CA33" s="13"/>
      <c r="CB33" s="13"/>
      <c r="CC33" s="13"/>
      <c r="CD33" s="13"/>
      <c r="CE33" s="198"/>
      <c r="CF33" s="198"/>
      <c r="CG33" s="272"/>
      <c r="CH33" s="272"/>
      <c r="CI33" s="198"/>
      <c r="CJ33" s="198"/>
      <c r="CK33" s="198"/>
      <c r="CL33" s="198"/>
    </row>
    <row r="34" spans="1:90">
      <c r="A34" s="187">
        <v>29</v>
      </c>
      <c r="B34" s="190" t="s">
        <v>2486</v>
      </c>
      <c r="C34" s="190" t="s">
        <v>2487</v>
      </c>
      <c r="D34" s="190" t="s">
        <v>135</v>
      </c>
      <c r="E34" s="8" t="e">
        <f ca="1">+_xlfn.CONCAT(G34,"-",B34,"_",C34,"_",_xlfn.XLOOKUP(BP34,Account!M:M,Account!N:N))</f>
        <v>#NAME?</v>
      </c>
      <c r="F34" s="12">
        <v>45681</v>
      </c>
      <c r="G34" s="190" t="s">
        <v>2683</v>
      </c>
      <c r="H34" s="190" t="s">
        <v>2684</v>
      </c>
      <c r="I34" s="10" t="s">
        <v>2685</v>
      </c>
      <c r="J34" s="190">
        <v>11</v>
      </c>
      <c r="K34" s="190" t="s">
        <v>2038</v>
      </c>
      <c r="L34" s="190" t="s">
        <v>1263</v>
      </c>
      <c r="M34" s="190" t="s">
        <v>2686</v>
      </c>
      <c r="N34" s="10" t="s">
        <v>2687</v>
      </c>
      <c r="O34" s="175">
        <v>-7.3471599999999997</v>
      </c>
      <c r="P34" s="190">
        <v>109.90703999999999</v>
      </c>
      <c r="Q34" s="327">
        <v>1161</v>
      </c>
      <c r="R34" s="190">
        <v>6</v>
      </c>
      <c r="S34" s="190"/>
      <c r="T34" s="190" t="s">
        <v>2518</v>
      </c>
      <c r="U34" s="190" t="s">
        <v>2565</v>
      </c>
      <c r="V34" s="8" t="s">
        <v>1760</v>
      </c>
      <c r="W34" s="10"/>
      <c r="X34" s="8"/>
      <c r="Y34" s="12" t="s">
        <v>2496</v>
      </c>
      <c r="Z34" s="12">
        <v>45686</v>
      </c>
      <c r="AA34" s="12">
        <v>45693</v>
      </c>
      <c r="AB34" s="143" t="str">
        <f t="shared" ca="1" si="0"/>
        <v>Expired</v>
      </c>
      <c r="AC34" s="13"/>
      <c r="AD34" s="12">
        <v>45692</v>
      </c>
      <c r="AE34" s="12">
        <v>45693</v>
      </c>
      <c r="AF34" s="12"/>
      <c r="AG34" s="12">
        <v>45699</v>
      </c>
      <c r="AH34" s="11"/>
      <c r="AI34" s="11">
        <v>45705</v>
      </c>
      <c r="AJ34" s="11"/>
      <c r="AK34" s="11"/>
      <c r="AL34" s="11"/>
      <c r="AM34" s="11"/>
      <c r="AN34" s="11">
        <v>45707</v>
      </c>
      <c r="AO34" s="11" t="str">
        <f t="shared" si="7"/>
        <v>BAST</v>
      </c>
      <c r="AP34" s="173"/>
      <c r="AQ34" s="12">
        <v>45712</v>
      </c>
      <c r="AR34" s="12">
        <v>45712</v>
      </c>
      <c r="AS34" s="12">
        <v>45712</v>
      </c>
      <c r="AT34" s="12"/>
      <c r="AU34" s="12">
        <v>45721</v>
      </c>
      <c r="AV34" s="12">
        <v>45722</v>
      </c>
      <c r="AW34" s="11" t="str">
        <f t="shared" si="1"/>
        <v>1st BOQ App on ISAAC</v>
      </c>
      <c r="AX34" s="12"/>
      <c r="AY34" s="12"/>
      <c r="AZ34" s="12"/>
      <c r="BA34" s="12"/>
      <c r="BB34" s="12"/>
      <c r="BC34" s="12"/>
      <c r="BD34" s="11" t="str">
        <f t="shared" si="2"/>
        <v>NY Submit</v>
      </c>
      <c r="BE34" s="174"/>
      <c r="BF34" s="12">
        <v>45693</v>
      </c>
      <c r="BG34" s="12">
        <v>45693</v>
      </c>
      <c r="BH34" s="12" t="s">
        <v>2688</v>
      </c>
      <c r="BI34" s="12">
        <v>45693</v>
      </c>
      <c r="BJ34" s="12">
        <v>45693</v>
      </c>
      <c r="BK34" s="174" t="s">
        <v>2689</v>
      </c>
      <c r="BL34" s="12" t="str">
        <f t="shared" si="3"/>
        <v>Approved</v>
      </c>
      <c r="BM34" s="12" t="str">
        <f t="shared" si="4"/>
        <v>Approved</v>
      </c>
      <c r="BN34" s="12">
        <v>45707</v>
      </c>
      <c r="BO34" s="12">
        <v>45707</v>
      </c>
      <c r="BP34" s="155" t="s">
        <v>1760</v>
      </c>
      <c r="BQ34" s="12" t="s">
        <v>2690</v>
      </c>
      <c r="BR34" s="12">
        <v>45736</v>
      </c>
      <c r="BS34" s="143">
        <f t="shared" ca="1" si="5"/>
        <v>14</v>
      </c>
      <c r="BT34" s="176"/>
      <c r="BU34" s="12"/>
      <c r="BV34" s="143">
        <f t="shared" ca="1" si="6"/>
        <v>0</v>
      </c>
      <c r="BW34" s="12"/>
      <c r="BX34" s="12"/>
      <c r="BY34" s="143"/>
      <c r="BZ34" s="13" t="s">
        <v>2500</v>
      </c>
      <c r="CA34" s="13"/>
      <c r="CB34" s="13"/>
      <c r="CC34" s="13"/>
      <c r="CD34" s="13"/>
      <c r="CE34" s="198"/>
      <c r="CF34" s="198"/>
      <c r="CG34" s="272"/>
      <c r="CH34" s="272"/>
      <c r="CI34" s="198"/>
      <c r="CJ34" s="198"/>
      <c r="CK34" s="198"/>
      <c r="CL34" s="198"/>
    </row>
    <row r="35" spans="1:90">
      <c r="A35" s="187">
        <v>30</v>
      </c>
      <c r="B35" s="190" t="s">
        <v>2486</v>
      </c>
      <c r="C35" s="190" t="s">
        <v>2487</v>
      </c>
      <c r="D35" s="190" t="s">
        <v>135</v>
      </c>
      <c r="E35" s="8" t="e">
        <f ca="1">+_xlfn.CONCAT(G35,"-",B35,"_",C35,"_",_xlfn.XLOOKUP(BP35,Account!M:M,Account!N:N))</f>
        <v>#NAME?</v>
      </c>
      <c r="F35" s="12">
        <v>45681</v>
      </c>
      <c r="G35" s="190" t="s">
        <v>2691</v>
      </c>
      <c r="H35" s="190" t="s">
        <v>2692</v>
      </c>
      <c r="I35" s="10" t="s">
        <v>2693</v>
      </c>
      <c r="J35" s="190">
        <v>11</v>
      </c>
      <c r="K35" s="190" t="s">
        <v>2038</v>
      </c>
      <c r="L35" s="190" t="s">
        <v>1263</v>
      </c>
      <c r="M35" s="190" t="s">
        <v>2694</v>
      </c>
      <c r="N35" s="10" t="s">
        <v>2695</v>
      </c>
      <c r="O35" s="175">
        <v>-7.5670299999999999</v>
      </c>
      <c r="P35" s="190">
        <v>110.86775</v>
      </c>
      <c r="Q35" s="327">
        <v>3968.058</v>
      </c>
      <c r="R35" s="190">
        <v>34.700000000000003</v>
      </c>
      <c r="S35" s="190"/>
      <c r="T35" s="190" t="s">
        <v>2518</v>
      </c>
      <c r="U35" s="190" t="s">
        <v>2519</v>
      </c>
      <c r="V35" s="8" t="s">
        <v>1760</v>
      </c>
      <c r="W35" s="10"/>
      <c r="X35" s="8"/>
      <c r="Y35" s="12" t="s">
        <v>2432</v>
      </c>
      <c r="Z35" s="12">
        <v>45713</v>
      </c>
      <c r="AA35" s="12">
        <v>45720</v>
      </c>
      <c r="AB35" s="143" t="str">
        <f t="shared" ca="1" si="0"/>
        <v>Expired</v>
      </c>
      <c r="AC35" s="13"/>
      <c r="AD35" s="12">
        <v>45699</v>
      </c>
      <c r="AE35" s="12">
        <v>45701</v>
      </c>
      <c r="AF35" s="12"/>
      <c r="AG35" s="12">
        <v>45762</v>
      </c>
      <c r="AH35" s="11"/>
      <c r="AI35" s="11">
        <v>45771</v>
      </c>
      <c r="AJ35" s="11"/>
      <c r="AK35" s="11"/>
      <c r="AL35" s="11"/>
      <c r="AM35" s="11"/>
      <c r="AN35" s="11">
        <v>45772</v>
      </c>
      <c r="AO35" s="11" t="str">
        <f t="shared" si="7"/>
        <v>BAST</v>
      </c>
      <c r="AP35" s="173"/>
      <c r="AQ35" s="12">
        <v>45712</v>
      </c>
      <c r="AR35" s="12">
        <v>45712</v>
      </c>
      <c r="AS35" s="12">
        <v>45737</v>
      </c>
      <c r="AT35" s="12">
        <v>45737</v>
      </c>
      <c r="AU35" s="12">
        <v>45736</v>
      </c>
      <c r="AV35" s="12">
        <v>45736</v>
      </c>
      <c r="AW35" s="11" t="str">
        <f t="shared" si="1"/>
        <v>1st BOQ App on ISAAC</v>
      </c>
      <c r="AX35" s="12"/>
      <c r="AY35" s="12"/>
      <c r="AZ35" s="12"/>
      <c r="BA35" s="12"/>
      <c r="BB35" s="12"/>
      <c r="BC35" s="12"/>
      <c r="BD35" s="11" t="str">
        <f t="shared" si="2"/>
        <v>NY Submit</v>
      </c>
      <c r="BE35" s="174"/>
      <c r="BF35" s="12">
        <v>45701</v>
      </c>
      <c r="BG35" s="12">
        <v>45705</v>
      </c>
      <c r="BH35" s="12" t="s">
        <v>2696</v>
      </c>
      <c r="BI35" s="12">
        <v>45701</v>
      </c>
      <c r="BJ35" s="12">
        <v>45705</v>
      </c>
      <c r="BK35" s="174" t="s">
        <v>2697</v>
      </c>
      <c r="BL35" s="12" t="str">
        <f t="shared" si="3"/>
        <v>Approved</v>
      </c>
      <c r="BM35" s="12" t="str">
        <f t="shared" si="4"/>
        <v>Approved</v>
      </c>
      <c r="BN35" s="12">
        <v>45772</v>
      </c>
      <c r="BO35" s="12">
        <v>45772</v>
      </c>
      <c r="BP35" s="155" t="s">
        <v>1760</v>
      </c>
      <c r="BQ35" s="12" t="s">
        <v>2698</v>
      </c>
      <c r="BR35" s="12">
        <v>45771</v>
      </c>
      <c r="BS35" s="143">
        <f t="shared" ca="1" si="5"/>
        <v>35</v>
      </c>
      <c r="BT35" s="176"/>
      <c r="BU35" s="12"/>
      <c r="BV35" s="143">
        <f t="shared" ca="1" si="6"/>
        <v>0</v>
      </c>
      <c r="BW35" s="12"/>
      <c r="BX35" s="12"/>
      <c r="BY35" s="143"/>
      <c r="BZ35" s="13" t="s">
        <v>2500</v>
      </c>
      <c r="CA35" s="13"/>
      <c r="CB35" s="13"/>
      <c r="CC35" s="13"/>
      <c r="CD35" s="13"/>
      <c r="CE35" s="198"/>
      <c r="CF35" s="198"/>
      <c r="CG35" s="272"/>
      <c r="CH35" s="272"/>
      <c r="CI35" s="198"/>
      <c r="CJ35" s="198"/>
      <c r="CK35" s="198"/>
      <c r="CL35" s="198"/>
    </row>
    <row r="36" spans="1:90">
      <c r="A36" s="187">
        <v>31</v>
      </c>
      <c r="B36" s="190" t="s">
        <v>2486</v>
      </c>
      <c r="C36" s="190" t="s">
        <v>2487</v>
      </c>
      <c r="D36" s="190" t="s">
        <v>135</v>
      </c>
      <c r="E36" s="8" t="e">
        <f ca="1">+_xlfn.CONCAT(G36,"-",B36,"_",C36,"_",_xlfn.XLOOKUP(BP36,Account!M:M,Account!N:N))</f>
        <v>#NAME?</v>
      </c>
      <c r="F36" s="12">
        <v>45681</v>
      </c>
      <c r="G36" s="190" t="s">
        <v>2699</v>
      </c>
      <c r="H36" s="190" t="s">
        <v>2700</v>
      </c>
      <c r="I36" s="10" t="s">
        <v>2701</v>
      </c>
      <c r="J36" s="190">
        <v>19</v>
      </c>
      <c r="K36" s="190" t="s">
        <v>2038</v>
      </c>
      <c r="L36" s="190" t="s">
        <v>1381</v>
      </c>
      <c r="M36" s="190" t="s">
        <v>2702</v>
      </c>
      <c r="N36" s="10" t="s">
        <v>2703</v>
      </c>
      <c r="O36" s="175">
        <v>-3.96801</v>
      </c>
      <c r="P36" s="190">
        <v>122.53192</v>
      </c>
      <c r="Q36" s="327">
        <v>1861.482</v>
      </c>
      <c r="R36" s="190">
        <v>5.5</v>
      </c>
      <c r="S36" s="190"/>
      <c r="T36" s="190" t="s">
        <v>2518</v>
      </c>
      <c r="U36" s="190" t="s">
        <v>2704</v>
      </c>
      <c r="V36" s="8" t="s">
        <v>1760</v>
      </c>
      <c r="W36" s="10"/>
      <c r="X36" s="8"/>
      <c r="Y36" s="12" t="s">
        <v>2432</v>
      </c>
      <c r="Z36" s="12"/>
      <c r="AA36" s="12"/>
      <c r="AB36" s="143" t="str">
        <f t="shared" ca="1" si="0"/>
        <v>NY Submit</v>
      </c>
      <c r="AC36" s="13"/>
      <c r="AD36" s="12">
        <v>45692</v>
      </c>
      <c r="AE36" s="12">
        <v>45693</v>
      </c>
      <c r="AF36" s="12"/>
      <c r="AG36" s="12">
        <v>45829</v>
      </c>
      <c r="AH36" s="11"/>
      <c r="AI36" s="11">
        <v>45866</v>
      </c>
      <c r="AJ36" s="11"/>
      <c r="AK36" s="11"/>
      <c r="AL36" s="11"/>
      <c r="AM36" s="11">
        <v>45867</v>
      </c>
      <c r="AN36" s="11">
        <v>45868</v>
      </c>
      <c r="AO36" s="11" t="str">
        <f t="shared" si="7"/>
        <v>BAST</v>
      </c>
      <c r="AP36" s="173"/>
      <c r="AQ36" s="12">
        <v>45712</v>
      </c>
      <c r="AR36" s="12">
        <v>45712</v>
      </c>
      <c r="AS36" s="12">
        <v>45720</v>
      </c>
      <c r="AT36" s="12">
        <v>45720</v>
      </c>
      <c r="AU36" s="12">
        <v>45693</v>
      </c>
      <c r="AV36" s="12">
        <v>45693</v>
      </c>
      <c r="AW36" s="11" t="str">
        <f t="shared" si="1"/>
        <v>1st BOQ App on ISAAC</v>
      </c>
      <c r="AX36" s="12"/>
      <c r="AY36" s="12"/>
      <c r="AZ36" s="12"/>
      <c r="BA36" s="12"/>
      <c r="BB36" s="12"/>
      <c r="BC36" s="12"/>
      <c r="BD36" s="11" t="str">
        <f t="shared" si="2"/>
        <v>NY Submit</v>
      </c>
      <c r="BE36" s="174"/>
      <c r="BF36" s="12">
        <v>45693</v>
      </c>
      <c r="BG36" s="12">
        <v>45693</v>
      </c>
      <c r="BH36" s="12" t="s">
        <v>2705</v>
      </c>
      <c r="BI36" s="12">
        <v>45693</v>
      </c>
      <c r="BJ36" s="12">
        <v>45693</v>
      </c>
      <c r="BK36" s="174" t="s">
        <v>2706</v>
      </c>
      <c r="BL36" s="12" t="str">
        <f t="shared" si="3"/>
        <v>Approved</v>
      </c>
      <c r="BM36" s="12" t="str">
        <f t="shared" si="4"/>
        <v>Approved</v>
      </c>
      <c r="BN36" s="12">
        <v>45868</v>
      </c>
      <c r="BO36" s="12"/>
      <c r="BP36" s="155" t="s">
        <v>1760</v>
      </c>
      <c r="BQ36" s="12" t="s">
        <v>2707</v>
      </c>
      <c r="BR36" s="12">
        <v>45740</v>
      </c>
      <c r="BS36" s="143">
        <f t="shared" ca="1" si="5"/>
        <v>47</v>
      </c>
      <c r="BT36" s="176"/>
      <c r="BU36" s="12"/>
      <c r="BV36" s="143">
        <f t="shared" ca="1" si="6"/>
        <v>0</v>
      </c>
      <c r="BW36" s="12"/>
      <c r="BX36" s="12"/>
      <c r="BY36" s="143"/>
      <c r="BZ36" s="13" t="s">
        <v>2500</v>
      </c>
      <c r="CA36" s="13"/>
      <c r="CB36" s="13"/>
      <c r="CC36" s="13"/>
      <c r="CD36" s="13"/>
      <c r="CE36" s="198"/>
      <c r="CF36" s="198"/>
      <c r="CG36" s="272"/>
      <c r="CH36" s="272"/>
      <c r="CI36" s="198"/>
      <c r="CJ36" s="198"/>
      <c r="CK36" s="198"/>
      <c r="CL36" s="198"/>
    </row>
    <row r="37" spans="1:90">
      <c r="A37" s="187">
        <v>32</v>
      </c>
      <c r="B37" s="190" t="s">
        <v>2486</v>
      </c>
      <c r="C37" s="190" t="s">
        <v>2487</v>
      </c>
      <c r="D37" s="190" t="s">
        <v>135</v>
      </c>
      <c r="E37" s="8" t="e">
        <f ca="1">+_xlfn.CONCAT(G37,"-",B37,"_",C37,"_",_xlfn.XLOOKUP(BP37,Account!M:M,Account!N:N))</f>
        <v>#NAME?</v>
      </c>
      <c r="F37" s="12">
        <v>45694</v>
      </c>
      <c r="G37" s="190" t="s">
        <v>90</v>
      </c>
      <c r="H37" s="190" t="s">
        <v>2708</v>
      </c>
      <c r="I37" s="10" t="s">
        <v>91</v>
      </c>
      <c r="J37" s="190">
        <v>20</v>
      </c>
      <c r="K37" s="190" t="s">
        <v>2038</v>
      </c>
      <c r="L37" s="190" t="s">
        <v>1310</v>
      </c>
      <c r="M37" s="190" t="s">
        <v>2709</v>
      </c>
      <c r="N37" s="10" t="s">
        <v>2710</v>
      </c>
      <c r="O37" s="169" t="s">
        <v>2711</v>
      </c>
      <c r="P37" s="170" t="s">
        <v>2712</v>
      </c>
      <c r="Q37" s="327">
        <v>18868.812000000002</v>
      </c>
      <c r="R37" s="190">
        <v>72</v>
      </c>
      <c r="S37" s="190" t="s">
        <v>2493</v>
      </c>
      <c r="T37" s="190" t="s">
        <v>2494</v>
      </c>
      <c r="U37" s="190" t="s">
        <v>2495</v>
      </c>
      <c r="V37" s="8" t="s">
        <v>1760</v>
      </c>
      <c r="W37" s="10"/>
      <c r="X37" s="8"/>
      <c r="Y37" s="12" t="s">
        <v>2432</v>
      </c>
      <c r="Z37" s="12">
        <v>45694</v>
      </c>
      <c r="AA37" s="12">
        <v>45701</v>
      </c>
      <c r="AB37" s="143" t="str">
        <f t="shared" ca="1" si="0"/>
        <v>Expired</v>
      </c>
      <c r="AC37" s="13"/>
      <c r="AD37" s="12">
        <v>45695</v>
      </c>
      <c r="AE37" s="12">
        <v>45737</v>
      </c>
      <c r="AF37" s="12"/>
      <c r="AG37" s="12">
        <v>45877</v>
      </c>
      <c r="AH37" s="11"/>
      <c r="AI37" s="11">
        <v>46017</v>
      </c>
      <c r="AJ37" s="11"/>
      <c r="AK37" s="11"/>
      <c r="AL37" s="11"/>
      <c r="AM37" s="11"/>
      <c r="AN37" s="11">
        <v>46021</v>
      </c>
      <c r="AO37" s="11" t="str">
        <f t="shared" si="7"/>
        <v>BAST</v>
      </c>
      <c r="AP37" s="173"/>
      <c r="AQ37" s="12">
        <v>45915</v>
      </c>
      <c r="AR37" s="12">
        <v>46000</v>
      </c>
      <c r="AS37" s="12">
        <v>45916</v>
      </c>
      <c r="AT37" s="12">
        <v>46000</v>
      </c>
      <c r="AU37" s="12">
        <v>46002</v>
      </c>
      <c r="AV37" s="12">
        <v>46003</v>
      </c>
      <c r="AW37" s="11" t="str">
        <f t="shared" si="1"/>
        <v>1st BOQ App on ISAAC</v>
      </c>
      <c r="AX37" s="12"/>
      <c r="AY37" s="12"/>
      <c r="AZ37" s="12"/>
      <c r="BA37" s="12"/>
      <c r="BB37" s="12"/>
      <c r="BC37" s="12"/>
      <c r="BD37" s="11" t="str">
        <f t="shared" si="2"/>
        <v>NY Submit</v>
      </c>
      <c r="BE37" s="174" t="s">
        <v>2713</v>
      </c>
      <c r="BF37" s="12">
        <v>45701</v>
      </c>
      <c r="BG37" s="12">
        <v>45754</v>
      </c>
      <c r="BH37" s="12" t="s">
        <v>2714</v>
      </c>
      <c r="BI37" s="12">
        <v>45701</v>
      </c>
      <c r="BJ37" s="12">
        <v>45773</v>
      </c>
      <c r="BK37" s="174" t="s">
        <v>2715</v>
      </c>
      <c r="BL37" s="12" t="str">
        <f t="shared" si="3"/>
        <v>Approved</v>
      </c>
      <c r="BM37" s="12" t="str">
        <f t="shared" si="4"/>
        <v>Approved</v>
      </c>
      <c r="BN37" s="12">
        <v>46021</v>
      </c>
      <c r="BO37" s="12">
        <v>46022</v>
      </c>
      <c r="BP37" s="155" t="s">
        <v>1760</v>
      </c>
      <c r="BQ37" s="12" t="s">
        <v>2716</v>
      </c>
      <c r="BR37" s="12">
        <v>46021</v>
      </c>
      <c r="BS37" s="143">
        <f t="shared" ca="1" si="5"/>
        <v>18</v>
      </c>
      <c r="BT37" s="176"/>
      <c r="BU37" s="12"/>
      <c r="BV37" s="143">
        <f t="shared" ca="1" si="6"/>
        <v>0</v>
      </c>
      <c r="BW37" s="12"/>
      <c r="BX37" s="12"/>
      <c r="BY37" s="143"/>
      <c r="BZ37" s="13" t="s">
        <v>2500</v>
      </c>
      <c r="CA37" s="13"/>
      <c r="CB37" s="13"/>
      <c r="CC37" s="13"/>
      <c r="CD37" s="13"/>
      <c r="CE37" s="198" t="s">
        <v>98</v>
      </c>
      <c r="CF37" s="198" t="s">
        <v>99</v>
      </c>
      <c r="CG37" s="272">
        <v>1.0615600000000001</v>
      </c>
      <c r="CH37" s="272">
        <v>127.46364</v>
      </c>
      <c r="CI37" s="198"/>
      <c r="CJ37" s="198"/>
      <c r="CK37" s="198"/>
      <c r="CL37" s="198"/>
    </row>
    <row r="38" spans="1:90">
      <c r="A38" s="187">
        <v>33</v>
      </c>
      <c r="B38" s="190" t="s">
        <v>2486</v>
      </c>
      <c r="C38" s="190" t="s">
        <v>2487</v>
      </c>
      <c r="D38" s="190" t="s">
        <v>135</v>
      </c>
      <c r="E38" s="8" t="e">
        <f ca="1">+_xlfn.CONCAT(G38,"-",B38,"_",C38,"_",_xlfn.XLOOKUP(BP38,Account!M:M,Account!N:N))</f>
        <v>#NAME?</v>
      </c>
      <c r="F38" s="12">
        <v>45694</v>
      </c>
      <c r="G38" s="190" t="s">
        <v>90</v>
      </c>
      <c r="H38" s="190" t="s">
        <v>2708</v>
      </c>
      <c r="I38" s="10" t="s">
        <v>91</v>
      </c>
      <c r="J38" s="190">
        <v>20</v>
      </c>
      <c r="K38" s="190" t="s">
        <v>2038</v>
      </c>
      <c r="L38" s="190" t="s">
        <v>1310</v>
      </c>
      <c r="M38" s="190" t="s">
        <v>2709</v>
      </c>
      <c r="N38" s="10" t="s">
        <v>2710</v>
      </c>
      <c r="O38" s="169" t="s">
        <v>2711</v>
      </c>
      <c r="P38" s="170" t="s">
        <v>2712</v>
      </c>
      <c r="Q38" s="327">
        <v>18868.812000000002</v>
      </c>
      <c r="R38" s="190">
        <v>72</v>
      </c>
      <c r="S38" s="190" t="s">
        <v>2493</v>
      </c>
      <c r="T38" s="190" t="s">
        <v>2494</v>
      </c>
      <c r="U38" s="190" t="s">
        <v>2495</v>
      </c>
      <c r="V38" s="8" t="s">
        <v>2011</v>
      </c>
      <c r="W38" s="10"/>
      <c r="X38" s="8"/>
      <c r="Y38" s="12" t="s">
        <v>2432</v>
      </c>
      <c r="Z38" s="12">
        <v>45694</v>
      </c>
      <c r="AA38" s="12">
        <v>45701</v>
      </c>
      <c r="AB38" s="143" t="str">
        <f t="shared" ca="1" si="0"/>
        <v>Expired</v>
      </c>
      <c r="AC38" s="13"/>
      <c r="AD38" s="12">
        <v>45695</v>
      </c>
      <c r="AE38" s="12">
        <v>45737</v>
      </c>
      <c r="AF38" s="12"/>
      <c r="AG38" s="12"/>
      <c r="AH38" s="11">
        <v>46009</v>
      </c>
      <c r="AI38" s="11"/>
      <c r="AJ38" s="11"/>
      <c r="AK38" s="11"/>
      <c r="AL38" s="11"/>
      <c r="AM38" s="11">
        <v>46035</v>
      </c>
      <c r="AN38" s="11"/>
      <c r="AO38" s="11" t="str">
        <f>+IF(AM38&lt;&gt;"","ATP App MS",IF(AJ38&lt;&gt;"","Inbound",IF(AH38&lt;&gt;"","Dismantle Perangkat",IF(AF37="Drop","Drop",IF(AE38&lt;&gt;"","Survey Report",IF(AD38&lt;&gt;"","Survey","NY Survey"))))))</f>
        <v>ATP App MS</v>
      </c>
      <c r="AP38" s="173" t="s">
        <v>2717</v>
      </c>
      <c r="AQ38" s="12">
        <v>45915</v>
      </c>
      <c r="AR38" s="12">
        <v>46000</v>
      </c>
      <c r="AS38" s="12"/>
      <c r="AT38" s="12">
        <v>46000</v>
      </c>
      <c r="AU38" s="12">
        <v>46002</v>
      </c>
      <c r="AV38" s="12"/>
      <c r="AW38" s="11" t="str">
        <f t="shared" si="1"/>
        <v>Upload 1st BOQ &amp; BAN Isaac</v>
      </c>
      <c r="AX38" s="12"/>
      <c r="AY38" s="12"/>
      <c r="AZ38" s="12"/>
      <c r="BA38" s="12"/>
      <c r="BB38" s="12"/>
      <c r="BC38" s="12"/>
      <c r="BD38" s="11" t="str">
        <f t="shared" si="2"/>
        <v>NY Submit</v>
      </c>
      <c r="BE38" s="174" t="s">
        <v>2713</v>
      </c>
      <c r="BF38" s="12">
        <v>45701</v>
      </c>
      <c r="BG38" s="12">
        <v>45754</v>
      </c>
      <c r="BH38" s="12" t="s">
        <v>2714</v>
      </c>
      <c r="BI38" s="12">
        <v>45701</v>
      </c>
      <c r="BJ38" s="12">
        <v>45773</v>
      </c>
      <c r="BK38" s="174"/>
      <c r="BL38" s="12" t="str">
        <f t="shared" si="3"/>
        <v>Approved</v>
      </c>
      <c r="BM38" s="12" t="str">
        <f t="shared" si="4"/>
        <v>Approved</v>
      </c>
      <c r="BN38" s="12">
        <v>46079</v>
      </c>
      <c r="BO38" s="12">
        <v>46079</v>
      </c>
      <c r="BP38" s="155" t="s">
        <v>2011</v>
      </c>
      <c r="BQ38" s="12" t="s">
        <v>2718</v>
      </c>
      <c r="BR38" s="12">
        <v>46021</v>
      </c>
      <c r="BS38" s="143">
        <f t="shared" ca="1" si="5"/>
        <v>0</v>
      </c>
      <c r="BT38" s="176"/>
      <c r="BU38" s="12"/>
      <c r="BV38" s="143">
        <f t="shared" ca="1" si="6"/>
        <v>0</v>
      </c>
      <c r="BW38" s="12"/>
      <c r="BX38" s="12"/>
      <c r="BY38" s="143"/>
      <c r="BZ38" s="13" t="s">
        <v>2500</v>
      </c>
      <c r="CA38" s="13"/>
      <c r="CB38" s="13"/>
      <c r="CC38" s="13"/>
      <c r="CD38" s="13"/>
      <c r="CE38" s="198" t="s">
        <v>98</v>
      </c>
      <c r="CF38" s="198" t="s">
        <v>99</v>
      </c>
      <c r="CG38" s="272">
        <v>1.0615600000000001</v>
      </c>
      <c r="CH38" s="272">
        <v>127.46364</v>
      </c>
      <c r="CI38" s="198"/>
      <c r="CJ38" s="198"/>
      <c r="CK38" s="198"/>
      <c r="CL38" s="198"/>
    </row>
    <row r="39" spans="1:90">
      <c r="A39" s="187">
        <v>34</v>
      </c>
      <c r="B39" s="190" t="s">
        <v>2486</v>
      </c>
      <c r="C39" s="190" t="s">
        <v>2487</v>
      </c>
      <c r="D39" s="190" t="s">
        <v>135</v>
      </c>
      <c r="E39" s="8" t="e">
        <f ca="1">+_xlfn.CONCAT(G39,"-",B39,"_",C39,"_",_xlfn.XLOOKUP(BP39,Account!M:M,Account!N:N))</f>
        <v>#NAME?</v>
      </c>
      <c r="F39" s="12">
        <v>45694</v>
      </c>
      <c r="G39" s="190" t="s">
        <v>90</v>
      </c>
      <c r="H39" s="190" t="s">
        <v>2708</v>
      </c>
      <c r="I39" s="10" t="s">
        <v>91</v>
      </c>
      <c r="J39" s="190">
        <v>20</v>
      </c>
      <c r="K39" s="190" t="s">
        <v>2038</v>
      </c>
      <c r="L39" s="190" t="s">
        <v>1310</v>
      </c>
      <c r="M39" s="190" t="s">
        <v>2709</v>
      </c>
      <c r="N39" s="10" t="s">
        <v>2710</v>
      </c>
      <c r="O39" s="169" t="s">
        <v>2711</v>
      </c>
      <c r="P39" s="170" t="s">
        <v>2712</v>
      </c>
      <c r="Q39" s="327">
        <v>18868.812000000002</v>
      </c>
      <c r="R39" s="190">
        <v>72</v>
      </c>
      <c r="S39" s="190" t="s">
        <v>2493</v>
      </c>
      <c r="T39" s="190" t="s">
        <v>2494</v>
      </c>
      <c r="U39" s="190" t="s">
        <v>2495</v>
      </c>
      <c r="V39" s="8" t="s">
        <v>1768</v>
      </c>
      <c r="W39" s="10"/>
      <c r="X39" s="8"/>
      <c r="Y39" s="12" t="s">
        <v>2432</v>
      </c>
      <c r="Z39" s="12">
        <v>45694</v>
      </c>
      <c r="AA39" s="12">
        <v>45701</v>
      </c>
      <c r="AB39" s="143" t="str">
        <f t="shared" ca="1" si="0"/>
        <v>Expired</v>
      </c>
      <c r="AC39" s="13"/>
      <c r="AD39" s="12">
        <v>45695</v>
      </c>
      <c r="AE39" s="12">
        <v>45737</v>
      </c>
      <c r="AF39" s="12"/>
      <c r="AG39" s="12"/>
      <c r="AH39" s="11"/>
      <c r="AI39" s="11"/>
      <c r="AJ39" s="11"/>
      <c r="AK39" s="11">
        <v>46012</v>
      </c>
      <c r="AL39" s="11">
        <v>46035</v>
      </c>
      <c r="AM39" s="11">
        <v>46035</v>
      </c>
      <c r="AN39" s="11"/>
      <c r="AO39" s="11" t="str">
        <f>+IF(AM39&lt;&gt;"","ATP App MS",IF(AL39&lt;&gt;"","OA/RFS",IF(AK39&lt;&gt;"","Install",IF(AH39&lt;&gt;"","Dismantle Perangkat",IF(AF39="Drop","Drop",IF(AE39&lt;&gt;"","Survey Report",IF(AD39&lt;&gt;"","Survey","NY Survey")))))))</f>
        <v>ATP App MS</v>
      </c>
      <c r="AP39" s="173" t="s">
        <v>2719</v>
      </c>
      <c r="AQ39" s="12">
        <v>45915</v>
      </c>
      <c r="AR39" s="12">
        <v>46000</v>
      </c>
      <c r="AS39" s="12"/>
      <c r="AT39" s="12">
        <v>46000</v>
      </c>
      <c r="AU39" s="12">
        <v>46002</v>
      </c>
      <c r="AV39" s="12"/>
      <c r="AW39" s="11" t="str">
        <f t="shared" si="1"/>
        <v>Upload 1st BOQ &amp; BAN Isaac</v>
      </c>
      <c r="AX39" s="12">
        <v>46021</v>
      </c>
      <c r="AY39" s="12"/>
      <c r="AZ39" s="12"/>
      <c r="BA39" s="12">
        <v>46055</v>
      </c>
      <c r="BB39" s="12"/>
      <c r="BC39" s="12">
        <v>46055</v>
      </c>
      <c r="BD39" s="11" t="str">
        <f t="shared" si="2"/>
        <v>2nd BOQ App on ISAAC</v>
      </c>
      <c r="BE39" s="174"/>
      <c r="BF39" s="12">
        <v>45701</v>
      </c>
      <c r="BG39" s="12">
        <v>45754</v>
      </c>
      <c r="BH39" s="12" t="s">
        <v>2714</v>
      </c>
      <c r="BI39" s="12">
        <v>45701</v>
      </c>
      <c r="BJ39" s="12">
        <v>45773</v>
      </c>
      <c r="BK39" s="174"/>
      <c r="BL39" s="12" t="str">
        <f t="shared" si="3"/>
        <v>Approved</v>
      </c>
      <c r="BM39" s="12" t="str">
        <f t="shared" si="4"/>
        <v>Approved</v>
      </c>
      <c r="BN39" s="12">
        <v>46079</v>
      </c>
      <c r="BO39" s="12">
        <v>46079</v>
      </c>
      <c r="BP39" s="155" t="s">
        <v>1768</v>
      </c>
      <c r="BQ39" s="176" t="s">
        <v>2720</v>
      </c>
      <c r="BR39" s="12">
        <v>46063</v>
      </c>
      <c r="BS39" s="143">
        <f t="shared" ref="BS39:BS70" ca="1" si="8">IF(AO39="Drop",
"Drop",
IF(ISBLANK(AV39),
0,
IF(ISBLANK(BR39),
DATEDIF(AV39,TODAY(),"d"),
DATEDIF(AV39,BR39,"d")
)
)
)</f>
        <v>0</v>
      </c>
      <c r="BT39" s="176" t="s">
        <v>2721</v>
      </c>
      <c r="BU39" s="12">
        <v>46063</v>
      </c>
      <c r="BV39" s="143">
        <f t="shared" ref="BV39:BV70" ca="1" si="9">IF(AO39="Drop",
"Drop",
IF(ISBLANK(BC39),
0,
IF(ISBLANK(BU39),
DATEDIF(BC39,TODAY(),"d"),
DATEDIF(BC39,BU39,"d")
)
)
)</f>
        <v>8</v>
      </c>
      <c r="BW39" s="176"/>
      <c r="BX39" s="12"/>
      <c r="BY39" s="143"/>
      <c r="BZ39" s="13" t="s">
        <v>2500</v>
      </c>
      <c r="CA39" s="13"/>
      <c r="CB39" s="13"/>
      <c r="CC39" s="13"/>
      <c r="CD39" s="13"/>
      <c r="CE39" s="198" t="s">
        <v>98</v>
      </c>
      <c r="CF39" s="198" t="s">
        <v>99</v>
      </c>
      <c r="CG39" s="272">
        <v>1.0615600000000001</v>
      </c>
      <c r="CH39" s="272">
        <v>127.46364</v>
      </c>
      <c r="CI39" s="198"/>
      <c r="CJ39" s="198"/>
      <c r="CK39" s="198"/>
      <c r="CL39" s="198"/>
    </row>
    <row r="40" spans="1:90">
      <c r="A40" s="187">
        <v>35</v>
      </c>
      <c r="B40" s="190" t="s">
        <v>2486</v>
      </c>
      <c r="C40" s="190" t="s">
        <v>2487</v>
      </c>
      <c r="D40" s="190" t="s">
        <v>135</v>
      </c>
      <c r="E40" s="8" t="e">
        <f ca="1">+_xlfn.CONCAT(G40,"-",B40,"_",C40,"_",_xlfn.XLOOKUP(BP40,Account!M:M,Account!N:N))</f>
        <v>#NAME?</v>
      </c>
      <c r="F40" s="12">
        <v>45699</v>
      </c>
      <c r="G40" s="190" t="s">
        <v>2722</v>
      </c>
      <c r="H40" s="190" t="s">
        <v>2723</v>
      </c>
      <c r="I40" s="10" t="s">
        <v>2724</v>
      </c>
      <c r="J40" s="190">
        <v>16</v>
      </c>
      <c r="K40" s="190" t="s">
        <v>2486</v>
      </c>
      <c r="L40" s="190" t="s">
        <v>2725</v>
      </c>
      <c r="M40" s="190" t="s">
        <v>2726</v>
      </c>
      <c r="N40" s="10" t="s">
        <v>2727</v>
      </c>
      <c r="O40" s="175" t="s">
        <v>2728</v>
      </c>
      <c r="P40" s="175" t="s">
        <v>2729</v>
      </c>
      <c r="Q40" s="327">
        <v>9023.1200000000008</v>
      </c>
      <c r="R40" s="190">
        <v>52</v>
      </c>
      <c r="S40" s="190" t="s">
        <v>404</v>
      </c>
      <c r="T40" s="190" t="s">
        <v>2494</v>
      </c>
      <c r="U40" s="190" t="s">
        <v>2495</v>
      </c>
      <c r="V40" s="8" t="s">
        <v>1760</v>
      </c>
      <c r="W40" s="10"/>
      <c r="X40" s="8"/>
      <c r="Y40" s="12" t="s">
        <v>2496</v>
      </c>
      <c r="Z40" s="12">
        <v>45700</v>
      </c>
      <c r="AA40" s="12">
        <v>45707</v>
      </c>
      <c r="AB40" s="143" t="str">
        <f t="shared" ca="1" si="0"/>
        <v>Expired</v>
      </c>
      <c r="AC40" s="13"/>
      <c r="AD40" s="12">
        <v>45702</v>
      </c>
      <c r="AE40" s="12">
        <v>45705</v>
      </c>
      <c r="AF40" s="12"/>
      <c r="AG40" s="11">
        <v>45727</v>
      </c>
      <c r="AH40" s="11"/>
      <c r="AI40" s="11">
        <v>45727</v>
      </c>
      <c r="AJ40" s="11"/>
      <c r="AK40" s="11"/>
      <c r="AL40" s="11"/>
      <c r="AM40" s="11"/>
      <c r="AN40" s="11">
        <v>45771</v>
      </c>
      <c r="AO40" s="11" t="str">
        <f>+IF(AN40&lt;&gt;"","BAST",IF(AI40&lt;&gt;"","Dismantle",IF(AG40&lt;&gt;"","RFD App",IF(AF40="Drop","Drop",IF(AE40&lt;&gt;"","Survey Report",IF(AD40&lt;&gt;"","Survey","NY Survey"))))))</f>
        <v>BAST</v>
      </c>
      <c r="AP40" s="173"/>
      <c r="AQ40" s="12">
        <v>45715</v>
      </c>
      <c r="AR40" s="12">
        <v>45771</v>
      </c>
      <c r="AS40" s="12">
        <v>45771</v>
      </c>
      <c r="AT40" s="12">
        <v>45825</v>
      </c>
      <c r="AU40" s="12">
        <v>45825</v>
      </c>
      <c r="AV40" s="12">
        <v>45825</v>
      </c>
      <c r="AW40" s="11" t="str">
        <f t="shared" si="1"/>
        <v>1st BOQ App on ISAAC</v>
      </c>
      <c r="AX40" s="12"/>
      <c r="AY40" s="12"/>
      <c r="AZ40" s="12"/>
      <c r="BA40" s="12"/>
      <c r="BB40" s="12"/>
      <c r="BC40" s="12"/>
      <c r="BD40" s="11" t="str">
        <f t="shared" si="2"/>
        <v>NY Submit</v>
      </c>
      <c r="BE40" s="174"/>
      <c r="BF40" s="12">
        <v>45704</v>
      </c>
      <c r="BG40" s="12">
        <v>45705</v>
      </c>
      <c r="BH40" s="12" t="s">
        <v>2730</v>
      </c>
      <c r="BI40" s="12">
        <v>45704</v>
      </c>
      <c r="BJ40" s="12">
        <v>45705</v>
      </c>
      <c r="BK40" s="174" t="s">
        <v>2731</v>
      </c>
      <c r="BL40" s="12" t="str">
        <f t="shared" si="3"/>
        <v>Approved</v>
      </c>
      <c r="BM40" s="12" t="str">
        <f t="shared" si="4"/>
        <v>Approved</v>
      </c>
      <c r="BN40" s="12">
        <v>45771</v>
      </c>
      <c r="BO40" s="12">
        <v>45783</v>
      </c>
      <c r="BP40" s="155" t="s">
        <v>1760</v>
      </c>
      <c r="BQ40" s="12" t="s">
        <v>2732</v>
      </c>
      <c r="BR40" s="12">
        <v>45869</v>
      </c>
      <c r="BS40" s="143">
        <f t="shared" ca="1" si="8"/>
        <v>44</v>
      </c>
      <c r="BT40" s="176"/>
      <c r="BU40" s="12"/>
      <c r="BV40" s="143">
        <f t="shared" ca="1" si="9"/>
        <v>0</v>
      </c>
      <c r="BW40" s="12"/>
      <c r="BX40" s="12"/>
      <c r="BY40" s="143"/>
      <c r="BZ40" s="13" t="s">
        <v>2500</v>
      </c>
      <c r="CA40" s="13"/>
      <c r="CB40" s="13"/>
      <c r="CC40" s="13"/>
      <c r="CD40" s="13"/>
      <c r="CE40" s="198"/>
      <c r="CF40" s="198"/>
      <c r="CG40" s="272"/>
      <c r="CH40" s="272"/>
      <c r="CI40" s="198"/>
      <c r="CJ40" s="198"/>
      <c r="CK40" s="198"/>
      <c r="CL40" s="198"/>
    </row>
    <row r="41" spans="1:90">
      <c r="A41" s="187">
        <v>36</v>
      </c>
      <c r="B41" s="190" t="s">
        <v>2486</v>
      </c>
      <c r="C41" s="190" t="s">
        <v>2487</v>
      </c>
      <c r="D41" s="190" t="s">
        <v>135</v>
      </c>
      <c r="E41" s="8" t="e">
        <f ca="1">+_xlfn.CONCAT(G41,"-",B41,"_",C41,"_",_xlfn.XLOOKUP(BP41,Account!M:M,Account!N:N))</f>
        <v>#NAME?</v>
      </c>
      <c r="F41" s="12">
        <v>45699</v>
      </c>
      <c r="G41" s="190" t="s">
        <v>2722</v>
      </c>
      <c r="H41" s="190" t="s">
        <v>2723</v>
      </c>
      <c r="I41" s="10" t="s">
        <v>2724</v>
      </c>
      <c r="J41" s="190">
        <v>16</v>
      </c>
      <c r="K41" s="190" t="s">
        <v>2486</v>
      </c>
      <c r="L41" s="190" t="s">
        <v>2725</v>
      </c>
      <c r="M41" s="190" t="s">
        <v>2726</v>
      </c>
      <c r="N41" s="10" t="s">
        <v>2727</v>
      </c>
      <c r="O41" s="175" t="s">
        <v>2728</v>
      </c>
      <c r="P41" s="175" t="s">
        <v>2729</v>
      </c>
      <c r="Q41" s="327">
        <v>9023.1200000000008</v>
      </c>
      <c r="R41" s="190">
        <v>52</v>
      </c>
      <c r="S41" s="190" t="s">
        <v>404</v>
      </c>
      <c r="T41" s="190" t="s">
        <v>2494</v>
      </c>
      <c r="U41" s="190" t="s">
        <v>2495</v>
      </c>
      <c r="V41" s="8" t="s">
        <v>2011</v>
      </c>
      <c r="W41" s="10"/>
      <c r="X41" s="8"/>
      <c r="Y41" s="12" t="s">
        <v>2496</v>
      </c>
      <c r="Z41" s="12">
        <v>45700</v>
      </c>
      <c r="AA41" s="12">
        <v>45707</v>
      </c>
      <c r="AB41" s="143" t="str">
        <f t="shared" ca="1" si="0"/>
        <v>Expired</v>
      </c>
      <c r="AC41" s="13"/>
      <c r="AD41" s="12">
        <v>45702</v>
      </c>
      <c r="AE41" s="12">
        <v>45705</v>
      </c>
      <c r="AF41" s="12"/>
      <c r="AG41" s="12"/>
      <c r="AH41" s="11">
        <v>45711</v>
      </c>
      <c r="AI41" s="11"/>
      <c r="AJ41" s="11"/>
      <c r="AK41" s="11"/>
      <c r="AL41" s="11"/>
      <c r="AM41" s="11">
        <v>45771</v>
      </c>
      <c r="AN41" s="11"/>
      <c r="AO41" s="11" t="str">
        <f>+IF(AM41&lt;&gt;"","ATP App MS",IF(AJ41&lt;&gt;"","Inbound",IF(AH41&lt;&gt;"","Dismantle Perangkat",IF(AF41="Drop","Drop",IF(AE41&lt;&gt;"","Survey Report",IF(AD41&lt;&gt;"","Survey","NY Survey"))))))</f>
        <v>ATP App MS</v>
      </c>
      <c r="AP41" s="173"/>
      <c r="AQ41" s="12">
        <v>45715</v>
      </c>
      <c r="AR41" s="12">
        <v>45771</v>
      </c>
      <c r="AS41" s="12">
        <v>45771</v>
      </c>
      <c r="AT41" s="12">
        <v>45825</v>
      </c>
      <c r="AU41" s="12">
        <v>45825</v>
      </c>
      <c r="AV41" s="12">
        <v>45825</v>
      </c>
      <c r="AW41" s="11" t="str">
        <f t="shared" si="1"/>
        <v>1st BOQ App on ISAAC</v>
      </c>
      <c r="AX41" s="12"/>
      <c r="AY41" s="12"/>
      <c r="AZ41" s="12"/>
      <c r="BA41" s="12"/>
      <c r="BB41" s="12"/>
      <c r="BC41" s="12"/>
      <c r="BD41" s="11" t="str">
        <f t="shared" si="2"/>
        <v>NY Submit</v>
      </c>
      <c r="BE41" s="174"/>
      <c r="BF41" s="12">
        <v>45704</v>
      </c>
      <c r="BG41" s="12">
        <v>45705</v>
      </c>
      <c r="BH41" s="12" t="s">
        <v>2730</v>
      </c>
      <c r="BI41" s="12">
        <v>45704</v>
      </c>
      <c r="BJ41" s="12" t="s">
        <v>2733</v>
      </c>
      <c r="BK41" s="174"/>
      <c r="BL41" s="12" t="str">
        <f t="shared" si="3"/>
        <v>Approved</v>
      </c>
      <c r="BM41" s="12" t="str">
        <f t="shared" si="4"/>
        <v>Approved</v>
      </c>
      <c r="BN41" s="12"/>
      <c r="BO41" s="12"/>
      <c r="BP41" s="155" t="s">
        <v>2011</v>
      </c>
      <c r="BQ41" s="12" t="s">
        <v>2734</v>
      </c>
      <c r="BR41" s="12">
        <v>45869</v>
      </c>
      <c r="BS41" s="143">
        <f t="shared" ca="1" si="8"/>
        <v>44</v>
      </c>
      <c r="BT41" s="176"/>
      <c r="BU41" s="12"/>
      <c r="BV41" s="143">
        <f t="shared" ca="1" si="9"/>
        <v>0</v>
      </c>
      <c r="BW41" s="12"/>
      <c r="BX41" s="12"/>
      <c r="BY41" s="143"/>
      <c r="BZ41" s="13" t="s">
        <v>2500</v>
      </c>
      <c r="CA41" s="13"/>
      <c r="CB41" s="13"/>
      <c r="CC41" s="13"/>
      <c r="CD41" s="13"/>
      <c r="CE41" s="198"/>
      <c r="CF41" s="198"/>
      <c r="CG41" s="272"/>
      <c r="CH41" s="272"/>
      <c r="CI41" s="198"/>
      <c r="CJ41" s="198"/>
      <c r="CK41" s="198"/>
      <c r="CL41" s="198"/>
    </row>
    <row r="42" spans="1:90">
      <c r="A42" s="187">
        <v>37</v>
      </c>
      <c r="B42" s="190" t="s">
        <v>2486</v>
      </c>
      <c r="C42" s="190" t="s">
        <v>2487</v>
      </c>
      <c r="D42" s="190" t="s">
        <v>135</v>
      </c>
      <c r="E42" s="8" t="e">
        <f ca="1">+_xlfn.CONCAT(G42,"-",B42,"_",C42,"_",_xlfn.XLOOKUP(BP42,Account!M:M,Account!N:N))</f>
        <v>#NAME?</v>
      </c>
      <c r="F42" s="12">
        <v>45699</v>
      </c>
      <c r="G42" s="190" t="s">
        <v>2722</v>
      </c>
      <c r="H42" s="190" t="s">
        <v>2723</v>
      </c>
      <c r="I42" s="10" t="s">
        <v>2724</v>
      </c>
      <c r="J42" s="190">
        <v>16</v>
      </c>
      <c r="K42" s="190" t="s">
        <v>2486</v>
      </c>
      <c r="L42" s="190" t="s">
        <v>2725</v>
      </c>
      <c r="M42" s="190" t="s">
        <v>2726</v>
      </c>
      <c r="N42" s="10" t="s">
        <v>2727</v>
      </c>
      <c r="O42" s="175" t="s">
        <v>2728</v>
      </c>
      <c r="P42" s="175" t="s">
        <v>2729</v>
      </c>
      <c r="Q42" s="327">
        <v>9023.1200000000008</v>
      </c>
      <c r="R42" s="190">
        <v>52</v>
      </c>
      <c r="S42" s="190" t="s">
        <v>404</v>
      </c>
      <c r="T42" s="190" t="s">
        <v>2494</v>
      </c>
      <c r="U42" s="190" t="s">
        <v>2495</v>
      </c>
      <c r="V42" s="8" t="s">
        <v>1768</v>
      </c>
      <c r="W42" s="10"/>
      <c r="X42" s="8"/>
      <c r="Y42" s="12" t="s">
        <v>2496</v>
      </c>
      <c r="Z42" s="12">
        <v>45700</v>
      </c>
      <c r="AA42" s="12">
        <v>45707</v>
      </c>
      <c r="AB42" s="143" t="str">
        <f t="shared" ca="1" si="0"/>
        <v>Expired</v>
      </c>
      <c r="AC42" s="13"/>
      <c r="AD42" s="12">
        <v>45702</v>
      </c>
      <c r="AE42" s="12">
        <v>45705</v>
      </c>
      <c r="AF42" s="12"/>
      <c r="AG42" s="12"/>
      <c r="AH42" s="11"/>
      <c r="AI42" s="11"/>
      <c r="AJ42" s="11"/>
      <c r="AK42" s="11">
        <v>45907</v>
      </c>
      <c r="AL42" s="11"/>
      <c r="AM42" s="11">
        <v>45771</v>
      </c>
      <c r="AN42" s="11"/>
      <c r="AO42" s="11" t="str">
        <f>+IF(AM42&lt;&gt;"","ATP App MS",IF(AL42&lt;&gt;"","OA/RFS",IF(AK42&lt;&gt;"","Install",IF(AH42&lt;&gt;"","Dismantle Perangkat",IF(AF42="Drop","Drop",IF(AE42&lt;&gt;"","Survey Report",IF(AD42&lt;&gt;"","Survey","NY Survey")))))))</f>
        <v>ATP App MS</v>
      </c>
      <c r="AP42" s="173"/>
      <c r="AQ42" s="12">
        <v>45715</v>
      </c>
      <c r="AR42" s="12">
        <v>45771</v>
      </c>
      <c r="AS42" s="12">
        <v>45771</v>
      </c>
      <c r="AT42" s="12">
        <v>45825</v>
      </c>
      <c r="AU42" s="12">
        <v>45825</v>
      </c>
      <c r="AV42" s="12">
        <v>45825</v>
      </c>
      <c r="AW42" s="11" t="str">
        <f t="shared" si="1"/>
        <v>1st BOQ App on ISAAC</v>
      </c>
      <c r="AX42" s="12"/>
      <c r="AY42" s="12"/>
      <c r="AZ42" s="12"/>
      <c r="BA42" s="12"/>
      <c r="BB42" s="12"/>
      <c r="BC42" s="12"/>
      <c r="BD42" s="11" t="str">
        <f t="shared" si="2"/>
        <v>NY Submit</v>
      </c>
      <c r="BE42" s="174"/>
      <c r="BF42" s="12">
        <v>45704</v>
      </c>
      <c r="BG42" s="12">
        <v>45705</v>
      </c>
      <c r="BH42" s="12" t="s">
        <v>2730</v>
      </c>
      <c r="BI42" s="12">
        <v>45704</v>
      </c>
      <c r="BJ42" s="12" t="s">
        <v>2733</v>
      </c>
      <c r="BK42" s="174"/>
      <c r="BL42" s="12" t="str">
        <f t="shared" si="3"/>
        <v>Approved</v>
      </c>
      <c r="BM42" s="12" t="str">
        <f t="shared" si="4"/>
        <v>Approved</v>
      </c>
      <c r="BN42" s="12"/>
      <c r="BO42" s="12"/>
      <c r="BP42" s="155" t="s">
        <v>1768</v>
      </c>
      <c r="BQ42" s="12" t="s">
        <v>2735</v>
      </c>
      <c r="BR42" s="12">
        <v>45869</v>
      </c>
      <c r="BS42" s="143">
        <f t="shared" ca="1" si="8"/>
        <v>44</v>
      </c>
      <c r="BT42" s="176"/>
      <c r="BU42" s="12"/>
      <c r="BV42" s="143">
        <f t="shared" ca="1" si="9"/>
        <v>0</v>
      </c>
      <c r="BW42" s="12"/>
      <c r="BX42" s="12"/>
      <c r="BY42" s="143"/>
      <c r="BZ42" s="13" t="s">
        <v>2500</v>
      </c>
      <c r="CA42" s="13"/>
      <c r="CB42" s="13"/>
      <c r="CC42" s="13"/>
      <c r="CD42" s="13"/>
      <c r="CE42" s="198"/>
      <c r="CF42" s="198"/>
      <c r="CG42" s="272"/>
      <c r="CH42" s="272"/>
      <c r="CI42" s="198"/>
      <c r="CJ42" s="198"/>
      <c r="CK42" s="198"/>
      <c r="CL42" s="198"/>
    </row>
    <row r="43" spans="1:90" ht="30" customHeight="1">
      <c r="A43" s="187">
        <v>38</v>
      </c>
      <c r="B43" s="190" t="s">
        <v>2486</v>
      </c>
      <c r="C43" s="190" t="s">
        <v>2487</v>
      </c>
      <c r="D43" s="190" t="s">
        <v>135</v>
      </c>
      <c r="E43" s="8" t="e">
        <f ca="1">+_xlfn.CONCAT(G43,"-",B43,"_",C43,"_",_xlfn.XLOOKUP(BP43,Account!M:M,Account!N:N))</f>
        <v>#NAME?</v>
      </c>
      <c r="F43" s="12">
        <v>45705</v>
      </c>
      <c r="G43" s="190" t="s">
        <v>2736</v>
      </c>
      <c r="H43" s="190" t="s">
        <v>2737</v>
      </c>
      <c r="I43" s="10" t="s">
        <v>2738</v>
      </c>
      <c r="J43" s="190">
        <v>15</v>
      </c>
      <c r="K43" s="190" t="s">
        <v>2038</v>
      </c>
      <c r="L43" s="190" t="s">
        <v>1279</v>
      </c>
      <c r="M43" s="190" t="s">
        <v>2739</v>
      </c>
      <c r="N43" s="10" t="s">
        <v>2740</v>
      </c>
      <c r="O43" s="169" t="s">
        <v>2741</v>
      </c>
      <c r="P43" s="169" t="s">
        <v>2742</v>
      </c>
      <c r="Q43" s="327">
        <v>22120</v>
      </c>
      <c r="R43" s="190">
        <v>70</v>
      </c>
      <c r="S43" s="190" t="s">
        <v>68</v>
      </c>
      <c r="T43" s="190" t="s">
        <v>2494</v>
      </c>
      <c r="U43" s="190" t="s">
        <v>2495</v>
      </c>
      <c r="V43" s="8" t="s">
        <v>1760</v>
      </c>
      <c r="W43" s="10"/>
      <c r="X43" s="8"/>
      <c r="Y43" s="12" t="s">
        <v>2432</v>
      </c>
      <c r="Z43" s="12"/>
      <c r="AA43" s="12"/>
      <c r="AB43" s="143" t="str">
        <f t="shared" ca="1" si="0"/>
        <v>NY Submit</v>
      </c>
      <c r="AC43" s="13"/>
      <c r="AD43" s="12">
        <v>45707</v>
      </c>
      <c r="AE43" s="12">
        <v>45708</v>
      </c>
      <c r="AF43" s="12" t="s">
        <v>2526</v>
      </c>
      <c r="AG43" s="12"/>
      <c r="AH43" s="11"/>
      <c r="AI43" s="11"/>
      <c r="AJ43" s="11"/>
      <c r="AK43" s="11"/>
      <c r="AL43" s="11"/>
      <c r="AM43" s="11"/>
      <c r="AN43" s="11"/>
      <c r="AO43" s="11" t="str">
        <f>+IF(AN43&lt;&gt;"","BAST",IF(AI43&lt;&gt;"","Dismantle",IF(AG43&lt;&gt;"","RFD App",IF(AF43="Drop","Drop",IF(AE43&lt;&gt;"","Survey Report",IF(AD43&lt;&gt;"","Survey","NY Survey"))))))</f>
        <v>Drop</v>
      </c>
      <c r="AP43" s="173" t="s">
        <v>2743</v>
      </c>
      <c r="AQ43" s="12">
        <v>45888</v>
      </c>
      <c r="AR43" s="12">
        <v>45960</v>
      </c>
      <c r="AS43" s="12"/>
      <c r="AT43" s="12"/>
      <c r="AU43" s="12"/>
      <c r="AV43" s="12">
        <v>45960</v>
      </c>
      <c r="AW43" s="11" t="str">
        <f t="shared" si="1"/>
        <v>1st BOQ App on ISAAC</v>
      </c>
      <c r="AX43" s="12"/>
      <c r="AY43" s="12"/>
      <c r="AZ43" s="12"/>
      <c r="BA43" s="12"/>
      <c r="BB43" s="12"/>
      <c r="BC43" s="12"/>
      <c r="BD43" s="11" t="str">
        <f t="shared" si="2"/>
        <v>NY Submit</v>
      </c>
      <c r="BE43" s="174"/>
      <c r="BF43" s="12">
        <v>45708</v>
      </c>
      <c r="BG43" s="12">
        <v>45712</v>
      </c>
      <c r="BH43" s="12" t="s">
        <v>2744</v>
      </c>
      <c r="BI43" s="12">
        <v>45708</v>
      </c>
      <c r="BJ43" s="12">
        <v>45712</v>
      </c>
      <c r="BK43" s="174" t="s">
        <v>2745</v>
      </c>
      <c r="BL43" s="12" t="str">
        <f t="shared" si="3"/>
        <v>Approved</v>
      </c>
      <c r="BM43" s="12" t="str">
        <f t="shared" si="4"/>
        <v>Approved</v>
      </c>
      <c r="BN43" s="12"/>
      <c r="BO43" s="12"/>
      <c r="BP43" s="155" t="s">
        <v>1760</v>
      </c>
      <c r="BQ43" s="12" t="s">
        <v>2746</v>
      </c>
      <c r="BR43" s="12">
        <v>45982</v>
      </c>
      <c r="BS43" s="143" t="str">
        <f t="shared" ca="1" si="8"/>
        <v>Drop</v>
      </c>
      <c r="BT43" s="176"/>
      <c r="BU43" s="12"/>
      <c r="BV43" s="143" t="str">
        <f t="shared" ca="1" si="9"/>
        <v>Drop</v>
      </c>
      <c r="BW43" s="12"/>
      <c r="BX43" s="12"/>
      <c r="BY43" s="143"/>
      <c r="BZ43" s="13" t="s">
        <v>2500</v>
      </c>
      <c r="CA43" s="13"/>
      <c r="CB43" s="13"/>
      <c r="CC43" s="13"/>
      <c r="CD43" s="13"/>
      <c r="CE43" s="198" t="s">
        <v>2747</v>
      </c>
      <c r="CF43" s="198" t="s">
        <v>2748</v>
      </c>
      <c r="CG43" s="272">
        <v>-8.1119199999999996</v>
      </c>
      <c r="CH43" s="272">
        <v>111.80472</v>
      </c>
      <c r="CI43" s="198"/>
      <c r="CJ43" s="198"/>
      <c r="CK43" s="198"/>
      <c r="CL43" s="198"/>
    </row>
    <row r="44" spans="1:90" ht="30" customHeight="1">
      <c r="A44" s="187">
        <v>39</v>
      </c>
      <c r="B44" s="190" t="s">
        <v>2486</v>
      </c>
      <c r="C44" s="190" t="s">
        <v>2487</v>
      </c>
      <c r="D44" s="190" t="s">
        <v>135</v>
      </c>
      <c r="E44" s="8" t="e">
        <f ca="1">+_xlfn.CONCAT(G44,"-",B44,"_",C44,"_",_xlfn.XLOOKUP(BP44,Account!M:M,Account!N:N))</f>
        <v>#NAME?</v>
      </c>
      <c r="F44" s="12">
        <v>45705</v>
      </c>
      <c r="G44" s="190" t="s">
        <v>2736</v>
      </c>
      <c r="H44" s="190" t="s">
        <v>2737</v>
      </c>
      <c r="I44" s="10" t="s">
        <v>2738</v>
      </c>
      <c r="J44" s="190">
        <v>15</v>
      </c>
      <c r="K44" s="190" t="s">
        <v>2038</v>
      </c>
      <c r="L44" s="190" t="s">
        <v>1279</v>
      </c>
      <c r="M44" s="190" t="s">
        <v>2739</v>
      </c>
      <c r="N44" s="10" t="s">
        <v>2740</v>
      </c>
      <c r="O44" s="169" t="s">
        <v>2741</v>
      </c>
      <c r="P44" s="169" t="s">
        <v>2742</v>
      </c>
      <c r="Q44" s="327">
        <v>22120</v>
      </c>
      <c r="R44" s="190">
        <v>70</v>
      </c>
      <c r="S44" s="190" t="s">
        <v>68</v>
      </c>
      <c r="T44" s="190" t="s">
        <v>2494</v>
      </c>
      <c r="U44" s="190" t="s">
        <v>2495</v>
      </c>
      <c r="V44" s="8" t="s">
        <v>2011</v>
      </c>
      <c r="W44" s="10"/>
      <c r="X44" s="8"/>
      <c r="Y44" s="12" t="s">
        <v>2432</v>
      </c>
      <c r="Z44" s="12"/>
      <c r="AA44" s="12"/>
      <c r="AB44" s="143" t="str">
        <f t="shared" ca="1" si="0"/>
        <v>NY Submit</v>
      </c>
      <c r="AC44" s="13"/>
      <c r="AD44" s="12">
        <v>45707</v>
      </c>
      <c r="AE44" s="12">
        <v>45708</v>
      </c>
      <c r="AF44" s="12" t="s">
        <v>2526</v>
      </c>
      <c r="AG44" s="12"/>
      <c r="AH44" s="11"/>
      <c r="AI44" s="11"/>
      <c r="AJ44" s="11"/>
      <c r="AK44" s="11"/>
      <c r="AL44" s="11"/>
      <c r="AM44" s="11"/>
      <c r="AN44" s="11"/>
      <c r="AO44" s="11" t="str">
        <f>+IF(AM44&lt;&gt;"","ATP App MS",IF(AJ44&lt;&gt;"","Inbound",IF(AH44&lt;&gt;"","Dismantle Perangkat",IF(AF44="Drop","Drop",IF(AE44&lt;&gt;"","Survey Report",IF(AD44&lt;&gt;"","Survey","NY Survey"))))))</f>
        <v>Drop</v>
      </c>
      <c r="AP44" s="173"/>
      <c r="AQ44" s="12"/>
      <c r="AR44" s="12"/>
      <c r="AS44" s="12"/>
      <c r="AT44" s="12"/>
      <c r="AU44" s="12"/>
      <c r="AV44" s="12"/>
      <c r="AW44" s="11" t="str">
        <f t="shared" si="1"/>
        <v>NY Submit</v>
      </c>
      <c r="AX44" s="12"/>
      <c r="AY44" s="12"/>
      <c r="AZ44" s="12"/>
      <c r="BA44" s="12"/>
      <c r="BB44" s="12"/>
      <c r="BC44" s="12"/>
      <c r="BD44" s="11" t="str">
        <f t="shared" si="2"/>
        <v>NY Submit</v>
      </c>
      <c r="BE44" s="174"/>
      <c r="BF44" s="12">
        <v>45708</v>
      </c>
      <c r="BG44" s="12">
        <v>45712</v>
      </c>
      <c r="BH44" s="12" t="s">
        <v>2744</v>
      </c>
      <c r="BI44" s="12">
        <v>45708</v>
      </c>
      <c r="BJ44" s="12">
        <v>45712</v>
      </c>
      <c r="BK44" s="174"/>
      <c r="BL44" s="12" t="str">
        <f t="shared" si="3"/>
        <v>Approved</v>
      </c>
      <c r="BM44" s="12" t="str">
        <f t="shared" si="4"/>
        <v>Approved</v>
      </c>
      <c r="BN44" s="12"/>
      <c r="BO44" s="12"/>
      <c r="BP44" s="155" t="s">
        <v>2011</v>
      </c>
      <c r="BQ44" s="12" t="s">
        <v>2526</v>
      </c>
      <c r="BR44" s="12"/>
      <c r="BS44" s="143" t="str">
        <f t="shared" ca="1" si="8"/>
        <v>Drop</v>
      </c>
      <c r="BT44" s="176"/>
      <c r="BU44" s="12"/>
      <c r="BV44" s="143" t="str">
        <f t="shared" ca="1" si="9"/>
        <v>Drop</v>
      </c>
      <c r="BW44" s="12"/>
      <c r="BX44" s="12"/>
      <c r="BY44" s="143"/>
      <c r="BZ44" s="13" t="s">
        <v>2526</v>
      </c>
      <c r="CA44" s="13" t="s">
        <v>2526</v>
      </c>
      <c r="CB44" s="13" t="s">
        <v>2526</v>
      </c>
      <c r="CC44" s="13"/>
      <c r="CD44" s="13"/>
      <c r="CE44" s="198" t="s">
        <v>2747</v>
      </c>
      <c r="CF44" s="198" t="s">
        <v>2748</v>
      </c>
      <c r="CG44" s="272">
        <v>-8.1119199999999996</v>
      </c>
      <c r="CH44" s="272">
        <v>111.80472</v>
      </c>
      <c r="CI44" s="198"/>
      <c r="CJ44" s="198"/>
      <c r="CK44" s="198"/>
      <c r="CL44" s="198"/>
    </row>
    <row r="45" spans="1:90" ht="30" customHeight="1">
      <c r="A45" s="187">
        <v>40</v>
      </c>
      <c r="B45" s="190" t="s">
        <v>2486</v>
      </c>
      <c r="C45" s="190" t="s">
        <v>2487</v>
      </c>
      <c r="D45" s="190" t="s">
        <v>135</v>
      </c>
      <c r="E45" s="8" t="e">
        <f ca="1">+_xlfn.CONCAT(G45,"-",B45,"_",C45,"_",_xlfn.XLOOKUP(BP45,Account!M:M,Account!N:N))</f>
        <v>#NAME?</v>
      </c>
      <c r="F45" s="12">
        <v>45705</v>
      </c>
      <c r="G45" s="190" t="s">
        <v>2736</v>
      </c>
      <c r="H45" s="190" t="s">
        <v>2737</v>
      </c>
      <c r="I45" s="10" t="s">
        <v>2738</v>
      </c>
      <c r="J45" s="190">
        <v>15</v>
      </c>
      <c r="K45" s="190" t="s">
        <v>2038</v>
      </c>
      <c r="L45" s="190" t="s">
        <v>1279</v>
      </c>
      <c r="M45" s="190" t="s">
        <v>2739</v>
      </c>
      <c r="N45" s="10" t="s">
        <v>2740</v>
      </c>
      <c r="O45" s="169" t="s">
        <v>2741</v>
      </c>
      <c r="P45" s="169" t="s">
        <v>2742</v>
      </c>
      <c r="Q45" s="327">
        <v>22120</v>
      </c>
      <c r="R45" s="190">
        <v>70</v>
      </c>
      <c r="S45" s="190" t="s">
        <v>68</v>
      </c>
      <c r="T45" s="190" t="s">
        <v>2494</v>
      </c>
      <c r="U45" s="190" t="s">
        <v>2495</v>
      </c>
      <c r="V45" s="8" t="s">
        <v>1768</v>
      </c>
      <c r="W45" s="10"/>
      <c r="X45" s="8"/>
      <c r="Y45" s="12" t="s">
        <v>2432</v>
      </c>
      <c r="Z45" s="12"/>
      <c r="AA45" s="12"/>
      <c r="AB45" s="143" t="str">
        <f t="shared" ca="1" si="0"/>
        <v>NY Submit</v>
      </c>
      <c r="AC45" s="13"/>
      <c r="AD45" s="12">
        <v>45707</v>
      </c>
      <c r="AE45" s="12">
        <v>45708</v>
      </c>
      <c r="AF45" s="12" t="s">
        <v>2526</v>
      </c>
      <c r="AG45" s="12"/>
      <c r="AH45" s="11"/>
      <c r="AI45" s="11"/>
      <c r="AJ45" s="11"/>
      <c r="AK45" s="11"/>
      <c r="AL45" s="11"/>
      <c r="AM45" s="11"/>
      <c r="AN45" s="11"/>
      <c r="AO45" s="11" t="str">
        <f>+IF(AM45&lt;&gt;"","ATP App MS",IF(AL45&lt;&gt;"","OA/RFS",IF(AK45&lt;&gt;"","Install",IF(AH45&lt;&gt;"","Dismantle Perangkat",IF(AF45="Drop","Drop",IF(AE45&lt;&gt;"","Survey Report",IF(AD45&lt;&gt;"","Survey","NY Survey")))))))</f>
        <v>Drop</v>
      </c>
      <c r="AP45" s="173"/>
      <c r="AQ45" s="12"/>
      <c r="AR45" s="12"/>
      <c r="AS45" s="12"/>
      <c r="AT45" s="12"/>
      <c r="AU45" s="12"/>
      <c r="AV45" s="12"/>
      <c r="AW45" s="11" t="str">
        <f t="shared" si="1"/>
        <v>NY Submit</v>
      </c>
      <c r="AX45" s="12"/>
      <c r="AY45" s="12"/>
      <c r="AZ45" s="12"/>
      <c r="BA45" s="12"/>
      <c r="BB45" s="12"/>
      <c r="BC45" s="12"/>
      <c r="BD45" s="11" t="str">
        <f t="shared" si="2"/>
        <v>NY Submit</v>
      </c>
      <c r="BE45" s="174"/>
      <c r="BF45" s="12">
        <v>45708</v>
      </c>
      <c r="BG45" s="12">
        <v>45712</v>
      </c>
      <c r="BH45" s="12" t="s">
        <v>2744</v>
      </c>
      <c r="BI45" s="12">
        <v>45708</v>
      </c>
      <c r="BJ45" s="12">
        <v>45712</v>
      </c>
      <c r="BK45" s="174"/>
      <c r="BL45" s="12" t="str">
        <f t="shared" si="3"/>
        <v>Approved</v>
      </c>
      <c r="BM45" s="12" t="str">
        <f t="shared" si="4"/>
        <v>Approved</v>
      </c>
      <c r="BN45" s="12"/>
      <c r="BO45" s="12"/>
      <c r="BP45" s="155" t="s">
        <v>1768</v>
      </c>
      <c r="BQ45" s="12" t="s">
        <v>2526</v>
      </c>
      <c r="BR45" s="12"/>
      <c r="BS45" s="143" t="str">
        <f t="shared" ca="1" si="8"/>
        <v>Drop</v>
      </c>
      <c r="BT45" s="176"/>
      <c r="BU45" s="12"/>
      <c r="BV45" s="143" t="str">
        <f t="shared" ca="1" si="9"/>
        <v>Drop</v>
      </c>
      <c r="BW45" s="12"/>
      <c r="BX45" s="12"/>
      <c r="BY45" s="143"/>
      <c r="BZ45" s="13" t="s">
        <v>2526</v>
      </c>
      <c r="CA45" s="13" t="s">
        <v>2526</v>
      </c>
      <c r="CB45" s="13" t="s">
        <v>2526</v>
      </c>
      <c r="CC45" s="13"/>
      <c r="CD45" s="13"/>
      <c r="CE45" s="198" t="s">
        <v>2747</v>
      </c>
      <c r="CF45" s="198" t="s">
        <v>2748</v>
      </c>
      <c r="CG45" s="272">
        <v>-8.1119199999999996</v>
      </c>
      <c r="CH45" s="272">
        <v>111.80472</v>
      </c>
      <c r="CI45" s="198"/>
      <c r="CJ45" s="198"/>
      <c r="CK45" s="198"/>
      <c r="CL45" s="198"/>
    </row>
    <row r="46" spans="1:90">
      <c r="A46" s="187">
        <v>41</v>
      </c>
      <c r="B46" s="190" t="s">
        <v>2486</v>
      </c>
      <c r="C46" s="190" t="s">
        <v>2487</v>
      </c>
      <c r="D46" s="190" t="s">
        <v>135</v>
      </c>
      <c r="E46" s="8" t="e">
        <f ca="1">+_xlfn.CONCAT(G46,"-",B46,"_",C46,"_",_xlfn.XLOOKUP(BP46,Account!M:M,Account!N:N))</f>
        <v>#NAME?</v>
      </c>
      <c r="F46" s="12">
        <v>45713</v>
      </c>
      <c r="G46" s="190" t="s">
        <v>2749</v>
      </c>
      <c r="H46" s="190" t="s">
        <v>2750</v>
      </c>
      <c r="I46" s="10" t="s">
        <v>2751</v>
      </c>
      <c r="J46" s="190">
        <v>2</v>
      </c>
      <c r="K46" s="190" t="s">
        <v>2038</v>
      </c>
      <c r="L46" s="190" t="s">
        <v>1345</v>
      </c>
      <c r="M46" s="190" t="s">
        <v>2752</v>
      </c>
      <c r="N46" s="10" t="s">
        <v>2753</v>
      </c>
      <c r="O46" s="169" t="s">
        <v>2754</v>
      </c>
      <c r="P46" s="169" t="s">
        <v>2755</v>
      </c>
      <c r="Q46" s="327">
        <v>646.226</v>
      </c>
      <c r="R46" s="190">
        <v>5</v>
      </c>
      <c r="S46" s="190"/>
      <c r="T46" s="190" t="s">
        <v>2518</v>
      </c>
      <c r="U46" s="190" t="s">
        <v>2565</v>
      </c>
      <c r="V46" s="8" t="s">
        <v>1760</v>
      </c>
      <c r="W46" s="10"/>
      <c r="X46" s="8"/>
      <c r="Y46" s="12" t="s">
        <v>2432</v>
      </c>
      <c r="Z46" s="12">
        <v>45713</v>
      </c>
      <c r="AA46" s="12">
        <v>45720</v>
      </c>
      <c r="AB46" s="143" t="str">
        <f t="shared" ca="1" si="0"/>
        <v>Expired</v>
      </c>
      <c r="AC46" s="13"/>
      <c r="AD46" s="12">
        <v>45719</v>
      </c>
      <c r="AE46" s="12">
        <v>45692</v>
      </c>
      <c r="AF46" s="12"/>
      <c r="AG46" s="12">
        <v>45727</v>
      </c>
      <c r="AH46" s="11"/>
      <c r="AI46" s="11">
        <v>45738</v>
      </c>
      <c r="AJ46" s="11"/>
      <c r="AK46" s="11"/>
      <c r="AL46" s="11"/>
      <c r="AM46" s="11"/>
      <c r="AN46" s="11">
        <v>45738</v>
      </c>
      <c r="AO46" s="11" t="str">
        <f>+IF(AN46&lt;&gt;"","BAST",IF(AI46&lt;&gt;"","Dismantle",IF(AG46&lt;&gt;"","RFD App",IF(AF46="Drop","Drop",IF(AE46&lt;&gt;"","Survey Report",IF(AD46&lt;&gt;"","Survey","NY Survey"))))))</f>
        <v>BAST</v>
      </c>
      <c r="AP46" s="173"/>
      <c r="AQ46" s="12">
        <v>45735</v>
      </c>
      <c r="AR46" s="12">
        <v>45735</v>
      </c>
      <c r="AS46" s="12">
        <v>45735</v>
      </c>
      <c r="AT46" s="12"/>
      <c r="AU46" s="12">
        <v>45741</v>
      </c>
      <c r="AV46" s="12">
        <v>45741</v>
      </c>
      <c r="AW46" s="11" t="str">
        <f t="shared" si="1"/>
        <v>1st BOQ App on ISAAC</v>
      </c>
      <c r="AX46" s="12"/>
      <c r="AY46" s="12"/>
      <c r="AZ46" s="12"/>
      <c r="BA46" s="12"/>
      <c r="BB46" s="12"/>
      <c r="BC46" s="12"/>
      <c r="BD46" s="11" t="str">
        <f t="shared" si="2"/>
        <v>NY Submit</v>
      </c>
      <c r="BE46" s="174"/>
      <c r="BF46" s="12">
        <v>45720</v>
      </c>
      <c r="BG46" s="12">
        <v>45728</v>
      </c>
      <c r="BH46" s="12" t="s">
        <v>2756</v>
      </c>
      <c r="BI46" s="12">
        <v>45720</v>
      </c>
      <c r="BJ46" s="12">
        <v>45700</v>
      </c>
      <c r="BK46" s="174" t="s">
        <v>2757</v>
      </c>
      <c r="BL46" s="12" t="str">
        <f t="shared" si="3"/>
        <v>Approved</v>
      </c>
      <c r="BM46" s="12" t="str">
        <f t="shared" si="4"/>
        <v>Approved</v>
      </c>
      <c r="BN46" s="12">
        <v>45741</v>
      </c>
      <c r="BO46" s="12">
        <v>45741</v>
      </c>
      <c r="BP46" s="155" t="s">
        <v>1760</v>
      </c>
      <c r="BQ46" s="12" t="s">
        <v>2758</v>
      </c>
      <c r="BR46" s="12">
        <v>45771</v>
      </c>
      <c r="BS46" s="143">
        <f t="shared" ca="1" si="8"/>
        <v>30</v>
      </c>
      <c r="BT46" s="176"/>
      <c r="BU46" s="12"/>
      <c r="BV46" s="143">
        <f t="shared" ca="1" si="9"/>
        <v>0</v>
      </c>
      <c r="BW46" s="12"/>
      <c r="BX46" s="12"/>
      <c r="BY46" s="143"/>
      <c r="BZ46" s="13" t="s">
        <v>2500</v>
      </c>
      <c r="CA46" s="13"/>
      <c r="CB46" s="13"/>
      <c r="CC46" s="13"/>
      <c r="CD46" s="13"/>
      <c r="CE46" s="198"/>
      <c r="CF46" s="198"/>
      <c r="CG46" s="272"/>
      <c r="CH46" s="272"/>
      <c r="CI46" s="198"/>
      <c r="CJ46" s="198"/>
      <c r="CK46" s="198"/>
      <c r="CL46" s="198"/>
    </row>
    <row r="47" spans="1:90">
      <c r="A47" s="187">
        <v>42</v>
      </c>
      <c r="B47" s="190" t="s">
        <v>2486</v>
      </c>
      <c r="C47" s="190" t="s">
        <v>2487</v>
      </c>
      <c r="D47" s="190" t="s">
        <v>135</v>
      </c>
      <c r="E47" s="8" t="e">
        <f ca="1">+_xlfn.CONCAT(G47,"-",B47,"_",C47,"_",_xlfn.XLOOKUP(BP47,Account!M:M,Account!N:N))</f>
        <v>#NAME?</v>
      </c>
      <c r="F47" s="12">
        <v>45713</v>
      </c>
      <c r="G47" s="190" t="s">
        <v>2759</v>
      </c>
      <c r="H47" s="190" t="s">
        <v>2760</v>
      </c>
      <c r="I47" s="10" t="s">
        <v>2761</v>
      </c>
      <c r="J47" s="190">
        <v>2</v>
      </c>
      <c r="K47" s="190" t="s">
        <v>2038</v>
      </c>
      <c r="L47" s="190" t="s">
        <v>1345</v>
      </c>
      <c r="M47" s="190" t="s">
        <v>2752</v>
      </c>
      <c r="N47" s="10" t="s">
        <v>2762</v>
      </c>
      <c r="O47" s="169" t="s">
        <v>2763</v>
      </c>
      <c r="P47" s="169" t="s">
        <v>2764</v>
      </c>
      <c r="Q47" s="327">
        <v>4930.116</v>
      </c>
      <c r="R47" s="190">
        <v>25</v>
      </c>
      <c r="S47" s="190"/>
      <c r="T47" s="190" t="s">
        <v>2518</v>
      </c>
      <c r="U47" s="190" t="s">
        <v>2519</v>
      </c>
      <c r="V47" s="8" t="s">
        <v>1760</v>
      </c>
      <c r="W47" s="10"/>
      <c r="X47" s="8"/>
      <c r="Y47" s="12" t="s">
        <v>2432</v>
      </c>
      <c r="Z47" s="12">
        <v>45713</v>
      </c>
      <c r="AA47" s="12">
        <v>45720</v>
      </c>
      <c r="AB47" s="143" t="str">
        <f t="shared" ca="1" si="0"/>
        <v>Expired</v>
      </c>
      <c r="AC47" s="13"/>
      <c r="AD47" s="12">
        <v>45717</v>
      </c>
      <c r="AE47" s="12">
        <v>45754</v>
      </c>
      <c r="AF47" s="12"/>
      <c r="AG47" s="12">
        <v>45769</v>
      </c>
      <c r="AH47" s="11"/>
      <c r="AI47" s="11">
        <v>45779</v>
      </c>
      <c r="AJ47" s="11"/>
      <c r="AK47" s="11"/>
      <c r="AL47" s="11"/>
      <c r="AM47" s="11"/>
      <c r="AN47" s="11">
        <v>45797</v>
      </c>
      <c r="AO47" s="11" t="str">
        <f>+IF(AN47&lt;&gt;"","BAST",IF(AI47&lt;&gt;"","Dismantle",IF(AG47&lt;&gt;"","RFD App",IF(AF47="Drop","Drop",IF(AE47&lt;&gt;"","Survey Report",IF(AD47&lt;&gt;"","Survey","NY Survey"))))))</f>
        <v>BAST</v>
      </c>
      <c r="AP47" s="173"/>
      <c r="AQ47" s="12">
        <v>45768</v>
      </c>
      <c r="AR47" s="12">
        <v>45793</v>
      </c>
      <c r="AS47" s="12">
        <v>45792</v>
      </c>
      <c r="AT47" s="12">
        <v>45792</v>
      </c>
      <c r="AU47" s="12">
        <v>45793</v>
      </c>
      <c r="AV47" s="12">
        <v>45793</v>
      </c>
      <c r="AW47" s="11" t="str">
        <f t="shared" si="1"/>
        <v>1st BOQ App on ISAAC</v>
      </c>
      <c r="AX47" s="12"/>
      <c r="AY47" s="12"/>
      <c r="AZ47" s="12"/>
      <c r="BA47" s="12"/>
      <c r="BB47" s="12"/>
      <c r="BC47" s="12"/>
      <c r="BD47" s="11" t="str">
        <f t="shared" si="2"/>
        <v>NY Submit</v>
      </c>
      <c r="BE47" s="174"/>
      <c r="BF47" s="12">
        <v>45758</v>
      </c>
      <c r="BG47" s="12">
        <v>45758</v>
      </c>
      <c r="BH47" s="12" t="s">
        <v>2765</v>
      </c>
      <c r="BI47" s="12">
        <v>45758</v>
      </c>
      <c r="BJ47" s="12">
        <v>45763</v>
      </c>
      <c r="BK47" s="174" t="s">
        <v>2766</v>
      </c>
      <c r="BL47" s="12" t="str">
        <f t="shared" si="3"/>
        <v>Approved</v>
      </c>
      <c r="BM47" s="12" t="str">
        <f t="shared" si="4"/>
        <v>Approved</v>
      </c>
      <c r="BN47" s="12"/>
      <c r="BO47" s="12">
        <v>45797</v>
      </c>
      <c r="BP47" s="155" t="s">
        <v>1760</v>
      </c>
      <c r="BQ47" s="12" t="s">
        <v>2767</v>
      </c>
      <c r="BR47" s="12">
        <v>45813</v>
      </c>
      <c r="BS47" s="143">
        <f t="shared" ca="1" si="8"/>
        <v>20</v>
      </c>
      <c r="BT47" s="176"/>
      <c r="BU47" s="12"/>
      <c r="BV47" s="143">
        <f t="shared" ca="1" si="9"/>
        <v>0</v>
      </c>
      <c r="BW47" s="12"/>
      <c r="BX47" s="12"/>
      <c r="BY47" s="143"/>
      <c r="BZ47" s="13" t="s">
        <v>2500</v>
      </c>
      <c r="CA47" s="13"/>
      <c r="CB47" s="13"/>
      <c r="CC47" s="13"/>
      <c r="CD47" s="13"/>
      <c r="CE47" s="198"/>
      <c r="CF47" s="198"/>
      <c r="CG47" s="272"/>
      <c r="CH47" s="272"/>
      <c r="CI47" s="198"/>
      <c r="CJ47" s="198"/>
      <c r="CK47" s="198"/>
      <c r="CL47" s="198"/>
    </row>
    <row r="48" spans="1:90">
      <c r="A48" s="187">
        <v>43</v>
      </c>
      <c r="B48" s="190" t="s">
        <v>2486</v>
      </c>
      <c r="C48" s="190" t="s">
        <v>2487</v>
      </c>
      <c r="D48" s="190" t="s">
        <v>135</v>
      </c>
      <c r="E48" s="8" t="e">
        <f ca="1">+_xlfn.CONCAT(G48,"-",B48,"_",C48,"_",_xlfn.XLOOKUP(BP48,Account!M:M,Account!N:N))</f>
        <v>#NAME?</v>
      </c>
      <c r="F48" s="12">
        <v>45713</v>
      </c>
      <c r="G48" s="190" t="s">
        <v>2768</v>
      </c>
      <c r="H48" s="190" t="s">
        <v>2769</v>
      </c>
      <c r="I48" s="10" t="s">
        <v>2770</v>
      </c>
      <c r="J48" s="190">
        <v>2</v>
      </c>
      <c r="K48" s="190" t="s">
        <v>2038</v>
      </c>
      <c r="L48" s="190" t="s">
        <v>1345</v>
      </c>
      <c r="M48" s="190" t="s">
        <v>2752</v>
      </c>
      <c r="N48" s="10" t="s">
        <v>2771</v>
      </c>
      <c r="O48" s="169" t="s">
        <v>2772</v>
      </c>
      <c r="P48" s="169" t="s">
        <v>2773</v>
      </c>
      <c r="Q48" s="327">
        <v>1577.2170000000001</v>
      </c>
      <c r="R48" s="190">
        <v>12</v>
      </c>
      <c r="S48" s="190"/>
      <c r="T48" s="190" t="s">
        <v>2518</v>
      </c>
      <c r="U48" s="190" t="s">
        <v>2565</v>
      </c>
      <c r="V48" s="8" t="s">
        <v>1760</v>
      </c>
      <c r="W48" s="10"/>
      <c r="X48" s="8"/>
      <c r="Y48" s="12" t="s">
        <v>2432</v>
      </c>
      <c r="Z48" s="12">
        <v>45713</v>
      </c>
      <c r="AA48" s="12">
        <v>45720</v>
      </c>
      <c r="AB48" s="143" t="str">
        <f t="shared" ca="1" si="0"/>
        <v>Expired</v>
      </c>
      <c r="AC48" s="13"/>
      <c r="AD48" s="12">
        <v>45719</v>
      </c>
      <c r="AE48" s="12">
        <v>45692</v>
      </c>
      <c r="AF48" s="12"/>
      <c r="AG48" s="12">
        <v>45762</v>
      </c>
      <c r="AH48" s="11"/>
      <c r="AI48" s="11">
        <v>45771</v>
      </c>
      <c r="AJ48" s="11"/>
      <c r="AK48" s="11"/>
      <c r="AL48" s="11"/>
      <c r="AM48" s="11"/>
      <c r="AN48" s="11">
        <v>45772</v>
      </c>
      <c r="AO48" s="11" t="str">
        <f>+IF(AN48&lt;&gt;"","BAST",IF(AI48&lt;&gt;"","Dismantle",IF(AG48&lt;&gt;"","RFD App",IF(AF48="Drop","Drop",IF(AE48&lt;&gt;"","Survey Report",IF(AD48&lt;&gt;"","Survey","NY Survey"))))))</f>
        <v>BAST</v>
      </c>
      <c r="AP48" s="173"/>
      <c r="AQ48" s="12">
        <v>45735</v>
      </c>
      <c r="AR48" s="12">
        <v>45735</v>
      </c>
      <c r="AS48" s="12">
        <v>45735</v>
      </c>
      <c r="AT48" s="12"/>
      <c r="AU48" s="12">
        <v>45741</v>
      </c>
      <c r="AV48" s="12">
        <v>45741</v>
      </c>
      <c r="AW48" s="11" t="str">
        <f t="shared" si="1"/>
        <v>1st BOQ App on ISAAC</v>
      </c>
      <c r="AX48" s="12"/>
      <c r="AY48" s="12"/>
      <c r="AZ48" s="12"/>
      <c r="BA48" s="12"/>
      <c r="BB48" s="12"/>
      <c r="BC48" s="12"/>
      <c r="BD48" s="11" t="str">
        <f t="shared" si="2"/>
        <v>NY Submit</v>
      </c>
      <c r="BE48" s="174"/>
      <c r="BF48" s="12">
        <v>45722</v>
      </c>
      <c r="BG48" s="12">
        <v>45741</v>
      </c>
      <c r="BH48" s="12" t="s">
        <v>2774</v>
      </c>
      <c r="BI48" s="12">
        <v>45722</v>
      </c>
      <c r="BJ48" s="12">
        <v>45736</v>
      </c>
      <c r="BK48" s="174" t="s">
        <v>2775</v>
      </c>
      <c r="BL48" s="12" t="str">
        <f t="shared" si="3"/>
        <v>Approved</v>
      </c>
      <c r="BM48" s="12" t="str">
        <f t="shared" si="4"/>
        <v>Approved</v>
      </c>
      <c r="BN48" s="12">
        <v>45772</v>
      </c>
      <c r="BO48" s="12">
        <v>45775</v>
      </c>
      <c r="BP48" s="155" t="s">
        <v>1760</v>
      </c>
      <c r="BQ48" s="12" t="s">
        <v>2776</v>
      </c>
      <c r="BR48" s="12">
        <v>45771</v>
      </c>
      <c r="BS48" s="143">
        <f t="shared" ca="1" si="8"/>
        <v>30</v>
      </c>
      <c r="BT48" s="176"/>
      <c r="BU48" s="12"/>
      <c r="BV48" s="143">
        <f t="shared" ca="1" si="9"/>
        <v>0</v>
      </c>
      <c r="BW48" s="12"/>
      <c r="BX48" s="12"/>
      <c r="BY48" s="143"/>
      <c r="BZ48" s="13" t="s">
        <v>2500</v>
      </c>
      <c r="CA48" s="13"/>
      <c r="CB48" s="13"/>
      <c r="CC48" s="13"/>
      <c r="CD48" s="13"/>
      <c r="CE48" s="198"/>
      <c r="CF48" s="198"/>
      <c r="CG48" s="272"/>
      <c r="CH48" s="272"/>
      <c r="CI48" s="198"/>
      <c r="CJ48" s="198"/>
      <c r="CK48" s="198"/>
      <c r="CL48" s="198"/>
    </row>
    <row r="49" spans="1:90">
      <c r="A49" s="187">
        <v>44</v>
      </c>
      <c r="B49" s="190" t="s">
        <v>2486</v>
      </c>
      <c r="C49" s="190" t="s">
        <v>2487</v>
      </c>
      <c r="D49" s="190" t="s">
        <v>135</v>
      </c>
      <c r="E49" s="8" t="e">
        <f ca="1">+_xlfn.CONCAT(G49,"-",B49,"_",C49,"_",_xlfn.XLOOKUP(BP49,Account!M:M,Account!N:N))</f>
        <v>#NAME?</v>
      </c>
      <c r="F49" s="12">
        <v>45713</v>
      </c>
      <c r="G49" s="190" t="s">
        <v>2777</v>
      </c>
      <c r="H49" s="190" t="s">
        <v>2778</v>
      </c>
      <c r="I49" s="10" t="s">
        <v>2779</v>
      </c>
      <c r="J49" s="190">
        <v>2</v>
      </c>
      <c r="K49" s="190" t="s">
        <v>2038</v>
      </c>
      <c r="L49" s="190" t="s">
        <v>2780</v>
      </c>
      <c r="M49" s="190" t="s">
        <v>2781</v>
      </c>
      <c r="N49" s="10" t="s">
        <v>2782</v>
      </c>
      <c r="O49" s="169" t="s">
        <v>2783</v>
      </c>
      <c r="P49" s="169" t="s">
        <v>2784</v>
      </c>
      <c r="Q49" s="327">
        <v>22120.78</v>
      </c>
      <c r="R49" s="190">
        <v>70</v>
      </c>
      <c r="S49" s="190"/>
      <c r="T49" s="190" t="s">
        <v>2494</v>
      </c>
      <c r="U49" s="190" t="s">
        <v>2495</v>
      </c>
      <c r="V49" s="8" t="s">
        <v>1760</v>
      </c>
      <c r="W49" s="10"/>
      <c r="X49" s="8"/>
      <c r="Y49" s="12" t="s">
        <v>2432</v>
      </c>
      <c r="Z49" s="12">
        <v>45713</v>
      </c>
      <c r="AA49" s="12">
        <v>45720</v>
      </c>
      <c r="AB49" s="143" t="str">
        <f t="shared" ca="1" si="0"/>
        <v>Expired</v>
      </c>
      <c r="AC49" s="13"/>
      <c r="AD49" s="12">
        <v>45719</v>
      </c>
      <c r="AE49" s="12">
        <v>45719</v>
      </c>
      <c r="AF49" s="12"/>
      <c r="AG49" s="12">
        <v>45762</v>
      </c>
      <c r="AH49" s="11"/>
      <c r="AI49" s="11">
        <v>45775</v>
      </c>
      <c r="AJ49" s="11"/>
      <c r="AK49" s="11"/>
      <c r="AL49" s="11"/>
      <c r="AM49" s="11"/>
      <c r="AN49" s="11">
        <v>45776</v>
      </c>
      <c r="AO49" s="11" t="str">
        <f>+IF(AN49&lt;&gt;"","BAST",IF(AI49&lt;&gt;"","Dismantle",IF(AG49&lt;&gt;"","RFD App",IF(AF49="Drop","Drop",IF(AE49&lt;&gt;"","Survey Report",IF(AD49&lt;&gt;"","Survey","NY Survey"))))))</f>
        <v>BAST</v>
      </c>
      <c r="AP49" s="173"/>
      <c r="AQ49" s="12">
        <v>45757</v>
      </c>
      <c r="AR49" s="12">
        <v>45757</v>
      </c>
      <c r="AS49" s="12">
        <v>45765</v>
      </c>
      <c r="AT49" s="12">
        <v>45765</v>
      </c>
      <c r="AU49" s="12">
        <v>45769</v>
      </c>
      <c r="AV49" s="12">
        <v>45769</v>
      </c>
      <c r="AW49" s="11" t="str">
        <f t="shared" si="1"/>
        <v>1st BOQ App on ISAAC</v>
      </c>
      <c r="AX49" s="12"/>
      <c r="AY49" s="12"/>
      <c r="AZ49" s="12"/>
      <c r="BA49" s="12"/>
      <c r="BB49" s="12"/>
      <c r="BC49" s="12"/>
      <c r="BD49" s="11" t="str">
        <f t="shared" si="2"/>
        <v>NY Submit</v>
      </c>
      <c r="BE49" s="174"/>
      <c r="BF49" s="12">
        <v>45720</v>
      </c>
      <c r="BG49" s="12">
        <v>45720</v>
      </c>
      <c r="BH49" s="12" t="s">
        <v>2785</v>
      </c>
      <c r="BI49" s="12">
        <v>45720</v>
      </c>
      <c r="BJ49" s="12">
        <v>45720</v>
      </c>
      <c r="BK49" s="174" t="s">
        <v>2786</v>
      </c>
      <c r="BL49" s="12" t="str">
        <f t="shared" si="3"/>
        <v>Approved</v>
      </c>
      <c r="BM49" s="12" t="str">
        <f t="shared" si="4"/>
        <v>Approved</v>
      </c>
      <c r="BN49" s="12">
        <v>45776</v>
      </c>
      <c r="BO49" s="12">
        <v>45776</v>
      </c>
      <c r="BP49" s="155" t="s">
        <v>1760</v>
      </c>
      <c r="BQ49" s="12" t="s">
        <v>2787</v>
      </c>
      <c r="BR49" s="12">
        <v>45791</v>
      </c>
      <c r="BS49" s="143">
        <f t="shared" ca="1" si="8"/>
        <v>22</v>
      </c>
      <c r="BT49" s="176"/>
      <c r="BU49" s="12"/>
      <c r="BV49" s="143">
        <f t="shared" ca="1" si="9"/>
        <v>0</v>
      </c>
      <c r="BW49" s="12"/>
      <c r="BX49" s="12"/>
      <c r="BY49" s="143"/>
      <c r="BZ49" s="13" t="s">
        <v>2500</v>
      </c>
      <c r="CA49" s="13"/>
      <c r="CB49" s="13"/>
      <c r="CC49" s="13"/>
      <c r="CD49" s="13"/>
      <c r="CE49" s="198"/>
      <c r="CF49" s="198"/>
      <c r="CG49" s="272"/>
      <c r="CH49" s="272"/>
      <c r="CI49" s="198"/>
      <c r="CJ49" s="198"/>
      <c r="CK49" s="198"/>
      <c r="CL49" s="198"/>
    </row>
    <row r="50" spans="1:90">
      <c r="A50" s="187">
        <v>45</v>
      </c>
      <c r="B50" s="190" t="s">
        <v>2486</v>
      </c>
      <c r="C50" s="190" t="s">
        <v>2487</v>
      </c>
      <c r="D50" s="190" t="s">
        <v>135</v>
      </c>
      <c r="E50" s="8" t="e">
        <f ca="1">+_xlfn.CONCAT(G50,"-",B50,"_",C50,"_",_xlfn.XLOOKUP(BP50,Account!M:M,Account!N:N))</f>
        <v>#NAME?</v>
      </c>
      <c r="F50" s="12">
        <v>45716</v>
      </c>
      <c r="G50" s="190" t="s">
        <v>2088</v>
      </c>
      <c r="H50" s="190" t="s">
        <v>2788</v>
      </c>
      <c r="I50" s="10" t="s">
        <v>2089</v>
      </c>
      <c r="J50" s="190">
        <v>16</v>
      </c>
      <c r="K50" s="190" t="s">
        <v>2486</v>
      </c>
      <c r="L50" s="190" t="s">
        <v>1230</v>
      </c>
      <c r="M50" s="190" t="s">
        <v>2562</v>
      </c>
      <c r="N50" s="10" t="s">
        <v>2789</v>
      </c>
      <c r="O50" s="169" t="s">
        <v>2790</v>
      </c>
      <c r="P50" s="169" t="s">
        <v>2791</v>
      </c>
      <c r="Q50" s="327"/>
      <c r="R50" s="190">
        <v>9</v>
      </c>
      <c r="S50" s="190" t="s">
        <v>68</v>
      </c>
      <c r="T50" s="190" t="s">
        <v>2518</v>
      </c>
      <c r="U50" s="190" t="s">
        <v>2565</v>
      </c>
      <c r="V50" s="8" t="s">
        <v>1760</v>
      </c>
      <c r="W50" s="10"/>
      <c r="X50" s="8"/>
      <c r="Y50" s="12" t="s">
        <v>2432</v>
      </c>
      <c r="Z50" s="12"/>
      <c r="AA50" s="12"/>
      <c r="AB50" s="143" t="str">
        <f t="shared" ca="1" si="0"/>
        <v>NY Submit</v>
      </c>
      <c r="AC50" s="13"/>
      <c r="AD50" s="12">
        <v>45718</v>
      </c>
      <c r="AE50" s="12">
        <v>45677</v>
      </c>
      <c r="AF50" s="12" t="s">
        <v>2526</v>
      </c>
      <c r="AG50" s="12"/>
      <c r="AH50" s="11"/>
      <c r="AI50" s="11"/>
      <c r="AJ50" s="11"/>
      <c r="AK50" s="11"/>
      <c r="AL50" s="11"/>
      <c r="AM50" s="11"/>
      <c r="AN50" s="11"/>
      <c r="AO50" s="11" t="str">
        <f>+IF(AN50&lt;&gt;"","BAST",IF(AI50&lt;&gt;"","Dismantle",IF(AG50&lt;&gt;"","RFD App",IF(AF50="Drop","Drop",IF(AE50&lt;&gt;"","Survey Report",IF(AD50&lt;&gt;"","Survey","NY Survey"))))))</f>
        <v>Drop</v>
      </c>
      <c r="AP50" s="173"/>
      <c r="AQ50" s="12"/>
      <c r="AR50" s="12"/>
      <c r="AS50" s="12"/>
      <c r="AT50" s="12"/>
      <c r="AU50" s="12"/>
      <c r="AV50" s="12"/>
      <c r="AW50" s="11" t="str">
        <f t="shared" si="1"/>
        <v>NY Submit</v>
      </c>
      <c r="AX50" s="12"/>
      <c r="AY50" s="12"/>
      <c r="AZ50" s="12"/>
      <c r="BA50" s="12"/>
      <c r="BB50" s="12"/>
      <c r="BC50" s="12"/>
      <c r="BD50" s="11" t="str">
        <f t="shared" si="2"/>
        <v>NY Submit</v>
      </c>
      <c r="BE50" s="174"/>
      <c r="BF50" s="12">
        <v>45722</v>
      </c>
      <c r="BG50" s="12">
        <v>45728</v>
      </c>
      <c r="BH50" s="12" t="s">
        <v>2792</v>
      </c>
      <c r="BI50" s="12">
        <v>45722</v>
      </c>
      <c r="BJ50" s="12">
        <v>45728</v>
      </c>
      <c r="BK50" s="174" t="s">
        <v>2793</v>
      </c>
      <c r="BL50" s="12" t="str">
        <f t="shared" si="3"/>
        <v>Approved</v>
      </c>
      <c r="BM50" s="12" t="str">
        <f t="shared" si="4"/>
        <v>Approved</v>
      </c>
      <c r="BN50" s="12"/>
      <c r="BO50" s="12"/>
      <c r="BP50" s="155" t="s">
        <v>1760</v>
      </c>
      <c r="BQ50" s="12" t="s">
        <v>2526</v>
      </c>
      <c r="BR50" s="12"/>
      <c r="BS50" s="143" t="str">
        <f t="shared" ca="1" si="8"/>
        <v>Drop</v>
      </c>
      <c r="BT50" s="176"/>
      <c r="BU50" s="12"/>
      <c r="BV50" s="143" t="str">
        <f t="shared" ca="1" si="9"/>
        <v>Drop</v>
      </c>
      <c r="BW50" s="12"/>
      <c r="BX50" s="12"/>
      <c r="BY50" s="143"/>
      <c r="BZ50" s="13" t="s">
        <v>2526</v>
      </c>
      <c r="CA50" s="13" t="s">
        <v>2526</v>
      </c>
      <c r="CB50" s="13" t="s">
        <v>2526</v>
      </c>
      <c r="CC50" s="13" t="s">
        <v>271</v>
      </c>
      <c r="CD50" s="13"/>
      <c r="CE50" s="198" t="s">
        <v>2794</v>
      </c>
      <c r="CF50" s="198" t="s">
        <v>2795</v>
      </c>
      <c r="CG50" s="272">
        <v>-8.8447800000000001</v>
      </c>
      <c r="CH50" s="272">
        <v>115.18544</v>
      </c>
      <c r="CI50" s="198"/>
      <c r="CJ50" s="198"/>
      <c r="CK50" s="198"/>
      <c r="CL50" s="198"/>
    </row>
    <row r="51" spans="1:90" ht="30" customHeight="1">
      <c r="A51" s="187">
        <v>46</v>
      </c>
      <c r="B51" s="190" t="s">
        <v>2486</v>
      </c>
      <c r="C51" s="190" t="s">
        <v>2487</v>
      </c>
      <c r="D51" s="190" t="s">
        <v>135</v>
      </c>
      <c r="E51" s="8" t="e">
        <f ca="1">+_xlfn.CONCAT(G51,"-",B51,"_",C51,"_",_xlfn.XLOOKUP(BP51,Account!M:M,Account!N:N))</f>
        <v>#NAME?</v>
      </c>
      <c r="F51" s="12">
        <v>45716</v>
      </c>
      <c r="G51" s="190" t="s">
        <v>2088</v>
      </c>
      <c r="H51" s="190" t="s">
        <v>2788</v>
      </c>
      <c r="I51" s="10" t="s">
        <v>2089</v>
      </c>
      <c r="J51" s="190">
        <v>16</v>
      </c>
      <c r="K51" s="190" t="s">
        <v>2486</v>
      </c>
      <c r="L51" s="190" t="s">
        <v>1230</v>
      </c>
      <c r="M51" s="190" t="s">
        <v>2562</v>
      </c>
      <c r="N51" s="10" t="s">
        <v>2789</v>
      </c>
      <c r="O51" s="169" t="s">
        <v>2790</v>
      </c>
      <c r="P51" s="169" t="s">
        <v>2791</v>
      </c>
      <c r="Q51" s="327"/>
      <c r="R51" s="190">
        <v>9</v>
      </c>
      <c r="S51" s="190" t="s">
        <v>68</v>
      </c>
      <c r="T51" s="190" t="s">
        <v>2518</v>
      </c>
      <c r="U51" s="190" t="s">
        <v>2565</v>
      </c>
      <c r="V51" s="8" t="s">
        <v>2011</v>
      </c>
      <c r="W51" s="10"/>
      <c r="X51" s="8"/>
      <c r="Y51" s="12" t="s">
        <v>2432</v>
      </c>
      <c r="Z51" s="172">
        <v>45799</v>
      </c>
      <c r="AA51" s="12">
        <v>45889</v>
      </c>
      <c r="AB51" s="143" t="str">
        <f t="shared" ca="1" si="0"/>
        <v>Expired</v>
      </c>
      <c r="AC51" s="13"/>
      <c r="AD51" s="12">
        <v>45718</v>
      </c>
      <c r="AE51" s="12">
        <v>45677</v>
      </c>
      <c r="AF51" s="12"/>
      <c r="AG51" s="12"/>
      <c r="AH51" s="11">
        <v>45803</v>
      </c>
      <c r="AI51" s="11"/>
      <c r="AJ51" s="11"/>
      <c r="AK51" s="11"/>
      <c r="AL51" s="11"/>
      <c r="AM51" s="11">
        <v>45803</v>
      </c>
      <c r="AN51" s="11"/>
      <c r="AO51" s="11" t="str">
        <f>+IF(AM51&lt;&gt;"","ATP App MS",IF(AJ51&lt;&gt;"","Inbound",IF(AH51&lt;&gt;"","Dismantle Perangkat",IF(AF51="Drop","Drop",IF(AE51&lt;&gt;"","Survey Report",IF(AD51&lt;&gt;"","Survey","NY Survey"))))))</f>
        <v>ATP App MS</v>
      </c>
      <c r="AP51" s="173"/>
      <c r="AQ51" s="12">
        <v>45722</v>
      </c>
      <c r="AR51" s="12">
        <v>45722</v>
      </c>
      <c r="AS51" s="12">
        <v>45728</v>
      </c>
      <c r="AT51" s="12">
        <v>45728</v>
      </c>
      <c r="AU51" s="12">
        <v>45733</v>
      </c>
      <c r="AV51" s="12">
        <v>45733</v>
      </c>
      <c r="AW51" s="11" t="str">
        <f t="shared" si="1"/>
        <v>1st BOQ App on ISAAC</v>
      </c>
      <c r="AX51" s="12"/>
      <c r="AY51" s="12"/>
      <c r="AZ51" s="12"/>
      <c r="BA51" s="12"/>
      <c r="BB51" s="12"/>
      <c r="BC51" s="12"/>
      <c r="BD51" s="11" t="str">
        <f t="shared" si="2"/>
        <v>NY Submit</v>
      </c>
      <c r="BE51" s="174"/>
      <c r="BF51" s="12">
        <v>45722</v>
      </c>
      <c r="BG51" s="12">
        <v>45728</v>
      </c>
      <c r="BH51" s="12" t="s">
        <v>2792</v>
      </c>
      <c r="BI51" s="12">
        <v>45777</v>
      </c>
      <c r="BJ51" s="12">
        <v>45777</v>
      </c>
      <c r="BK51" s="174"/>
      <c r="BL51" s="12" t="str">
        <f t="shared" si="3"/>
        <v>Approved</v>
      </c>
      <c r="BM51" s="12" t="str">
        <f t="shared" si="4"/>
        <v>Approved</v>
      </c>
      <c r="BN51" s="12"/>
      <c r="BO51" s="12"/>
      <c r="BP51" s="155" t="s">
        <v>2011</v>
      </c>
      <c r="BQ51" s="12" t="s">
        <v>2796</v>
      </c>
      <c r="BR51" s="12">
        <v>45791</v>
      </c>
      <c r="BS51" s="143">
        <f t="shared" ca="1" si="8"/>
        <v>58</v>
      </c>
      <c r="BT51" s="176"/>
      <c r="BU51" s="12"/>
      <c r="BV51" s="143">
        <f t="shared" ca="1" si="9"/>
        <v>0</v>
      </c>
      <c r="BW51" s="12"/>
      <c r="BX51" s="12"/>
      <c r="BY51" s="143"/>
      <c r="BZ51" s="13" t="s">
        <v>2500</v>
      </c>
      <c r="CA51" s="13"/>
      <c r="CB51" s="13"/>
      <c r="CC51" s="13"/>
      <c r="CD51" s="13"/>
      <c r="CE51" s="198" t="s">
        <v>2794</v>
      </c>
      <c r="CF51" s="198" t="s">
        <v>2795</v>
      </c>
      <c r="CG51" s="272">
        <v>-8.8447800000000001</v>
      </c>
      <c r="CH51" s="272">
        <v>115.18544</v>
      </c>
      <c r="CI51" s="198" t="s">
        <v>2797</v>
      </c>
      <c r="CJ51" s="198"/>
      <c r="CK51" s="198"/>
      <c r="CL51" s="198"/>
    </row>
    <row r="52" spans="1:90" ht="30" customHeight="1">
      <c r="A52" s="187">
        <v>47</v>
      </c>
      <c r="B52" s="190" t="s">
        <v>2486</v>
      </c>
      <c r="C52" s="190" t="s">
        <v>2487</v>
      </c>
      <c r="D52" s="190" t="s">
        <v>135</v>
      </c>
      <c r="E52" s="8" t="e">
        <f ca="1">+_xlfn.CONCAT(G52,"-",B52,"_",C52,"_",_xlfn.XLOOKUP(BP52,Account!M:M,Account!N:N))</f>
        <v>#NAME?</v>
      </c>
      <c r="F52" s="12">
        <v>45716</v>
      </c>
      <c r="G52" s="190" t="s">
        <v>2088</v>
      </c>
      <c r="H52" s="190" t="s">
        <v>2788</v>
      </c>
      <c r="I52" s="10" t="s">
        <v>2089</v>
      </c>
      <c r="J52" s="190">
        <v>16</v>
      </c>
      <c r="K52" s="190" t="s">
        <v>2486</v>
      </c>
      <c r="L52" s="190" t="s">
        <v>1230</v>
      </c>
      <c r="M52" s="190" t="s">
        <v>2562</v>
      </c>
      <c r="N52" s="10" t="s">
        <v>2789</v>
      </c>
      <c r="O52" s="169" t="s">
        <v>2790</v>
      </c>
      <c r="P52" s="169" t="s">
        <v>2791</v>
      </c>
      <c r="Q52" s="327"/>
      <c r="R52" s="190">
        <v>9</v>
      </c>
      <c r="S52" s="190" t="s">
        <v>68</v>
      </c>
      <c r="T52" s="190" t="s">
        <v>2518</v>
      </c>
      <c r="U52" s="190" t="s">
        <v>2565</v>
      </c>
      <c r="V52" s="8" t="s">
        <v>1768</v>
      </c>
      <c r="W52" s="171" t="s">
        <v>2406</v>
      </c>
      <c r="X52" s="8"/>
      <c r="Y52" s="12" t="s">
        <v>2432</v>
      </c>
      <c r="Z52" s="172">
        <v>45799</v>
      </c>
      <c r="AA52" s="12">
        <v>45889</v>
      </c>
      <c r="AB52" s="143" t="str">
        <f t="shared" ca="1" si="0"/>
        <v>Expired</v>
      </c>
      <c r="AC52" s="13"/>
      <c r="AD52" s="12">
        <v>45718</v>
      </c>
      <c r="AE52" s="12">
        <v>45677</v>
      </c>
      <c r="AF52" s="12"/>
      <c r="AG52" s="12"/>
      <c r="AH52" s="11"/>
      <c r="AI52" s="11"/>
      <c r="AJ52" s="11"/>
      <c r="AK52" s="11">
        <v>45803</v>
      </c>
      <c r="AL52" s="11">
        <v>45803</v>
      </c>
      <c r="AM52" s="11">
        <v>45803</v>
      </c>
      <c r="AN52" s="11"/>
      <c r="AO52" s="11" t="str">
        <f>+IF(AM52&lt;&gt;"","ATP App MS",IF(AL52&lt;&gt;"","OA/RFS",IF(AK52&lt;&gt;"","Install",IF(AH52&lt;&gt;"","Dismantle Perangkat",IF(AF52="Drop","Drop",IF(AE52&lt;&gt;"","Survey Report",IF(AD52&lt;&gt;"","Survey","NY Survey")))))))</f>
        <v>ATP App MS</v>
      </c>
      <c r="AP52" s="173"/>
      <c r="AQ52" s="12">
        <v>45722</v>
      </c>
      <c r="AR52" s="12">
        <v>45722</v>
      </c>
      <c r="AS52" s="12">
        <v>45728</v>
      </c>
      <c r="AT52" s="12">
        <v>45728</v>
      </c>
      <c r="AU52" s="12">
        <v>45733</v>
      </c>
      <c r="AV52" s="12">
        <v>45733</v>
      </c>
      <c r="AW52" s="11" t="str">
        <f t="shared" si="1"/>
        <v>1st BOQ App on ISAAC</v>
      </c>
      <c r="AX52" s="12"/>
      <c r="AY52" s="12"/>
      <c r="AZ52" s="12"/>
      <c r="BA52" s="12"/>
      <c r="BB52" s="12"/>
      <c r="BC52" s="12"/>
      <c r="BD52" s="11" t="str">
        <f t="shared" si="2"/>
        <v>NY Submit</v>
      </c>
      <c r="BE52" s="174"/>
      <c r="BF52" s="12">
        <v>45722</v>
      </c>
      <c r="BG52" s="12">
        <v>45728</v>
      </c>
      <c r="BH52" s="12" t="s">
        <v>2792</v>
      </c>
      <c r="BI52" s="12">
        <v>45777</v>
      </c>
      <c r="BJ52" s="12">
        <v>45777</v>
      </c>
      <c r="BK52" s="174"/>
      <c r="BL52" s="12" t="str">
        <f t="shared" si="3"/>
        <v>Approved</v>
      </c>
      <c r="BM52" s="12" t="str">
        <f t="shared" si="4"/>
        <v>Approved</v>
      </c>
      <c r="BN52" s="12"/>
      <c r="BO52" s="12"/>
      <c r="BP52" s="155" t="s">
        <v>1768</v>
      </c>
      <c r="BQ52" s="12" t="s">
        <v>2798</v>
      </c>
      <c r="BR52" s="12">
        <v>45803</v>
      </c>
      <c r="BS52" s="143">
        <f t="shared" ca="1" si="8"/>
        <v>70</v>
      </c>
      <c r="BT52" s="176"/>
      <c r="BU52" s="12"/>
      <c r="BV52" s="143">
        <f t="shared" ca="1" si="9"/>
        <v>0</v>
      </c>
      <c r="BW52" s="12"/>
      <c r="BX52" s="12"/>
      <c r="BY52" s="143"/>
      <c r="BZ52" s="13" t="s">
        <v>2500</v>
      </c>
      <c r="CA52" s="13"/>
      <c r="CB52" s="13"/>
      <c r="CC52" s="13"/>
      <c r="CD52" s="13"/>
      <c r="CE52" s="198" t="s">
        <v>2794</v>
      </c>
      <c r="CF52" s="198" t="s">
        <v>2795</v>
      </c>
      <c r="CG52" s="272">
        <v>-8.8447800000000001</v>
      </c>
      <c r="CH52" s="272">
        <v>115.18544</v>
      </c>
      <c r="CI52" s="198" t="s">
        <v>2799</v>
      </c>
      <c r="CJ52" s="198"/>
      <c r="CK52" s="198"/>
      <c r="CL52" s="198"/>
    </row>
    <row r="53" spans="1:90" ht="30" customHeight="1">
      <c r="A53" s="187">
        <v>48</v>
      </c>
      <c r="B53" s="190" t="s">
        <v>2486</v>
      </c>
      <c r="C53" s="190" t="s">
        <v>2487</v>
      </c>
      <c r="D53" s="190" t="s">
        <v>135</v>
      </c>
      <c r="E53" s="8" t="e">
        <f ca="1">+_xlfn.CONCAT(G53,"-",B53,"_",C53,"_",_xlfn.XLOOKUP(BP53,Account!M:M,Account!N:N))</f>
        <v>#NAME?</v>
      </c>
      <c r="F53" s="12">
        <v>45716</v>
      </c>
      <c r="G53" s="190" t="s">
        <v>2088</v>
      </c>
      <c r="H53" s="190" t="s">
        <v>2788</v>
      </c>
      <c r="I53" s="10" t="s">
        <v>2089</v>
      </c>
      <c r="J53" s="190">
        <v>16</v>
      </c>
      <c r="K53" s="190" t="s">
        <v>2486</v>
      </c>
      <c r="L53" s="190" t="s">
        <v>1230</v>
      </c>
      <c r="M53" s="190" t="s">
        <v>2562</v>
      </c>
      <c r="N53" s="10" t="s">
        <v>2789</v>
      </c>
      <c r="O53" s="169" t="s">
        <v>2790</v>
      </c>
      <c r="P53" s="169" t="s">
        <v>2791</v>
      </c>
      <c r="Q53" s="327"/>
      <c r="R53" s="190">
        <v>9</v>
      </c>
      <c r="S53" s="190" t="s">
        <v>68</v>
      </c>
      <c r="T53" s="190" t="s">
        <v>2518</v>
      </c>
      <c r="U53" s="190" t="s">
        <v>2565</v>
      </c>
      <c r="V53" s="8" t="s">
        <v>2800</v>
      </c>
      <c r="W53" s="10"/>
      <c r="X53" s="8"/>
      <c r="Y53" s="12" t="s">
        <v>2432</v>
      </c>
      <c r="Z53" s="172">
        <v>45799</v>
      </c>
      <c r="AA53" s="12">
        <v>45889</v>
      </c>
      <c r="AB53" s="143" t="str">
        <f t="shared" ca="1" si="0"/>
        <v>Expired</v>
      </c>
      <c r="AC53" s="13"/>
      <c r="AD53" s="12">
        <v>45742</v>
      </c>
      <c r="AE53" s="12">
        <v>45743</v>
      </c>
      <c r="AF53" s="12"/>
      <c r="AG53" s="12"/>
      <c r="AH53" s="11"/>
      <c r="AI53" s="11"/>
      <c r="AJ53" s="11"/>
      <c r="AK53" s="11"/>
      <c r="AL53" s="11"/>
      <c r="AM53" s="12">
        <v>45743</v>
      </c>
      <c r="AN53" s="11"/>
      <c r="AO53" s="11" t="str">
        <f>+IF(AM53&lt;&gt;"","Survey LOS App",IF(AF53="Drop","Drop",IF(AE53&lt;&gt;"","Survey Report",IF(AD53&lt;&gt;"","Survey","NY Survey"))))</f>
        <v>Survey LOS App</v>
      </c>
      <c r="AP53" s="173"/>
      <c r="AQ53" s="12"/>
      <c r="AR53" s="12"/>
      <c r="AS53" s="12"/>
      <c r="AT53" s="12"/>
      <c r="AU53" s="12"/>
      <c r="AV53" s="12"/>
      <c r="AW53" s="11" t="str">
        <f t="shared" si="1"/>
        <v>NY Submit</v>
      </c>
      <c r="AX53" s="12"/>
      <c r="AY53" s="12"/>
      <c r="AZ53" s="12"/>
      <c r="BA53" s="12"/>
      <c r="BB53" s="12"/>
      <c r="BC53" s="12"/>
      <c r="BD53" s="11" t="str">
        <f t="shared" si="2"/>
        <v>NY Submit</v>
      </c>
      <c r="BE53" s="174"/>
      <c r="BF53" s="12"/>
      <c r="BG53" s="12"/>
      <c r="BH53" s="12"/>
      <c r="BI53" s="12"/>
      <c r="BJ53" s="12"/>
      <c r="BK53" s="174"/>
      <c r="BL53" s="12" t="str">
        <f t="shared" si="3"/>
        <v>NY Submit</v>
      </c>
      <c r="BM53" s="12" t="str">
        <f t="shared" si="4"/>
        <v>NY Submit</v>
      </c>
      <c r="BN53" s="12"/>
      <c r="BO53" s="12"/>
      <c r="BP53" s="155" t="s">
        <v>2507</v>
      </c>
      <c r="BQ53" s="174" t="s">
        <v>2801</v>
      </c>
      <c r="BR53" s="12">
        <v>45733</v>
      </c>
      <c r="BS53" s="143">
        <f t="shared" ca="1" si="8"/>
        <v>0</v>
      </c>
      <c r="BT53" s="220"/>
      <c r="BU53" s="12"/>
      <c r="BV53" s="143">
        <f t="shared" ca="1" si="9"/>
        <v>0</v>
      </c>
      <c r="BW53" s="174"/>
      <c r="BX53" s="12"/>
      <c r="BY53" s="143"/>
      <c r="BZ53" s="13" t="s">
        <v>2500</v>
      </c>
      <c r="CA53" s="13"/>
      <c r="CB53" s="13"/>
      <c r="CC53" s="13"/>
      <c r="CD53" s="13"/>
      <c r="CE53" s="198" t="s">
        <v>2802</v>
      </c>
      <c r="CF53" s="198" t="s">
        <v>2803</v>
      </c>
      <c r="CG53" s="272"/>
      <c r="CH53" s="272"/>
      <c r="CI53" s="198"/>
      <c r="CJ53" s="198"/>
      <c r="CK53" s="198"/>
      <c r="CL53" s="198"/>
    </row>
    <row r="54" spans="1:90">
      <c r="A54" s="187">
        <v>49</v>
      </c>
      <c r="B54" s="190" t="s">
        <v>2486</v>
      </c>
      <c r="C54" s="190" t="s">
        <v>2487</v>
      </c>
      <c r="D54" s="190" t="s">
        <v>135</v>
      </c>
      <c r="E54" s="8" t="e">
        <f ca="1">+_xlfn.CONCAT(G54,"-",B54,"_",C54,"_",_xlfn.XLOOKUP(BP54,Account!M:M,Account!N:N))</f>
        <v>#NAME?</v>
      </c>
      <c r="F54" s="12">
        <v>45716</v>
      </c>
      <c r="G54" s="190" t="s">
        <v>328</v>
      </c>
      <c r="H54" s="190" t="s">
        <v>2804</v>
      </c>
      <c r="I54" s="10" t="s">
        <v>329</v>
      </c>
      <c r="J54" s="190">
        <v>13</v>
      </c>
      <c r="K54" s="190" t="s">
        <v>2486</v>
      </c>
      <c r="L54" s="190" t="s">
        <v>1279</v>
      </c>
      <c r="M54" s="190" t="s">
        <v>2805</v>
      </c>
      <c r="N54" s="10" t="s">
        <v>2806</v>
      </c>
      <c r="O54" s="169" t="s">
        <v>2807</v>
      </c>
      <c r="P54" s="169" t="s">
        <v>2808</v>
      </c>
      <c r="Q54" s="327">
        <v>13143</v>
      </c>
      <c r="R54" s="190"/>
      <c r="S54" s="190"/>
      <c r="T54" s="190" t="s">
        <v>2494</v>
      </c>
      <c r="U54" s="190" t="s">
        <v>2495</v>
      </c>
      <c r="V54" s="8" t="s">
        <v>1760</v>
      </c>
      <c r="W54" s="10"/>
      <c r="X54" s="8"/>
      <c r="Y54" s="12" t="s">
        <v>2432</v>
      </c>
      <c r="Z54" s="172">
        <v>45733</v>
      </c>
      <c r="AA54" s="12">
        <v>45740</v>
      </c>
      <c r="AB54" s="143" t="str">
        <f t="shared" ca="1" si="0"/>
        <v>Expired</v>
      </c>
      <c r="AC54" s="13"/>
      <c r="AD54" s="12">
        <v>45733</v>
      </c>
      <c r="AE54" s="12">
        <v>45737</v>
      </c>
      <c r="AF54" s="12"/>
      <c r="AG54" s="12">
        <v>45994</v>
      </c>
      <c r="AH54" s="11"/>
      <c r="AI54" s="11"/>
      <c r="AJ54" s="11"/>
      <c r="AK54" s="11"/>
      <c r="AL54" s="11"/>
      <c r="AM54" s="11">
        <v>46020</v>
      </c>
      <c r="AN54" s="11">
        <v>46020</v>
      </c>
      <c r="AO54" s="11" t="str">
        <f>+IF(AN54&lt;&gt;"","BAST",IF(AI54&lt;&gt;"","Dismantle",IF(AG54&lt;&gt;"","RFD App",IF(AF54="Drop","Drop",IF(AE54&lt;&gt;"","Survey Report",IF(AD54&lt;&gt;"","Survey","NY Survey"))))))</f>
        <v>BAST</v>
      </c>
      <c r="AP54" s="173" t="s">
        <v>2809</v>
      </c>
      <c r="AQ54" s="12">
        <v>45777</v>
      </c>
      <c r="AR54" s="12">
        <v>45798</v>
      </c>
      <c r="AS54" s="12">
        <v>45797</v>
      </c>
      <c r="AT54" s="12">
        <v>46118</v>
      </c>
      <c r="AU54" s="12">
        <v>45798</v>
      </c>
      <c r="AV54" s="12">
        <v>45798</v>
      </c>
      <c r="AW54" s="11" t="str">
        <f t="shared" si="1"/>
        <v>1st BOQ App on ISAAC</v>
      </c>
      <c r="AX54" s="12">
        <v>46113</v>
      </c>
      <c r="AY54" s="12"/>
      <c r="AZ54" s="12"/>
      <c r="BA54" s="12">
        <v>46119</v>
      </c>
      <c r="BB54" s="12"/>
      <c r="BC54" s="12">
        <v>46141</v>
      </c>
      <c r="BD54" s="11" t="str">
        <f t="shared" si="2"/>
        <v>2nd BOQ App on ISAAC</v>
      </c>
      <c r="BE54" s="174"/>
      <c r="BF54" s="12">
        <v>45758</v>
      </c>
      <c r="BG54" s="12">
        <v>45759</v>
      </c>
      <c r="BH54" s="12" t="s">
        <v>2810</v>
      </c>
      <c r="BI54" s="12">
        <v>45758</v>
      </c>
      <c r="BJ54" s="12">
        <v>45759</v>
      </c>
      <c r="BK54" s="174" t="s">
        <v>2811</v>
      </c>
      <c r="BL54" s="12" t="str">
        <f t="shared" si="3"/>
        <v>Approved</v>
      </c>
      <c r="BM54" s="12" t="str">
        <f t="shared" si="4"/>
        <v>Approved</v>
      </c>
      <c r="BN54" s="12">
        <v>46020</v>
      </c>
      <c r="BO54" s="12">
        <v>46020</v>
      </c>
      <c r="BP54" s="155" t="s">
        <v>1760</v>
      </c>
      <c r="BQ54" s="176" t="s">
        <v>2812</v>
      </c>
      <c r="BR54" s="12">
        <v>45827</v>
      </c>
      <c r="BS54" s="143">
        <f t="shared" ca="1" si="8"/>
        <v>29</v>
      </c>
      <c r="BT54" s="176" t="s">
        <v>2813</v>
      </c>
      <c r="BU54" s="12">
        <v>46161</v>
      </c>
      <c r="BV54" s="143">
        <f t="shared" ca="1" si="9"/>
        <v>20</v>
      </c>
      <c r="BW54" s="176"/>
      <c r="BX54" s="12"/>
      <c r="BY54" s="143"/>
      <c r="BZ54" s="13" t="s">
        <v>2500</v>
      </c>
      <c r="CA54" s="13"/>
      <c r="CB54" s="13"/>
      <c r="CC54" s="13"/>
      <c r="CD54" s="13"/>
      <c r="CE54" s="198" t="s">
        <v>1010</v>
      </c>
      <c r="CF54" s="198" t="s">
        <v>2814</v>
      </c>
      <c r="CG54" s="272">
        <v>-7.0446799999999996</v>
      </c>
      <c r="CH54" s="272">
        <v>113.48421</v>
      </c>
      <c r="CI54" s="198"/>
      <c r="CJ54" s="198"/>
      <c r="CK54" s="198"/>
      <c r="CL54" s="198"/>
    </row>
    <row r="55" spans="1:90" ht="30" customHeight="1">
      <c r="A55" s="187">
        <v>50</v>
      </c>
      <c r="B55" s="190" t="s">
        <v>2486</v>
      </c>
      <c r="C55" s="190" t="s">
        <v>2487</v>
      </c>
      <c r="D55" s="190" t="s">
        <v>135</v>
      </c>
      <c r="E55" s="8" t="e">
        <f ca="1">+_xlfn.CONCAT(G55,"-",B55,"_",C55,"_",_xlfn.XLOOKUP(BP55,Account!M:M,Account!N:N))</f>
        <v>#NAME?</v>
      </c>
      <c r="F55" s="12">
        <v>45716</v>
      </c>
      <c r="G55" s="190" t="s">
        <v>328</v>
      </c>
      <c r="H55" s="190" t="s">
        <v>2804</v>
      </c>
      <c r="I55" s="10" t="s">
        <v>329</v>
      </c>
      <c r="J55" s="190">
        <v>13</v>
      </c>
      <c r="K55" s="190" t="s">
        <v>2486</v>
      </c>
      <c r="L55" s="190" t="s">
        <v>1279</v>
      </c>
      <c r="M55" s="190" t="s">
        <v>2805</v>
      </c>
      <c r="N55" s="10" t="s">
        <v>2806</v>
      </c>
      <c r="O55" s="169" t="s">
        <v>2807</v>
      </c>
      <c r="P55" s="169" t="s">
        <v>2808</v>
      </c>
      <c r="Q55" s="327">
        <v>13143</v>
      </c>
      <c r="R55" s="190"/>
      <c r="S55" s="190"/>
      <c r="T55" s="190" t="s">
        <v>2494</v>
      </c>
      <c r="U55" s="190" t="s">
        <v>2495</v>
      </c>
      <c r="V55" s="8" t="s">
        <v>2011</v>
      </c>
      <c r="W55" s="10"/>
      <c r="X55" s="8"/>
      <c r="Y55" s="12" t="s">
        <v>2432</v>
      </c>
      <c r="Z55" s="172">
        <v>45733</v>
      </c>
      <c r="AA55" s="12">
        <v>45740</v>
      </c>
      <c r="AB55" s="143" t="str">
        <f t="shared" ca="1" si="0"/>
        <v>Expired</v>
      </c>
      <c r="AC55" s="13"/>
      <c r="AD55" s="12">
        <v>45733</v>
      </c>
      <c r="AE55" s="12">
        <v>45737</v>
      </c>
      <c r="AF55" s="12"/>
      <c r="AG55" s="12"/>
      <c r="AH55" s="11">
        <v>45993</v>
      </c>
      <c r="AI55" s="11"/>
      <c r="AJ55" s="11">
        <v>46036</v>
      </c>
      <c r="AK55" s="11"/>
      <c r="AL55" s="11"/>
      <c r="AM55" s="11">
        <v>45789</v>
      </c>
      <c r="AN55" s="11"/>
      <c r="AO55" s="11" t="str">
        <f>+IF(AM55&lt;&gt;"","ATP App MS",IF(AJ55&lt;&gt;"","Inbound",IF(AH55&lt;&gt;"","Dismantle Perangkat",IF(AF55="Drop","Drop",IF(AE55&lt;&gt;"","Survey Report",IF(AD55&lt;&gt;"","Survey","NY Survey"))))))</f>
        <v>ATP App MS</v>
      </c>
      <c r="AP55" s="185" t="s">
        <v>2815</v>
      </c>
      <c r="AQ55" s="12">
        <v>45777</v>
      </c>
      <c r="AR55" s="12">
        <v>45798</v>
      </c>
      <c r="AS55" s="12">
        <v>45797</v>
      </c>
      <c r="AT55" s="12"/>
      <c r="AU55" s="12">
        <v>45798</v>
      </c>
      <c r="AV55" s="12">
        <v>45798</v>
      </c>
      <c r="AW55" s="11" t="str">
        <f t="shared" si="1"/>
        <v>1st BOQ App on ISAAC</v>
      </c>
      <c r="AX55" s="12"/>
      <c r="AY55" s="12"/>
      <c r="AZ55" s="12"/>
      <c r="BA55" s="12"/>
      <c r="BB55" s="12"/>
      <c r="BC55" s="12"/>
      <c r="BD55" s="11" t="str">
        <f t="shared" si="2"/>
        <v>NY Submit</v>
      </c>
      <c r="BE55" s="174"/>
      <c r="BF55" s="12">
        <v>45758</v>
      </c>
      <c r="BG55" s="12">
        <v>45759</v>
      </c>
      <c r="BH55" s="12" t="s">
        <v>2810</v>
      </c>
      <c r="BI55" s="12">
        <v>45758</v>
      </c>
      <c r="BJ55" s="12">
        <v>45759</v>
      </c>
      <c r="BK55" s="174"/>
      <c r="BL55" s="12" t="str">
        <f t="shared" si="3"/>
        <v>Approved</v>
      </c>
      <c r="BM55" s="12" t="str">
        <f t="shared" si="4"/>
        <v>Approved</v>
      </c>
      <c r="BN55" s="12">
        <v>46078</v>
      </c>
      <c r="BO55" s="12">
        <v>46078</v>
      </c>
      <c r="BP55" s="155" t="s">
        <v>2011</v>
      </c>
      <c r="BQ55" s="12" t="s">
        <v>2816</v>
      </c>
      <c r="BR55" s="12">
        <v>45827</v>
      </c>
      <c r="BS55" s="143">
        <f t="shared" ca="1" si="8"/>
        <v>29</v>
      </c>
      <c r="BT55" s="176"/>
      <c r="BU55" s="12"/>
      <c r="BV55" s="143">
        <f t="shared" ca="1" si="9"/>
        <v>0</v>
      </c>
      <c r="BW55" s="12"/>
      <c r="BX55" s="12"/>
      <c r="BY55" s="143"/>
      <c r="BZ55" s="13" t="s">
        <v>2500</v>
      </c>
      <c r="CA55" s="13"/>
      <c r="CB55" s="13"/>
      <c r="CC55" s="13"/>
      <c r="CD55" s="13"/>
      <c r="CE55" s="198" t="s">
        <v>1010</v>
      </c>
      <c r="CF55" s="198" t="s">
        <v>2814</v>
      </c>
      <c r="CG55" s="272">
        <v>-7.0446799999999996</v>
      </c>
      <c r="CH55" s="272">
        <v>113.48421</v>
      </c>
      <c r="CI55" s="198"/>
      <c r="CJ55" s="198"/>
      <c r="CK55" s="198"/>
      <c r="CL55" s="198"/>
    </row>
    <row r="56" spans="1:90">
      <c r="A56" s="187">
        <v>51</v>
      </c>
      <c r="B56" s="190" t="s">
        <v>2486</v>
      </c>
      <c r="C56" s="190" t="s">
        <v>2487</v>
      </c>
      <c r="D56" s="190" t="s">
        <v>135</v>
      </c>
      <c r="E56" s="8" t="e">
        <f ca="1">+_xlfn.CONCAT(G56,"-",B56,"_",C56,"_",_xlfn.XLOOKUP(BP56,Account!M:M,Account!N:N))</f>
        <v>#NAME?</v>
      </c>
      <c r="F56" s="12">
        <v>45716</v>
      </c>
      <c r="G56" s="190" t="s">
        <v>328</v>
      </c>
      <c r="H56" s="190" t="s">
        <v>2804</v>
      </c>
      <c r="I56" s="10" t="s">
        <v>329</v>
      </c>
      <c r="J56" s="190">
        <v>13</v>
      </c>
      <c r="K56" s="190" t="s">
        <v>2486</v>
      </c>
      <c r="L56" s="190" t="s">
        <v>1279</v>
      </c>
      <c r="M56" s="190" t="s">
        <v>2805</v>
      </c>
      <c r="N56" s="10" t="s">
        <v>2806</v>
      </c>
      <c r="O56" s="169" t="s">
        <v>2807</v>
      </c>
      <c r="P56" s="169" t="s">
        <v>2808</v>
      </c>
      <c r="Q56" s="327">
        <v>13143</v>
      </c>
      <c r="R56" s="190"/>
      <c r="S56" s="190"/>
      <c r="T56" s="190" t="s">
        <v>2494</v>
      </c>
      <c r="U56" s="190" t="s">
        <v>2495</v>
      </c>
      <c r="V56" s="8" t="s">
        <v>1768</v>
      </c>
      <c r="W56" s="10"/>
      <c r="X56" s="8"/>
      <c r="Y56" s="12" t="s">
        <v>2817</v>
      </c>
      <c r="Z56" s="172">
        <v>45827</v>
      </c>
      <c r="AA56" s="12">
        <v>45833</v>
      </c>
      <c r="AB56" s="143" t="str">
        <f t="shared" ca="1" si="0"/>
        <v>Expired</v>
      </c>
      <c r="AC56" s="13"/>
      <c r="AD56" s="12">
        <v>45733</v>
      </c>
      <c r="AE56" s="12">
        <v>45737</v>
      </c>
      <c r="AF56" s="12"/>
      <c r="AG56" s="12"/>
      <c r="AH56" s="11"/>
      <c r="AI56" s="11"/>
      <c r="AJ56" s="11"/>
      <c r="AK56" s="11">
        <v>45765</v>
      </c>
      <c r="AL56" s="11">
        <v>45770</v>
      </c>
      <c r="AM56" s="11">
        <v>45789</v>
      </c>
      <c r="AN56" s="11"/>
      <c r="AO56" s="11" t="str">
        <f>+IF(AM56&lt;&gt;"","ATP App MS",IF(AL56&lt;&gt;"","OA/RFS",IF(AK56&lt;&gt;"","Install",IF(AH56&lt;&gt;"","Dismantle Perangkat",IF(AF56="Drop","Drop",IF(AE56&lt;&gt;"","Survey Report",IF(AD56&lt;&gt;"","Survey","NY Survey")))))))</f>
        <v>ATP App MS</v>
      </c>
      <c r="AP56" s="173" t="s">
        <v>2818</v>
      </c>
      <c r="AQ56" s="12">
        <v>45777</v>
      </c>
      <c r="AR56" s="12">
        <v>45798</v>
      </c>
      <c r="AS56" s="12">
        <v>45797</v>
      </c>
      <c r="AT56" s="12">
        <v>45797</v>
      </c>
      <c r="AU56" s="12">
        <v>45798</v>
      </c>
      <c r="AV56" s="12">
        <v>45798</v>
      </c>
      <c r="AW56" s="11" t="str">
        <f t="shared" si="1"/>
        <v>1st BOQ App on ISAAC</v>
      </c>
      <c r="AX56" s="12"/>
      <c r="AY56" s="12"/>
      <c r="AZ56" s="12"/>
      <c r="BA56" s="12"/>
      <c r="BB56" s="12"/>
      <c r="BC56" s="12"/>
      <c r="BD56" s="11" t="str">
        <f t="shared" si="2"/>
        <v>NY Submit</v>
      </c>
      <c r="BE56" s="174"/>
      <c r="BF56" s="12">
        <v>45758</v>
      </c>
      <c r="BG56" s="12">
        <v>45759</v>
      </c>
      <c r="BH56" s="12" t="s">
        <v>2810</v>
      </c>
      <c r="BI56" s="12">
        <v>45758</v>
      </c>
      <c r="BJ56" s="12">
        <v>45759</v>
      </c>
      <c r="BK56" s="174"/>
      <c r="BL56" s="12" t="str">
        <f t="shared" si="3"/>
        <v>Approved</v>
      </c>
      <c r="BM56" s="12" t="str">
        <f t="shared" si="4"/>
        <v>Approved</v>
      </c>
      <c r="BN56" s="12">
        <v>46078</v>
      </c>
      <c r="BO56" s="12">
        <v>46078</v>
      </c>
      <c r="BP56" s="155" t="s">
        <v>1768</v>
      </c>
      <c r="BQ56" s="176" t="s">
        <v>2819</v>
      </c>
      <c r="BR56" s="12">
        <v>45833</v>
      </c>
      <c r="BS56" s="143">
        <f t="shared" ca="1" si="8"/>
        <v>35</v>
      </c>
      <c r="BT56" s="176" t="s">
        <v>2820</v>
      </c>
      <c r="BU56" s="12">
        <v>45833</v>
      </c>
      <c r="BV56" s="143">
        <f t="shared" ca="1" si="9"/>
        <v>0</v>
      </c>
      <c r="BW56" s="176"/>
      <c r="BX56" s="12"/>
      <c r="BY56" s="143"/>
      <c r="BZ56" s="13" t="s">
        <v>2500</v>
      </c>
      <c r="CA56" s="13"/>
      <c r="CB56" s="13"/>
      <c r="CC56" s="13"/>
      <c r="CD56" s="13"/>
      <c r="CE56" s="198" t="s">
        <v>1010</v>
      </c>
      <c r="CF56" s="198" t="s">
        <v>2814</v>
      </c>
      <c r="CG56" s="272">
        <v>-7.0446799999999996</v>
      </c>
      <c r="CH56" s="272">
        <v>113.48421</v>
      </c>
      <c r="CI56" s="198"/>
      <c r="CJ56" s="198"/>
      <c r="CK56" s="198"/>
      <c r="CL56" s="198"/>
    </row>
    <row r="57" spans="1:90">
      <c r="A57" s="187">
        <v>52</v>
      </c>
      <c r="B57" s="190" t="s">
        <v>2486</v>
      </c>
      <c r="C57" s="190" t="s">
        <v>2487</v>
      </c>
      <c r="D57" s="190" t="s">
        <v>135</v>
      </c>
      <c r="E57" s="8" t="e">
        <f ca="1">+_xlfn.CONCAT(G57,"-",B57,"_",C57,"_",_xlfn.XLOOKUP(BP57,Account!M:M,Account!N:N))</f>
        <v>#NAME?</v>
      </c>
      <c r="F57" s="12">
        <v>45716</v>
      </c>
      <c r="G57" s="190" t="s">
        <v>328</v>
      </c>
      <c r="H57" s="190" t="s">
        <v>2804</v>
      </c>
      <c r="I57" s="10" t="s">
        <v>329</v>
      </c>
      <c r="J57" s="190">
        <v>13</v>
      </c>
      <c r="K57" s="190" t="s">
        <v>2486</v>
      </c>
      <c r="L57" s="190" t="s">
        <v>1279</v>
      </c>
      <c r="M57" s="190" t="s">
        <v>2805</v>
      </c>
      <c r="N57" s="10" t="s">
        <v>2806</v>
      </c>
      <c r="O57" s="169" t="s">
        <v>2807</v>
      </c>
      <c r="P57" s="169" t="s">
        <v>2808</v>
      </c>
      <c r="Q57" s="327">
        <v>13143</v>
      </c>
      <c r="R57" s="190"/>
      <c r="S57" s="190"/>
      <c r="T57" s="190" t="s">
        <v>2494</v>
      </c>
      <c r="U57" s="190" t="s">
        <v>2495</v>
      </c>
      <c r="V57" s="8" t="s">
        <v>2821</v>
      </c>
      <c r="W57" s="10"/>
      <c r="X57" s="8"/>
      <c r="Y57" s="12" t="s">
        <v>2432</v>
      </c>
      <c r="Z57" s="172">
        <v>45733</v>
      </c>
      <c r="AA57" s="12">
        <v>45740</v>
      </c>
      <c r="AB57" s="143" t="str">
        <f t="shared" ca="1" si="0"/>
        <v>Expired</v>
      </c>
      <c r="AC57" s="13"/>
      <c r="AD57" s="12">
        <v>45733</v>
      </c>
      <c r="AE57" s="12">
        <v>45737</v>
      </c>
      <c r="AF57" s="12"/>
      <c r="AG57" s="12"/>
      <c r="AH57" s="11"/>
      <c r="AI57" s="11"/>
      <c r="AJ57" s="11"/>
      <c r="AK57" s="11"/>
      <c r="AL57" s="11"/>
      <c r="AM57" s="12">
        <v>45737</v>
      </c>
      <c r="AN57" s="11"/>
      <c r="AO57" s="11" t="str">
        <f>+IF(AM57&lt;&gt;"","Survey LOS App",IF(AF57="Drop","Drop",IF(AE57&lt;&gt;"","Survey Report",IF(AD57&lt;&gt;"","Survey","NY Survey"))))</f>
        <v>Survey LOS App</v>
      </c>
      <c r="AP57" s="173"/>
      <c r="AQ57" s="12"/>
      <c r="AR57" s="12"/>
      <c r="AS57" s="12"/>
      <c r="AT57" s="12"/>
      <c r="AU57" s="12"/>
      <c r="AV57" s="12"/>
      <c r="AW57" s="11" t="str">
        <f t="shared" si="1"/>
        <v>NY Submit</v>
      </c>
      <c r="AX57" s="12"/>
      <c r="AY57" s="12"/>
      <c r="AZ57" s="12"/>
      <c r="BA57" s="12"/>
      <c r="BB57" s="12"/>
      <c r="BC57" s="12"/>
      <c r="BD57" s="11" t="str">
        <f t="shared" si="2"/>
        <v>NY Submit</v>
      </c>
      <c r="BE57" s="174"/>
      <c r="BF57" s="12"/>
      <c r="BG57" s="12"/>
      <c r="BH57" s="12"/>
      <c r="BI57" s="12"/>
      <c r="BJ57" s="12"/>
      <c r="BK57" s="174"/>
      <c r="BL57" s="12" t="str">
        <f t="shared" si="3"/>
        <v>NY Submit</v>
      </c>
      <c r="BM57" s="12" t="str">
        <f t="shared" si="4"/>
        <v>NY Submit</v>
      </c>
      <c r="BN57" s="12"/>
      <c r="BO57" s="12"/>
      <c r="BP57" s="155" t="s">
        <v>2507</v>
      </c>
      <c r="BQ57" s="12" t="s">
        <v>2822</v>
      </c>
      <c r="BR57" s="12">
        <v>45807</v>
      </c>
      <c r="BS57" s="143">
        <f t="shared" ca="1" si="8"/>
        <v>0</v>
      </c>
      <c r="BT57" s="176"/>
      <c r="BU57" s="12"/>
      <c r="BV57" s="143">
        <f t="shared" ca="1" si="9"/>
        <v>0</v>
      </c>
      <c r="BW57" s="12"/>
      <c r="BX57" s="12"/>
      <c r="BY57" s="143"/>
      <c r="BZ57" s="13" t="s">
        <v>2500</v>
      </c>
      <c r="CA57" s="13"/>
      <c r="CB57" s="13"/>
      <c r="CC57" s="13"/>
      <c r="CD57" s="13"/>
      <c r="CE57" s="198" t="s">
        <v>2823</v>
      </c>
      <c r="CF57" s="198" t="s">
        <v>2824</v>
      </c>
      <c r="CG57" s="272">
        <v>-7.0446799999999996</v>
      </c>
      <c r="CH57" s="272">
        <v>113.48421</v>
      </c>
      <c r="CI57" s="198"/>
      <c r="CJ57" s="198"/>
      <c r="CK57" s="198"/>
      <c r="CL57" s="198"/>
    </row>
    <row r="58" spans="1:90">
      <c r="A58" s="187">
        <v>53</v>
      </c>
      <c r="B58" s="190" t="s">
        <v>2486</v>
      </c>
      <c r="C58" s="190" t="s">
        <v>2487</v>
      </c>
      <c r="D58" s="190" t="s">
        <v>135</v>
      </c>
      <c r="E58" s="8" t="e">
        <f ca="1">+_xlfn.CONCAT(G58,"-",B58,"_",C58,"_",_xlfn.XLOOKUP(BP58,Account!M:M,Account!N:N))</f>
        <v>#NAME?</v>
      </c>
      <c r="F58" s="12">
        <v>45734</v>
      </c>
      <c r="G58" s="190" t="s">
        <v>2825</v>
      </c>
      <c r="H58" s="190" t="s">
        <v>2826</v>
      </c>
      <c r="I58" s="10" t="s">
        <v>2827</v>
      </c>
      <c r="J58" s="190">
        <v>20</v>
      </c>
      <c r="K58" s="190" t="s">
        <v>2038</v>
      </c>
      <c r="L58" s="190" t="s">
        <v>1332</v>
      </c>
      <c r="M58" s="190" t="s">
        <v>2828</v>
      </c>
      <c r="N58" s="10" t="s">
        <v>2829</v>
      </c>
      <c r="O58" s="169" t="s">
        <v>2830</v>
      </c>
      <c r="P58" s="169" t="s">
        <v>2831</v>
      </c>
      <c r="Q58" s="327">
        <v>22120.78</v>
      </c>
      <c r="R58" s="190">
        <v>70</v>
      </c>
      <c r="S58" s="190"/>
      <c r="T58" s="190" t="s">
        <v>2494</v>
      </c>
      <c r="U58" s="190" t="s">
        <v>2495</v>
      </c>
      <c r="V58" s="8" t="s">
        <v>1760</v>
      </c>
      <c r="W58" s="10"/>
      <c r="X58" s="8"/>
      <c r="Y58" s="12" t="s">
        <v>2432</v>
      </c>
      <c r="Z58" s="12"/>
      <c r="AA58" s="12"/>
      <c r="AB58" s="143" t="str">
        <f t="shared" ca="1" si="0"/>
        <v>NY Submit</v>
      </c>
      <c r="AC58" s="13"/>
      <c r="AD58" s="12">
        <v>45734</v>
      </c>
      <c r="AE58" s="12">
        <v>45737</v>
      </c>
      <c r="AF58" s="12"/>
      <c r="AG58" s="12">
        <v>45738</v>
      </c>
      <c r="AH58" s="11"/>
      <c r="AI58" s="11">
        <v>45766</v>
      </c>
      <c r="AJ58" s="11"/>
      <c r="AK58" s="11"/>
      <c r="AL58" s="11"/>
      <c r="AM58" s="11"/>
      <c r="AN58" s="11">
        <v>45770</v>
      </c>
      <c r="AO58" s="11" t="str">
        <f>+IF(AN58&lt;&gt;"","BAST",IF(AI58&lt;&gt;"","Dismantle",IF(AG58&lt;&gt;"","RFD App",IF(AF58="Drop","Drop",IF(AE58&lt;&gt;"","Survey Report",IF(AD58&lt;&gt;"","Survey","NY Survey"))))))</f>
        <v>BAST</v>
      </c>
      <c r="AP58" s="173"/>
      <c r="AQ58" s="12">
        <v>45735</v>
      </c>
      <c r="AR58" s="12">
        <v>45771</v>
      </c>
      <c r="AS58" s="12"/>
      <c r="AT58" s="12">
        <v>45771</v>
      </c>
      <c r="AU58" s="12">
        <v>45771</v>
      </c>
      <c r="AV58" s="12">
        <v>45771</v>
      </c>
      <c r="AW58" s="11" t="str">
        <f t="shared" si="1"/>
        <v>1st BOQ App on ISAAC</v>
      </c>
      <c r="AX58" s="12"/>
      <c r="AY58" s="12"/>
      <c r="AZ58" s="12"/>
      <c r="BA58" s="12"/>
      <c r="BB58" s="12"/>
      <c r="BC58" s="12"/>
      <c r="BD58" s="11" t="str">
        <f t="shared" si="2"/>
        <v>NY Submit</v>
      </c>
      <c r="BE58" s="174"/>
      <c r="BF58" s="12">
        <v>45736</v>
      </c>
      <c r="BG58" s="12">
        <v>45737</v>
      </c>
      <c r="BH58" s="12" t="s">
        <v>2832</v>
      </c>
      <c r="BI58" s="12">
        <v>45736</v>
      </c>
      <c r="BJ58" s="12">
        <v>45737</v>
      </c>
      <c r="BK58" s="174" t="s">
        <v>2833</v>
      </c>
      <c r="BL58" s="12" t="str">
        <f t="shared" si="3"/>
        <v>Approved</v>
      </c>
      <c r="BM58" s="12" t="str">
        <f t="shared" si="4"/>
        <v>Approved</v>
      </c>
      <c r="BN58" s="12">
        <v>45769</v>
      </c>
      <c r="BO58" s="12">
        <v>45791</v>
      </c>
      <c r="BP58" s="155" t="s">
        <v>1760</v>
      </c>
      <c r="BQ58" s="12" t="s">
        <v>2834</v>
      </c>
      <c r="BR58" s="12">
        <v>45771</v>
      </c>
      <c r="BS58" s="143">
        <f t="shared" ca="1" si="8"/>
        <v>0</v>
      </c>
      <c r="BT58" s="176"/>
      <c r="BU58" s="12"/>
      <c r="BV58" s="143">
        <f t="shared" ca="1" si="9"/>
        <v>0</v>
      </c>
      <c r="BW58" s="12"/>
      <c r="BX58" s="12"/>
      <c r="BY58" s="143"/>
      <c r="BZ58" s="13" t="s">
        <v>2500</v>
      </c>
      <c r="CA58" s="13"/>
      <c r="CB58" s="13"/>
      <c r="CC58" s="13"/>
      <c r="CD58" s="13"/>
      <c r="CE58" s="198"/>
      <c r="CF58" s="198"/>
      <c r="CG58" s="272"/>
      <c r="CH58" s="272"/>
      <c r="CI58" s="198"/>
      <c r="CJ58" s="198"/>
      <c r="CK58" s="198"/>
      <c r="CL58" s="198"/>
    </row>
    <row r="59" spans="1:90" ht="30" customHeight="1">
      <c r="A59" s="187">
        <v>54</v>
      </c>
      <c r="B59" s="190" t="s">
        <v>2486</v>
      </c>
      <c r="C59" s="190" t="s">
        <v>2487</v>
      </c>
      <c r="D59" s="190" t="s">
        <v>135</v>
      </c>
      <c r="E59" s="8" t="e">
        <f ca="1">+_xlfn.CONCAT(G59,"-",B59,"_",C59,"_",_xlfn.XLOOKUP(BP59,Account!M:M,Account!N:N))</f>
        <v>#NAME?</v>
      </c>
      <c r="F59" s="12">
        <v>45735</v>
      </c>
      <c r="G59" s="190" t="s">
        <v>2096</v>
      </c>
      <c r="H59" s="190" t="s">
        <v>2835</v>
      </c>
      <c r="I59" s="10" t="s">
        <v>2097</v>
      </c>
      <c r="J59" s="190">
        <v>15</v>
      </c>
      <c r="K59" s="190" t="s">
        <v>2038</v>
      </c>
      <c r="L59" s="190" t="s">
        <v>1279</v>
      </c>
      <c r="M59" s="190" t="s">
        <v>2836</v>
      </c>
      <c r="N59" s="10" t="s">
        <v>2837</v>
      </c>
      <c r="O59" s="178" t="s">
        <v>2838</v>
      </c>
      <c r="P59" s="178" t="s">
        <v>2839</v>
      </c>
      <c r="Q59" s="327">
        <v>18868.810000000001</v>
      </c>
      <c r="R59" s="190">
        <v>70</v>
      </c>
      <c r="S59" s="190" t="s">
        <v>2840</v>
      </c>
      <c r="T59" s="190" t="s">
        <v>2494</v>
      </c>
      <c r="U59" s="190" t="s">
        <v>2495</v>
      </c>
      <c r="V59" s="8" t="s">
        <v>1760</v>
      </c>
      <c r="W59" s="10"/>
      <c r="X59" s="8"/>
      <c r="Y59" s="12" t="s">
        <v>2432</v>
      </c>
      <c r="Z59" s="172">
        <v>45735</v>
      </c>
      <c r="AA59" s="12">
        <v>45742</v>
      </c>
      <c r="AB59" s="143" t="str">
        <f t="shared" ca="1" si="0"/>
        <v>Expired</v>
      </c>
      <c r="AC59" s="13"/>
      <c r="AD59" s="12">
        <v>45738</v>
      </c>
      <c r="AE59" s="12">
        <v>45763</v>
      </c>
      <c r="AF59" s="12"/>
      <c r="AG59" s="12">
        <v>45873</v>
      </c>
      <c r="AH59" s="11"/>
      <c r="AI59" s="11">
        <v>45929</v>
      </c>
      <c r="AJ59" s="11"/>
      <c r="AK59" s="11"/>
      <c r="AL59" s="11"/>
      <c r="AM59" s="11"/>
      <c r="AN59" s="11">
        <v>45929</v>
      </c>
      <c r="AO59" s="11" t="str">
        <f>+IF(AN59&lt;&gt;"","BAST",IF(AI59&lt;&gt;"","Dismantle",IF(AG59&lt;&gt;"","RFD App",IF(AF59="Drop","Drop",IF(AE59&lt;&gt;"","Survey Report",IF(AD59&lt;&gt;"","Survey","NY Survey"))))))</f>
        <v>BAST</v>
      </c>
      <c r="AP59" s="173"/>
      <c r="AQ59" s="12">
        <v>45922</v>
      </c>
      <c r="AR59" s="12">
        <v>45979</v>
      </c>
      <c r="AS59" s="12">
        <v>45927</v>
      </c>
      <c r="AT59" s="12">
        <v>46000</v>
      </c>
      <c r="AU59" s="12">
        <v>46000</v>
      </c>
      <c r="AV59" s="12"/>
      <c r="AW59" s="11" t="str">
        <f t="shared" si="1"/>
        <v>Upload 1st BOQ &amp; BAN Isaac</v>
      </c>
      <c r="AX59" s="12"/>
      <c r="AY59" s="12"/>
      <c r="AZ59" s="12"/>
      <c r="BA59" s="12"/>
      <c r="BB59" s="12"/>
      <c r="BC59" s="12"/>
      <c r="BD59" s="11" t="str">
        <f t="shared" si="2"/>
        <v>NY Submit</v>
      </c>
      <c r="BE59" s="174" t="s">
        <v>2841</v>
      </c>
      <c r="BF59" s="12">
        <v>45769</v>
      </c>
      <c r="BG59" s="12">
        <v>45769</v>
      </c>
      <c r="BH59" s="12" t="s">
        <v>2842</v>
      </c>
      <c r="BI59" s="12">
        <v>45769</v>
      </c>
      <c r="BJ59" s="12">
        <v>45769</v>
      </c>
      <c r="BK59" s="174" t="s">
        <v>2843</v>
      </c>
      <c r="BL59" s="12" t="str">
        <f t="shared" si="3"/>
        <v>Approved</v>
      </c>
      <c r="BM59" s="12" t="str">
        <f t="shared" si="4"/>
        <v>Approved</v>
      </c>
      <c r="BN59" s="12">
        <v>45929</v>
      </c>
      <c r="BO59" s="12">
        <v>45932</v>
      </c>
      <c r="BP59" s="155" t="s">
        <v>1760</v>
      </c>
      <c r="BQ59" s="12" t="s">
        <v>2844</v>
      </c>
      <c r="BR59" s="12">
        <v>46021</v>
      </c>
      <c r="BS59" s="143">
        <f t="shared" ca="1" si="8"/>
        <v>0</v>
      </c>
      <c r="BT59" s="176"/>
      <c r="BU59" s="12"/>
      <c r="BV59" s="143">
        <f t="shared" ca="1" si="9"/>
        <v>0</v>
      </c>
      <c r="BW59" s="12"/>
      <c r="BX59" s="12"/>
      <c r="BY59" s="143"/>
      <c r="BZ59" s="13" t="s">
        <v>2500</v>
      </c>
      <c r="CA59" s="13"/>
      <c r="CB59" s="13"/>
      <c r="CC59" s="13"/>
      <c r="CD59" s="13"/>
      <c r="CE59" s="198" t="s">
        <v>2845</v>
      </c>
      <c r="CF59" s="198" t="s">
        <v>2846</v>
      </c>
      <c r="CG59" s="273" t="s">
        <v>2847</v>
      </c>
      <c r="CH59" s="273" t="s">
        <v>2848</v>
      </c>
      <c r="CI59" s="198"/>
      <c r="CJ59" s="198"/>
      <c r="CK59" s="198"/>
      <c r="CL59" s="198"/>
    </row>
    <row r="60" spans="1:90" ht="30" customHeight="1">
      <c r="A60" s="187">
        <v>55</v>
      </c>
      <c r="B60" s="190" t="s">
        <v>2486</v>
      </c>
      <c r="C60" s="190" t="s">
        <v>2487</v>
      </c>
      <c r="D60" s="190" t="s">
        <v>135</v>
      </c>
      <c r="E60" s="8" t="e">
        <f ca="1">+_xlfn.CONCAT(G60,"-",B60,"_",C60,"_",_xlfn.XLOOKUP(BP60,Account!M:M,Account!N:N))</f>
        <v>#NAME?</v>
      </c>
      <c r="F60" s="12">
        <v>45735</v>
      </c>
      <c r="G60" s="190" t="s">
        <v>2096</v>
      </c>
      <c r="H60" s="190" t="s">
        <v>2835</v>
      </c>
      <c r="I60" s="10" t="s">
        <v>2097</v>
      </c>
      <c r="J60" s="190">
        <v>15</v>
      </c>
      <c r="K60" s="190" t="s">
        <v>2038</v>
      </c>
      <c r="L60" s="190" t="s">
        <v>1279</v>
      </c>
      <c r="M60" s="190" t="s">
        <v>2836</v>
      </c>
      <c r="N60" s="10" t="s">
        <v>2837</v>
      </c>
      <c r="O60" s="178" t="s">
        <v>2838</v>
      </c>
      <c r="P60" s="178" t="s">
        <v>2839</v>
      </c>
      <c r="Q60" s="327">
        <v>18868.810000000001</v>
      </c>
      <c r="R60" s="190">
        <v>70</v>
      </c>
      <c r="S60" s="190" t="s">
        <v>2840</v>
      </c>
      <c r="T60" s="190" t="s">
        <v>2494</v>
      </c>
      <c r="U60" s="190" t="s">
        <v>2495</v>
      </c>
      <c r="V60" s="8" t="s">
        <v>2011</v>
      </c>
      <c r="W60" s="10"/>
      <c r="X60" s="8"/>
      <c r="Y60" s="12" t="s">
        <v>2432</v>
      </c>
      <c r="Z60" s="172">
        <v>45735</v>
      </c>
      <c r="AA60" s="12">
        <v>45742</v>
      </c>
      <c r="AB60" s="143" t="str">
        <f t="shared" ca="1" si="0"/>
        <v>Expired</v>
      </c>
      <c r="AC60" s="13"/>
      <c r="AD60" s="12">
        <v>45738</v>
      </c>
      <c r="AE60" s="12">
        <v>45763</v>
      </c>
      <c r="AF60" s="12"/>
      <c r="AG60" s="12"/>
      <c r="AH60" s="11">
        <v>45920</v>
      </c>
      <c r="AI60" s="11"/>
      <c r="AJ60" s="11"/>
      <c r="AK60" s="11"/>
      <c r="AL60" s="11"/>
      <c r="AM60" s="11">
        <v>45943</v>
      </c>
      <c r="AN60" s="11"/>
      <c r="AO60" s="11" t="str">
        <f>+IF(AM60&lt;&gt;"","ATP App MS",IF(AJ60&lt;&gt;"","Inbound",IF(AH60&lt;&gt;"","Dismantle Perangkat",IF(AF60="Drop","Drop",IF(AE60&lt;&gt;"","Survey Report",IF(AD60&lt;&gt;"","Survey","NY Survey"))))))</f>
        <v>ATP App MS</v>
      </c>
      <c r="AP60" s="173"/>
      <c r="AQ60" s="12">
        <v>45922</v>
      </c>
      <c r="AR60" s="12">
        <v>45979</v>
      </c>
      <c r="AS60" s="12"/>
      <c r="AT60" s="12"/>
      <c r="AU60" s="12">
        <v>46000</v>
      </c>
      <c r="AV60" s="12"/>
      <c r="AW60" s="11" t="str">
        <f t="shared" si="1"/>
        <v>Upload 1st BOQ &amp; BAN Isaac</v>
      </c>
      <c r="AX60" s="12"/>
      <c r="AY60" s="12"/>
      <c r="AZ60" s="12"/>
      <c r="BA60" s="12"/>
      <c r="BB60" s="12"/>
      <c r="BC60" s="12"/>
      <c r="BD60" s="11" t="str">
        <f t="shared" si="2"/>
        <v>NY Submit</v>
      </c>
      <c r="BE60" s="174"/>
      <c r="BF60" s="12">
        <v>45769</v>
      </c>
      <c r="BG60" s="12">
        <v>45769</v>
      </c>
      <c r="BH60" s="12" t="s">
        <v>2842</v>
      </c>
      <c r="BI60" s="12">
        <v>45769</v>
      </c>
      <c r="BJ60" s="12">
        <v>45769</v>
      </c>
      <c r="BK60" s="174"/>
      <c r="BL60" s="12" t="str">
        <f t="shared" si="3"/>
        <v>Approved</v>
      </c>
      <c r="BM60" s="12" t="str">
        <f t="shared" si="4"/>
        <v>Approved</v>
      </c>
      <c r="BN60" s="12">
        <v>45929</v>
      </c>
      <c r="BO60" s="12">
        <v>45932</v>
      </c>
      <c r="BP60" s="155" t="s">
        <v>2011</v>
      </c>
      <c r="BQ60" s="12" t="s">
        <v>2718</v>
      </c>
      <c r="BR60" s="12">
        <v>46021</v>
      </c>
      <c r="BS60" s="143">
        <f t="shared" ca="1" si="8"/>
        <v>0</v>
      </c>
      <c r="BT60" s="176"/>
      <c r="BU60" s="12"/>
      <c r="BV60" s="143">
        <f t="shared" ca="1" si="9"/>
        <v>0</v>
      </c>
      <c r="BW60" s="12"/>
      <c r="BX60" s="12"/>
      <c r="BY60" s="143"/>
      <c r="BZ60" s="13" t="s">
        <v>2500</v>
      </c>
      <c r="CA60" s="13"/>
      <c r="CB60" s="13"/>
      <c r="CC60" s="13"/>
      <c r="CD60" s="13"/>
      <c r="CE60" s="198" t="s">
        <v>2845</v>
      </c>
      <c r="CF60" s="198" t="s">
        <v>2846</v>
      </c>
      <c r="CG60" s="273" t="s">
        <v>2847</v>
      </c>
      <c r="CH60" s="273" t="s">
        <v>2848</v>
      </c>
      <c r="CI60" s="198"/>
      <c r="CJ60" s="198"/>
      <c r="CK60" s="198"/>
      <c r="CL60" s="198"/>
    </row>
    <row r="61" spans="1:90" ht="30" customHeight="1">
      <c r="A61" s="187">
        <v>56</v>
      </c>
      <c r="B61" s="190" t="s">
        <v>2486</v>
      </c>
      <c r="C61" s="190" t="s">
        <v>2487</v>
      </c>
      <c r="D61" s="190" t="s">
        <v>135</v>
      </c>
      <c r="E61" s="8" t="e">
        <f ca="1">+_xlfn.CONCAT(G61,"-",B61,"_",C61,"_",_xlfn.XLOOKUP(BP61,Account!M:M,Account!N:N))</f>
        <v>#NAME?</v>
      </c>
      <c r="F61" s="12">
        <v>45735</v>
      </c>
      <c r="G61" s="190" t="s">
        <v>2096</v>
      </c>
      <c r="H61" s="190" t="s">
        <v>2835</v>
      </c>
      <c r="I61" s="10" t="s">
        <v>2097</v>
      </c>
      <c r="J61" s="190">
        <v>15</v>
      </c>
      <c r="K61" s="190" t="s">
        <v>2038</v>
      </c>
      <c r="L61" s="190" t="s">
        <v>1279</v>
      </c>
      <c r="M61" s="190" t="s">
        <v>2836</v>
      </c>
      <c r="N61" s="10" t="s">
        <v>2837</v>
      </c>
      <c r="O61" s="178" t="s">
        <v>2838</v>
      </c>
      <c r="P61" s="178" t="s">
        <v>2839</v>
      </c>
      <c r="Q61" s="327">
        <v>18868.810000000001</v>
      </c>
      <c r="R61" s="190">
        <v>70</v>
      </c>
      <c r="S61" s="190" t="s">
        <v>2840</v>
      </c>
      <c r="T61" s="190" t="s">
        <v>2494</v>
      </c>
      <c r="U61" s="190" t="s">
        <v>2495</v>
      </c>
      <c r="V61" s="8" t="s">
        <v>1768</v>
      </c>
      <c r="W61" s="10" t="s">
        <v>2556</v>
      </c>
      <c r="X61" s="8"/>
      <c r="Y61" s="12" t="s">
        <v>2432</v>
      </c>
      <c r="Z61" s="172">
        <v>45735</v>
      </c>
      <c r="AA61" s="12">
        <v>45742</v>
      </c>
      <c r="AB61" s="143" t="str">
        <f t="shared" ca="1" si="0"/>
        <v>Expired</v>
      </c>
      <c r="AC61" s="13"/>
      <c r="AD61" s="12">
        <v>45738</v>
      </c>
      <c r="AE61" s="12">
        <v>45763</v>
      </c>
      <c r="AF61" s="12"/>
      <c r="AG61" s="12"/>
      <c r="AH61" s="11"/>
      <c r="AI61" s="11"/>
      <c r="AJ61" s="11"/>
      <c r="AK61" s="11">
        <v>45922</v>
      </c>
      <c r="AL61" s="11">
        <v>45922</v>
      </c>
      <c r="AM61" s="11">
        <v>45943</v>
      </c>
      <c r="AN61" s="11"/>
      <c r="AO61" s="11" t="str">
        <f>+IF(AM61&lt;&gt;"","ATP App MS",IF(AL61&lt;&gt;"","OA/RFS",IF(AK61&lt;&gt;"","Install",IF(AH61&lt;&gt;"","Dismantle Perangkat",IF(AF61="Drop","Drop",IF(AE61&lt;&gt;"","Survey Report",IF(AD61&lt;&gt;"","Survey","NY Survey")))))))</f>
        <v>ATP App MS</v>
      </c>
      <c r="AP61" s="173"/>
      <c r="AQ61" s="12">
        <v>45922</v>
      </c>
      <c r="AR61" s="12">
        <v>45979</v>
      </c>
      <c r="AS61" s="12"/>
      <c r="AT61" s="12">
        <v>46000</v>
      </c>
      <c r="AU61" s="12">
        <v>46000</v>
      </c>
      <c r="AV61" s="12"/>
      <c r="AW61" s="11" t="str">
        <f t="shared" si="1"/>
        <v>Upload 1st BOQ &amp; BAN Isaac</v>
      </c>
      <c r="AX61" s="12"/>
      <c r="AY61" s="12"/>
      <c r="AZ61" s="12"/>
      <c r="BA61" s="12"/>
      <c r="BB61" s="12"/>
      <c r="BC61" s="12"/>
      <c r="BD61" s="11" t="str">
        <f t="shared" si="2"/>
        <v>NY Submit</v>
      </c>
      <c r="BE61" s="174" t="s">
        <v>2841</v>
      </c>
      <c r="BF61" s="12">
        <v>45769</v>
      </c>
      <c r="BG61" s="12">
        <v>45769</v>
      </c>
      <c r="BH61" s="12" t="s">
        <v>2842</v>
      </c>
      <c r="BI61" s="12">
        <v>45769</v>
      </c>
      <c r="BJ61" s="12">
        <v>45769</v>
      </c>
      <c r="BK61" s="174"/>
      <c r="BL61" s="12" t="str">
        <f t="shared" si="3"/>
        <v>Approved</v>
      </c>
      <c r="BM61" s="12" t="str">
        <f t="shared" si="4"/>
        <v>Approved</v>
      </c>
      <c r="BN61" s="12">
        <v>45943</v>
      </c>
      <c r="BO61" s="12">
        <v>45943</v>
      </c>
      <c r="BP61" s="155" t="s">
        <v>1768</v>
      </c>
      <c r="BQ61" s="12" t="s">
        <v>2849</v>
      </c>
      <c r="BR61" s="12">
        <v>46021</v>
      </c>
      <c r="BS61" s="143">
        <f t="shared" ca="1" si="8"/>
        <v>0</v>
      </c>
      <c r="BT61" s="176"/>
      <c r="BU61" s="12"/>
      <c r="BV61" s="143">
        <f t="shared" ca="1" si="9"/>
        <v>0</v>
      </c>
      <c r="BW61" s="12"/>
      <c r="BX61" s="12"/>
      <c r="BY61" s="143"/>
      <c r="BZ61" s="13" t="s">
        <v>2500</v>
      </c>
      <c r="CA61" s="13"/>
      <c r="CB61" s="13"/>
      <c r="CC61" s="13"/>
      <c r="CD61" s="13"/>
      <c r="CE61" s="198" t="s">
        <v>2845</v>
      </c>
      <c r="CF61" s="198" t="s">
        <v>2846</v>
      </c>
      <c r="CG61" s="273" t="s">
        <v>2847</v>
      </c>
      <c r="CH61" s="273" t="s">
        <v>2848</v>
      </c>
      <c r="CI61" s="198" t="s">
        <v>2850</v>
      </c>
      <c r="CJ61" s="198" t="s">
        <v>2851</v>
      </c>
      <c r="CK61" s="198"/>
      <c r="CL61" s="198"/>
    </row>
    <row r="62" spans="1:90">
      <c r="A62" s="187">
        <v>57</v>
      </c>
      <c r="B62" s="190" t="s">
        <v>2486</v>
      </c>
      <c r="C62" s="190" t="s">
        <v>2487</v>
      </c>
      <c r="D62" s="190" t="s">
        <v>135</v>
      </c>
      <c r="E62" s="8" t="e">
        <f ca="1">+_xlfn.CONCAT(G62,"-",B62,"_",C62,"_",_xlfn.XLOOKUP(BP62,Account!M:M,Account!N:N))</f>
        <v>#NAME?</v>
      </c>
      <c r="F62" s="12">
        <v>45741</v>
      </c>
      <c r="G62" s="190" t="s">
        <v>2852</v>
      </c>
      <c r="H62" s="190" t="s">
        <v>2853</v>
      </c>
      <c r="I62" s="10" t="s">
        <v>2854</v>
      </c>
      <c r="J62" s="190">
        <v>11</v>
      </c>
      <c r="K62" s="190" t="s">
        <v>2486</v>
      </c>
      <c r="L62" s="190" t="s">
        <v>2855</v>
      </c>
      <c r="M62" s="190" t="s">
        <v>2856</v>
      </c>
      <c r="N62" s="10" t="s">
        <v>2857</v>
      </c>
      <c r="O62" s="178" t="s">
        <v>2858</v>
      </c>
      <c r="P62" s="178" t="s">
        <v>2859</v>
      </c>
      <c r="Q62" s="327">
        <v>654.45000000000005</v>
      </c>
      <c r="R62" s="190"/>
      <c r="S62" s="190" t="s">
        <v>330</v>
      </c>
      <c r="T62" s="190" t="s">
        <v>2518</v>
      </c>
      <c r="U62" s="190" t="s">
        <v>2565</v>
      </c>
      <c r="V62" s="8" t="s">
        <v>1760</v>
      </c>
      <c r="W62" s="10" t="s">
        <v>1273</v>
      </c>
      <c r="X62" s="9">
        <v>89677996532</v>
      </c>
      <c r="Y62" s="12" t="s">
        <v>2432</v>
      </c>
      <c r="Z62" s="172">
        <v>45755</v>
      </c>
      <c r="AA62" s="172">
        <v>45761</v>
      </c>
      <c r="AB62" s="143" t="str">
        <f t="shared" ca="1" si="0"/>
        <v>Expired</v>
      </c>
      <c r="AC62" s="13"/>
      <c r="AD62" s="12">
        <v>45756</v>
      </c>
      <c r="AE62" s="12">
        <v>45762</v>
      </c>
      <c r="AF62" s="12" t="s">
        <v>2526</v>
      </c>
      <c r="AG62" s="12"/>
      <c r="AH62" s="11"/>
      <c r="AI62" s="11"/>
      <c r="AJ62" s="11"/>
      <c r="AK62" s="11"/>
      <c r="AL62" s="11"/>
      <c r="AM62" s="11"/>
      <c r="AN62" s="11"/>
      <c r="AO62" s="11" t="str">
        <f>+IF(AN62&lt;&gt;"","BAST",IF(AI62&lt;&gt;"","Dismantle",IF(AG62&lt;&gt;"","RFD App",IF(AF62="Drop","Drop",IF(AE62&lt;&gt;"","Survey Report",IF(AD62&lt;&gt;"","Survey","NY Survey"))))))</f>
        <v>Drop</v>
      </c>
      <c r="AP62" s="173" t="s">
        <v>2743</v>
      </c>
      <c r="AQ62" s="12">
        <v>45888</v>
      </c>
      <c r="AR62" s="12"/>
      <c r="AS62" s="12"/>
      <c r="AT62" s="12"/>
      <c r="AU62" s="12"/>
      <c r="AV62" s="12"/>
      <c r="AW62" s="11" t="str">
        <f t="shared" si="1"/>
        <v>1st BOQ Submit</v>
      </c>
      <c r="AX62" s="12"/>
      <c r="AY62" s="12"/>
      <c r="AZ62" s="12"/>
      <c r="BA62" s="12"/>
      <c r="BB62" s="12"/>
      <c r="BC62" s="12"/>
      <c r="BD62" s="11" t="str">
        <f t="shared" si="2"/>
        <v>NY Submit</v>
      </c>
      <c r="BE62" s="174"/>
      <c r="BF62" s="12">
        <v>45762</v>
      </c>
      <c r="BG62" s="12">
        <v>45762</v>
      </c>
      <c r="BH62" s="12" t="s">
        <v>2860</v>
      </c>
      <c r="BI62" s="12">
        <v>45762</v>
      </c>
      <c r="BJ62" s="12">
        <v>45762</v>
      </c>
      <c r="BK62" s="174" t="s">
        <v>2861</v>
      </c>
      <c r="BL62" s="12" t="str">
        <f t="shared" si="3"/>
        <v>Approved</v>
      </c>
      <c r="BM62" s="12" t="str">
        <f t="shared" si="4"/>
        <v>Approved</v>
      </c>
      <c r="BN62" s="12"/>
      <c r="BO62" s="12"/>
      <c r="BP62" s="155" t="s">
        <v>1760</v>
      </c>
      <c r="BQ62" s="12" t="s">
        <v>2862</v>
      </c>
      <c r="BR62" s="12"/>
      <c r="BS62" s="143" t="str">
        <f t="shared" ca="1" si="8"/>
        <v>Drop</v>
      </c>
      <c r="BT62" s="176"/>
      <c r="BU62" s="12"/>
      <c r="BV62" s="143" t="str">
        <f t="shared" ca="1" si="9"/>
        <v>Drop</v>
      </c>
      <c r="BW62" s="12"/>
      <c r="BX62" s="12"/>
      <c r="BY62" s="143"/>
      <c r="BZ62" s="13" t="s">
        <v>2863</v>
      </c>
      <c r="CA62" s="13" t="s">
        <v>2526</v>
      </c>
      <c r="CB62" s="13" t="s">
        <v>2526</v>
      </c>
      <c r="CC62" s="13"/>
      <c r="CD62" s="13"/>
      <c r="CE62" s="198"/>
      <c r="CF62" s="198"/>
      <c r="CG62" s="272"/>
      <c r="CH62" s="272"/>
      <c r="CI62" s="198"/>
      <c r="CJ62" s="198"/>
      <c r="CK62" s="198"/>
      <c r="CL62" s="198"/>
    </row>
    <row r="63" spans="1:90">
      <c r="A63" s="187">
        <v>58</v>
      </c>
      <c r="B63" s="190" t="s">
        <v>2486</v>
      </c>
      <c r="C63" s="190" t="s">
        <v>2487</v>
      </c>
      <c r="D63" s="190" t="s">
        <v>135</v>
      </c>
      <c r="E63" s="8" t="e">
        <f ca="1">+_xlfn.CONCAT(G63,"-",B63,"_",C63,"_",_xlfn.XLOOKUP(BP63,Account!M:M,Account!N:N))</f>
        <v>#NAME?</v>
      </c>
      <c r="F63" s="12">
        <v>45741</v>
      </c>
      <c r="G63" s="190" t="s">
        <v>2852</v>
      </c>
      <c r="H63" s="190" t="s">
        <v>2853</v>
      </c>
      <c r="I63" s="10" t="s">
        <v>2854</v>
      </c>
      <c r="J63" s="190">
        <v>11</v>
      </c>
      <c r="K63" s="190" t="s">
        <v>2486</v>
      </c>
      <c r="L63" s="190" t="s">
        <v>2855</v>
      </c>
      <c r="M63" s="190" t="s">
        <v>2856</v>
      </c>
      <c r="N63" s="10" t="s">
        <v>2857</v>
      </c>
      <c r="O63" s="178" t="s">
        <v>2858</v>
      </c>
      <c r="P63" s="178" t="s">
        <v>2859</v>
      </c>
      <c r="Q63" s="327">
        <v>654.45000000000005</v>
      </c>
      <c r="R63" s="190"/>
      <c r="S63" s="190" t="s">
        <v>330</v>
      </c>
      <c r="T63" s="190" t="s">
        <v>2518</v>
      </c>
      <c r="U63" s="190" t="s">
        <v>2565</v>
      </c>
      <c r="V63" s="8" t="s">
        <v>2011</v>
      </c>
      <c r="W63" s="10" t="s">
        <v>1273</v>
      </c>
      <c r="X63" s="9">
        <v>89677996532</v>
      </c>
      <c r="Y63" s="12" t="s">
        <v>2432</v>
      </c>
      <c r="Z63" s="172">
        <v>45755</v>
      </c>
      <c r="AA63" s="172">
        <v>45761</v>
      </c>
      <c r="AB63" s="143" t="str">
        <f t="shared" ca="1" si="0"/>
        <v>Expired</v>
      </c>
      <c r="AC63" s="13"/>
      <c r="AD63" s="12">
        <v>45756</v>
      </c>
      <c r="AE63" s="12">
        <v>45762</v>
      </c>
      <c r="AF63" s="12" t="s">
        <v>2526</v>
      </c>
      <c r="AG63" s="12"/>
      <c r="AH63" s="11"/>
      <c r="AI63" s="11"/>
      <c r="AJ63" s="11"/>
      <c r="AK63" s="11"/>
      <c r="AL63" s="11"/>
      <c r="AM63" s="11"/>
      <c r="AN63" s="11"/>
      <c r="AO63" s="11" t="str">
        <f>+IF(AM63&lt;&gt;"","ATP App MS",IF(AJ63&lt;&gt;"","Inbound",IF(AH63&lt;&gt;"","Dismantle Perangkat",IF(AF63="Drop","Drop",IF(AE63&lt;&gt;"","Survey Report",IF(AD63&lt;&gt;"","Survey","NY Survey"))))))</f>
        <v>Drop</v>
      </c>
      <c r="AP63" s="173"/>
      <c r="AQ63" s="12"/>
      <c r="AR63" s="12"/>
      <c r="AS63" s="12"/>
      <c r="AT63" s="12"/>
      <c r="AU63" s="12"/>
      <c r="AV63" s="12"/>
      <c r="AW63" s="11" t="str">
        <f t="shared" si="1"/>
        <v>NY Submit</v>
      </c>
      <c r="AX63" s="12"/>
      <c r="AY63" s="12"/>
      <c r="AZ63" s="12"/>
      <c r="BA63" s="12"/>
      <c r="BB63" s="12"/>
      <c r="BC63" s="12"/>
      <c r="BD63" s="11" t="str">
        <f t="shared" si="2"/>
        <v>NY Submit</v>
      </c>
      <c r="BE63" s="174"/>
      <c r="BF63" s="12">
        <v>45762</v>
      </c>
      <c r="BG63" s="12">
        <v>45762</v>
      </c>
      <c r="BH63" s="12" t="s">
        <v>2860</v>
      </c>
      <c r="BI63" s="12">
        <v>45762</v>
      </c>
      <c r="BJ63" s="12">
        <v>45762</v>
      </c>
      <c r="BK63" s="174"/>
      <c r="BL63" s="12" t="str">
        <f t="shared" si="3"/>
        <v>Approved</v>
      </c>
      <c r="BM63" s="12" t="str">
        <f t="shared" si="4"/>
        <v>Approved</v>
      </c>
      <c r="BN63" s="12"/>
      <c r="BO63" s="12"/>
      <c r="BP63" s="155" t="s">
        <v>2011</v>
      </c>
      <c r="BQ63" s="12" t="s">
        <v>2526</v>
      </c>
      <c r="BR63" s="12"/>
      <c r="BS63" s="143" t="str">
        <f t="shared" ca="1" si="8"/>
        <v>Drop</v>
      </c>
      <c r="BT63" s="176"/>
      <c r="BU63" s="12"/>
      <c r="BV63" s="143" t="str">
        <f t="shared" ca="1" si="9"/>
        <v>Drop</v>
      </c>
      <c r="BW63" s="12"/>
      <c r="BX63" s="12"/>
      <c r="BY63" s="143"/>
      <c r="BZ63" s="13" t="s">
        <v>2526</v>
      </c>
      <c r="CA63" s="13" t="s">
        <v>2526</v>
      </c>
      <c r="CB63" s="13" t="s">
        <v>2526</v>
      </c>
      <c r="CC63" s="13"/>
      <c r="CD63" s="13"/>
      <c r="CE63" s="198"/>
      <c r="CF63" s="198"/>
      <c r="CG63" s="272"/>
      <c r="CH63" s="272"/>
      <c r="CI63" s="198"/>
      <c r="CJ63" s="198"/>
      <c r="CK63" s="198"/>
      <c r="CL63" s="198"/>
    </row>
    <row r="64" spans="1:90">
      <c r="A64" s="187">
        <v>59</v>
      </c>
      <c r="B64" s="190" t="s">
        <v>2486</v>
      </c>
      <c r="C64" s="190" t="s">
        <v>2487</v>
      </c>
      <c r="D64" s="190" t="s">
        <v>135</v>
      </c>
      <c r="E64" s="8" t="e">
        <f ca="1">+_xlfn.CONCAT(G64,"-",B64,"_",C64,"_",_xlfn.XLOOKUP(BP64,Account!M:M,Account!N:N))</f>
        <v>#NAME?</v>
      </c>
      <c r="F64" s="12">
        <v>45741</v>
      </c>
      <c r="G64" s="190" t="s">
        <v>2852</v>
      </c>
      <c r="H64" s="190" t="s">
        <v>2853</v>
      </c>
      <c r="I64" s="10" t="s">
        <v>2854</v>
      </c>
      <c r="J64" s="190">
        <v>11</v>
      </c>
      <c r="K64" s="190" t="s">
        <v>2486</v>
      </c>
      <c r="L64" s="190" t="s">
        <v>2855</v>
      </c>
      <c r="M64" s="190" t="s">
        <v>2856</v>
      </c>
      <c r="N64" s="10" t="s">
        <v>2857</v>
      </c>
      <c r="O64" s="178" t="s">
        <v>2858</v>
      </c>
      <c r="P64" s="178" t="s">
        <v>2859</v>
      </c>
      <c r="Q64" s="327">
        <v>654.45000000000005</v>
      </c>
      <c r="R64" s="190"/>
      <c r="S64" s="190" t="s">
        <v>330</v>
      </c>
      <c r="T64" s="190" t="s">
        <v>2518</v>
      </c>
      <c r="U64" s="190" t="s">
        <v>2565</v>
      </c>
      <c r="V64" s="8" t="s">
        <v>1768</v>
      </c>
      <c r="W64" s="10" t="s">
        <v>1273</v>
      </c>
      <c r="X64" s="9">
        <v>89677996532</v>
      </c>
      <c r="Y64" s="12" t="s">
        <v>2432</v>
      </c>
      <c r="Z64" s="172">
        <v>45755</v>
      </c>
      <c r="AA64" s="172">
        <v>45761</v>
      </c>
      <c r="AB64" s="143" t="str">
        <f t="shared" ca="1" si="0"/>
        <v>Expired</v>
      </c>
      <c r="AC64" s="13"/>
      <c r="AD64" s="12">
        <v>45756</v>
      </c>
      <c r="AE64" s="12">
        <v>45762</v>
      </c>
      <c r="AF64" s="12" t="s">
        <v>2526</v>
      </c>
      <c r="AG64" s="12"/>
      <c r="AH64" s="11"/>
      <c r="AI64" s="11"/>
      <c r="AJ64" s="11"/>
      <c r="AK64" s="11"/>
      <c r="AL64" s="11"/>
      <c r="AM64" s="11"/>
      <c r="AN64" s="11"/>
      <c r="AO64" s="11" t="str">
        <f>+IF(AM64&lt;&gt;"","ATP App MS",IF(AL64&lt;&gt;"","OA/RFS",IF(AK64&lt;&gt;"","Install",IF(AH64&lt;&gt;"","Dismantle Perangkat",IF(AF64="Drop","Drop",IF(AE64&lt;&gt;"","Survey Report",IF(AD64&lt;&gt;"","Survey","NY Survey")))))))</f>
        <v>Drop</v>
      </c>
      <c r="AP64" s="173"/>
      <c r="AQ64" s="12"/>
      <c r="AR64" s="12"/>
      <c r="AS64" s="12"/>
      <c r="AT64" s="12"/>
      <c r="AU64" s="12"/>
      <c r="AV64" s="12"/>
      <c r="AW64" s="11" t="str">
        <f t="shared" si="1"/>
        <v>NY Submit</v>
      </c>
      <c r="AX64" s="12"/>
      <c r="AY64" s="12"/>
      <c r="AZ64" s="12"/>
      <c r="BA64" s="12"/>
      <c r="BB64" s="12"/>
      <c r="BC64" s="12"/>
      <c r="BD64" s="11" t="str">
        <f t="shared" si="2"/>
        <v>NY Submit</v>
      </c>
      <c r="BE64" s="174"/>
      <c r="BF64" s="12">
        <v>45762</v>
      </c>
      <c r="BG64" s="12">
        <v>45762</v>
      </c>
      <c r="BH64" s="12" t="s">
        <v>2860</v>
      </c>
      <c r="BI64" s="12">
        <v>45762</v>
      </c>
      <c r="BJ64" s="12">
        <v>45762</v>
      </c>
      <c r="BK64" s="174"/>
      <c r="BL64" s="12" t="str">
        <f t="shared" si="3"/>
        <v>Approved</v>
      </c>
      <c r="BM64" s="12" t="str">
        <f t="shared" si="4"/>
        <v>Approved</v>
      </c>
      <c r="BN64" s="12"/>
      <c r="BO64" s="12"/>
      <c r="BP64" s="155" t="s">
        <v>1768</v>
      </c>
      <c r="BQ64" s="12" t="s">
        <v>2526</v>
      </c>
      <c r="BR64" s="12"/>
      <c r="BS64" s="143" t="str">
        <f t="shared" ca="1" si="8"/>
        <v>Drop</v>
      </c>
      <c r="BT64" s="176"/>
      <c r="BU64" s="12"/>
      <c r="BV64" s="143" t="str">
        <f t="shared" ca="1" si="9"/>
        <v>Drop</v>
      </c>
      <c r="BW64" s="12"/>
      <c r="BX64" s="12"/>
      <c r="BY64" s="143"/>
      <c r="BZ64" s="13" t="s">
        <v>2526</v>
      </c>
      <c r="CA64" s="13" t="s">
        <v>2526</v>
      </c>
      <c r="CB64" s="13" t="s">
        <v>2526</v>
      </c>
      <c r="CC64" s="13"/>
      <c r="CD64" s="13"/>
      <c r="CE64" s="198"/>
      <c r="CF64" s="198"/>
      <c r="CG64" s="272"/>
      <c r="CH64" s="272"/>
      <c r="CI64" s="198"/>
      <c r="CJ64" s="198"/>
      <c r="CK64" s="198"/>
      <c r="CL64" s="198"/>
    </row>
    <row r="65" spans="1:90">
      <c r="A65" s="187">
        <v>60</v>
      </c>
      <c r="B65" s="190" t="s">
        <v>2486</v>
      </c>
      <c r="C65" s="190" t="s">
        <v>2487</v>
      </c>
      <c r="D65" s="190" t="s">
        <v>135</v>
      </c>
      <c r="E65" s="8" t="e">
        <f ca="1">+_xlfn.CONCAT(G65,"-",B65,"_",C65,"_",_xlfn.XLOOKUP(BP65,Account!M:M,Account!N:N))</f>
        <v>#NAME?</v>
      </c>
      <c r="F65" s="12">
        <v>45741</v>
      </c>
      <c r="G65" s="190" t="s">
        <v>2864</v>
      </c>
      <c r="H65" s="190" t="s">
        <v>2865</v>
      </c>
      <c r="I65" s="10" t="s">
        <v>2866</v>
      </c>
      <c r="J65" s="190">
        <v>11</v>
      </c>
      <c r="K65" s="190" t="s">
        <v>2486</v>
      </c>
      <c r="L65" s="190" t="s">
        <v>2855</v>
      </c>
      <c r="M65" s="190" t="s">
        <v>2856</v>
      </c>
      <c r="N65" s="10" t="s">
        <v>2857</v>
      </c>
      <c r="O65" s="178" t="s">
        <v>2867</v>
      </c>
      <c r="P65" s="178" t="s">
        <v>2868</v>
      </c>
      <c r="Q65" s="327">
        <v>872.6</v>
      </c>
      <c r="R65" s="190"/>
      <c r="S65" s="190" t="s">
        <v>68</v>
      </c>
      <c r="T65" s="190" t="s">
        <v>2518</v>
      </c>
      <c r="U65" s="190" t="s">
        <v>2565</v>
      </c>
      <c r="V65" s="8" t="s">
        <v>1760</v>
      </c>
      <c r="W65" s="10" t="s">
        <v>1273</v>
      </c>
      <c r="X65" s="9">
        <v>89677996532</v>
      </c>
      <c r="Y65" s="12" t="s">
        <v>2432</v>
      </c>
      <c r="Z65" s="172">
        <v>45755</v>
      </c>
      <c r="AA65" s="172">
        <v>45761</v>
      </c>
      <c r="AB65" s="143" t="str">
        <f t="shared" ca="1" si="0"/>
        <v>Expired</v>
      </c>
      <c r="AC65" s="13"/>
      <c r="AD65" s="12">
        <v>45756</v>
      </c>
      <c r="AE65" s="12">
        <v>45762</v>
      </c>
      <c r="AF65" s="12" t="s">
        <v>2526</v>
      </c>
      <c r="AG65" s="12"/>
      <c r="AH65" s="11"/>
      <c r="AI65" s="11"/>
      <c r="AJ65" s="11"/>
      <c r="AK65" s="11"/>
      <c r="AL65" s="11"/>
      <c r="AM65" s="11"/>
      <c r="AN65" s="11"/>
      <c r="AO65" s="11" t="str">
        <f>+IF(AN65&lt;&gt;"","BAST",IF(AI65&lt;&gt;"","Dismantle",IF(AG65&lt;&gt;"","RFD App",IF(AF65="Drop","Drop",IF(AE65&lt;&gt;"","Survey Report",IF(AD65&lt;&gt;"","Survey","NY Survey"))))))</f>
        <v>Drop</v>
      </c>
      <c r="AP65" s="173" t="s">
        <v>2743</v>
      </c>
      <c r="AQ65" s="12">
        <v>45888</v>
      </c>
      <c r="AR65" s="12">
        <v>45960</v>
      </c>
      <c r="AS65" s="12"/>
      <c r="AT65" s="12"/>
      <c r="AU65" s="12">
        <v>45967</v>
      </c>
      <c r="AV65" s="12">
        <v>45967</v>
      </c>
      <c r="AW65" s="11" t="str">
        <f t="shared" si="1"/>
        <v>1st BOQ App on ISAAC</v>
      </c>
      <c r="AX65" s="12"/>
      <c r="AY65" s="12"/>
      <c r="AZ65" s="12"/>
      <c r="BA65" s="12"/>
      <c r="BB65" s="12"/>
      <c r="BC65" s="12"/>
      <c r="BD65" s="11" t="str">
        <f t="shared" si="2"/>
        <v>NY Submit</v>
      </c>
      <c r="BE65" s="174"/>
      <c r="BF65" s="12">
        <v>45762</v>
      </c>
      <c r="BG65" s="12">
        <v>45762</v>
      </c>
      <c r="BH65" s="12" t="s">
        <v>2869</v>
      </c>
      <c r="BI65" s="12">
        <v>45762</v>
      </c>
      <c r="BJ65" s="12">
        <v>45762</v>
      </c>
      <c r="BK65" s="174" t="s">
        <v>2870</v>
      </c>
      <c r="BL65" s="12" t="str">
        <f t="shared" si="3"/>
        <v>Approved</v>
      </c>
      <c r="BM65" s="12" t="str">
        <f t="shared" si="4"/>
        <v>Approved</v>
      </c>
      <c r="BN65" s="12"/>
      <c r="BO65" s="12"/>
      <c r="BP65" s="155" t="s">
        <v>1760</v>
      </c>
      <c r="BQ65" s="12" t="s">
        <v>2871</v>
      </c>
      <c r="BR65" s="12">
        <v>45974</v>
      </c>
      <c r="BS65" s="143" t="str">
        <f t="shared" ca="1" si="8"/>
        <v>Drop</v>
      </c>
      <c r="BT65" s="176"/>
      <c r="BU65" s="12"/>
      <c r="BV65" s="143" t="str">
        <f t="shared" ca="1" si="9"/>
        <v>Drop</v>
      </c>
      <c r="BW65" s="12"/>
      <c r="BX65" s="12"/>
      <c r="BY65" s="143"/>
      <c r="BZ65" s="13" t="s">
        <v>2500</v>
      </c>
      <c r="CA65" s="13"/>
      <c r="CB65" s="13"/>
      <c r="CC65" s="13"/>
      <c r="CD65" s="13"/>
      <c r="CE65" s="198"/>
      <c r="CF65" s="198"/>
      <c r="CG65" s="272"/>
      <c r="CH65" s="272"/>
      <c r="CI65" s="198"/>
      <c r="CJ65" s="198"/>
      <c r="CK65" s="198"/>
      <c r="CL65" s="198"/>
    </row>
    <row r="66" spans="1:90">
      <c r="A66" s="187">
        <v>61</v>
      </c>
      <c r="B66" s="190" t="s">
        <v>2486</v>
      </c>
      <c r="C66" s="190" t="s">
        <v>2487</v>
      </c>
      <c r="D66" s="190" t="s">
        <v>135</v>
      </c>
      <c r="E66" s="8" t="e">
        <f ca="1">+_xlfn.CONCAT(G66,"-",B66,"_",C66,"_",_xlfn.XLOOKUP(BP66,Account!M:M,Account!N:N))</f>
        <v>#NAME?</v>
      </c>
      <c r="F66" s="12">
        <v>45741</v>
      </c>
      <c r="G66" s="190" t="s">
        <v>2864</v>
      </c>
      <c r="H66" s="190" t="s">
        <v>2865</v>
      </c>
      <c r="I66" s="10" t="s">
        <v>2866</v>
      </c>
      <c r="J66" s="190">
        <v>11</v>
      </c>
      <c r="K66" s="190" t="s">
        <v>2486</v>
      </c>
      <c r="L66" s="190" t="s">
        <v>2855</v>
      </c>
      <c r="M66" s="190" t="s">
        <v>2856</v>
      </c>
      <c r="N66" s="10" t="s">
        <v>2857</v>
      </c>
      <c r="O66" s="178" t="s">
        <v>2867</v>
      </c>
      <c r="P66" s="178" t="s">
        <v>2868</v>
      </c>
      <c r="Q66" s="327">
        <v>872.6</v>
      </c>
      <c r="R66" s="190"/>
      <c r="S66" s="190" t="s">
        <v>68</v>
      </c>
      <c r="T66" s="190" t="s">
        <v>2518</v>
      </c>
      <c r="U66" s="190" t="s">
        <v>2565</v>
      </c>
      <c r="V66" s="8" t="s">
        <v>2011</v>
      </c>
      <c r="W66" s="10" t="s">
        <v>1273</v>
      </c>
      <c r="X66" s="9">
        <v>89677996532</v>
      </c>
      <c r="Y66" s="12" t="s">
        <v>2432</v>
      </c>
      <c r="Z66" s="172">
        <v>45755</v>
      </c>
      <c r="AA66" s="172">
        <v>45761</v>
      </c>
      <c r="AB66" s="143" t="str">
        <f t="shared" ca="1" si="0"/>
        <v>Expired</v>
      </c>
      <c r="AC66" s="13"/>
      <c r="AD66" s="12">
        <v>45756</v>
      </c>
      <c r="AE66" s="12">
        <v>45762</v>
      </c>
      <c r="AF66" s="12" t="s">
        <v>2526</v>
      </c>
      <c r="AG66" s="12"/>
      <c r="AH66" s="11"/>
      <c r="AI66" s="11"/>
      <c r="AJ66" s="11"/>
      <c r="AK66" s="11"/>
      <c r="AL66" s="11"/>
      <c r="AM66" s="11"/>
      <c r="AN66" s="11"/>
      <c r="AO66" s="11" t="str">
        <f>+IF(AM66&lt;&gt;"","ATP App MS",IF(AJ66&lt;&gt;"","Inbound",IF(AH66&lt;&gt;"","Dismantle Perangkat",IF(AF66="Drop","Drop",IF(AE66&lt;&gt;"","Survey Report",IF(AD66&lt;&gt;"","Survey","NY Survey"))))))</f>
        <v>Drop</v>
      </c>
      <c r="AP66" s="173"/>
      <c r="AQ66" s="12"/>
      <c r="AR66" s="12"/>
      <c r="AS66" s="12"/>
      <c r="AT66" s="12"/>
      <c r="AU66" s="12"/>
      <c r="AV66" s="12"/>
      <c r="AW66" s="11" t="str">
        <f t="shared" si="1"/>
        <v>NY Submit</v>
      </c>
      <c r="AX66" s="12"/>
      <c r="AY66" s="12"/>
      <c r="AZ66" s="12"/>
      <c r="BA66" s="12"/>
      <c r="BB66" s="12"/>
      <c r="BC66" s="12"/>
      <c r="BD66" s="11" t="str">
        <f t="shared" si="2"/>
        <v>NY Submit</v>
      </c>
      <c r="BE66" s="174"/>
      <c r="BF66" s="12">
        <v>45762</v>
      </c>
      <c r="BG66" s="12">
        <v>45762</v>
      </c>
      <c r="BH66" s="12" t="s">
        <v>2869</v>
      </c>
      <c r="BI66" s="12">
        <v>45762</v>
      </c>
      <c r="BJ66" s="12">
        <v>45762</v>
      </c>
      <c r="BK66" s="174"/>
      <c r="BL66" s="12" t="str">
        <f t="shared" si="3"/>
        <v>Approved</v>
      </c>
      <c r="BM66" s="12" t="str">
        <f t="shared" si="4"/>
        <v>Approved</v>
      </c>
      <c r="BN66" s="12"/>
      <c r="BO66" s="12"/>
      <c r="BP66" s="155" t="s">
        <v>2011</v>
      </c>
      <c r="BQ66" s="12" t="s">
        <v>2526</v>
      </c>
      <c r="BR66" s="12"/>
      <c r="BS66" s="143" t="str">
        <f t="shared" ca="1" si="8"/>
        <v>Drop</v>
      </c>
      <c r="BT66" s="176"/>
      <c r="BU66" s="12"/>
      <c r="BV66" s="143" t="str">
        <f t="shared" ca="1" si="9"/>
        <v>Drop</v>
      </c>
      <c r="BW66" s="12"/>
      <c r="BX66" s="12"/>
      <c r="BY66" s="143"/>
      <c r="BZ66" s="13" t="s">
        <v>2526</v>
      </c>
      <c r="CA66" s="13" t="s">
        <v>2526</v>
      </c>
      <c r="CB66" s="13" t="s">
        <v>2526</v>
      </c>
      <c r="CC66" s="13"/>
      <c r="CD66" s="13"/>
      <c r="CE66" s="198"/>
      <c r="CF66" s="198"/>
      <c r="CG66" s="272"/>
      <c r="CH66" s="272"/>
      <c r="CI66" s="198"/>
      <c r="CJ66" s="198"/>
      <c r="CK66" s="198"/>
      <c r="CL66" s="198"/>
    </row>
    <row r="67" spans="1:90">
      <c r="A67" s="187">
        <v>62</v>
      </c>
      <c r="B67" s="190" t="s">
        <v>2486</v>
      </c>
      <c r="C67" s="190" t="s">
        <v>2487</v>
      </c>
      <c r="D67" s="190" t="s">
        <v>135</v>
      </c>
      <c r="E67" s="8" t="e">
        <f ca="1">+_xlfn.CONCAT(G67,"-",B67,"_",C67,"_",_xlfn.XLOOKUP(BP67,Account!M:M,Account!N:N))</f>
        <v>#NAME?</v>
      </c>
      <c r="F67" s="12">
        <v>45741</v>
      </c>
      <c r="G67" s="190" t="s">
        <v>2864</v>
      </c>
      <c r="H67" s="190" t="s">
        <v>2865</v>
      </c>
      <c r="I67" s="10" t="s">
        <v>2866</v>
      </c>
      <c r="J67" s="190">
        <v>11</v>
      </c>
      <c r="K67" s="190" t="s">
        <v>2486</v>
      </c>
      <c r="L67" s="190" t="s">
        <v>2855</v>
      </c>
      <c r="M67" s="190" t="s">
        <v>2856</v>
      </c>
      <c r="N67" s="10" t="s">
        <v>2857</v>
      </c>
      <c r="O67" s="178" t="s">
        <v>2867</v>
      </c>
      <c r="P67" s="178" t="s">
        <v>2868</v>
      </c>
      <c r="Q67" s="327">
        <v>872.6</v>
      </c>
      <c r="R67" s="190"/>
      <c r="S67" s="190" t="s">
        <v>68</v>
      </c>
      <c r="T67" s="190" t="s">
        <v>2518</v>
      </c>
      <c r="U67" s="190" t="s">
        <v>2565</v>
      </c>
      <c r="V67" s="8" t="s">
        <v>1768</v>
      </c>
      <c r="W67" s="10" t="s">
        <v>1273</v>
      </c>
      <c r="X67" s="9">
        <v>89677996532</v>
      </c>
      <c r="Y67" s="12" t="s">
        <v>2432</v>
      </c>
      <c r="Z67" s="172">
        <v>45755</v>
      </c>
      <c r="AA67" s="172">
        <v>45761</v>
      </c>
      <c r="AB67" s="143" t="str">
        <f t="shared" ca="1" si="0"/>
        <v>Expired</v>
      </c>
      <c r="AC67" s="13"/>
      <c r="AD67" s="12">
        <v>45756</v>
      </c>
      <c r="AE67" s="12">
        <v>45762</v>
      </c>
      <c r="AF67" s="12" t="s">
        <v>2526</v>
      </c>
      <c r="AG67" s="12"/>
      <c r="AH67" s="11"/>
      <c r="AI67" s="11"/>
      <c r="AJ67" s="11"/>
      <c r="AK67" s="11"/>
      <c r="AL67" s="11"/>
      <c r="AM67" s="11"/>
      <c r="AN67" s="11"/>
      <c r="AO67" s="11" t="str">
        <f>+IF(AM67&lt;&gt;"","ATP App MS",IF(AL67&lt;&gt;"","OA/RFS",IF(AK67&lt;&gt;"","Install",IF(AH67&lt;&gt;"","Dismantle Perangkat",IF(AF67="Drop","Drop",IF(AE67&lt;&gt;"","Survey Report",IF(AD67&lt;&gt;"","Survey","NY Survey")))))))</f>
        <v>Drop</v>
      </c>
      <c r="AP67" s="173"/>
      <c r="AQ67" s="12"/>
      <c r="AR67" s="12"/>
      <c r="AS67" s="12"/>
      <c r="AT67" s="12"/>
      <c r="AU67" s="12"/>
      <c r="AV67" s="12"/>
      <c r="AW67" s="11" t="str">
        <f t="shared" si="1"/>
        <v>NY Submit</v>
      </c>
      <c r="AX67" s="12"/>
      <c r="AY67" s="12"/>
      <c r="AZ67" s="12"/>
      <c r="BA67" s="12"/>
      <c r="BB67" s="12"/>
      <c r="BC67" s="12"/>
      <c r="BD67" s="11" t="str">
        <f t="shared" si="2"/>
        <v>NY Submit</v>
      </c>
      <c r="BE67" s="174"/>
      <c r="BF67" s="12">
        <v>45762</v>
      </c>
      <c r="BG67" s="12">
        <v>45762</v>
      </c>
      <c r="BH67" s="12" t="s">
        <v>2869</v>
      </c>
      <c r="BI67" s="12">
        <v>45762</v>
      </c>
      <c r="BJ67" s="12">
        <v>45762</v>
      </c>
      <c r="BK67" s="174"/>
      <c r="BL67" s="12" t="str">
        <f t="shared" si="3"/>
        <v>Approved</v>
      </c>
      <c r="BM67" s="12" t="str">
        <f t="shared" si="4"/>
        <v>Approved</v>
      </c>
      <c r="BN67" s="12"/>
      <c r="BO67" s="12"/>
      <c r="BP67" s="155" t="s">
        <v>1768</v>
      </c>
      <c r="BQ67" s="12" t="s">
        <v>2526</v>
      </c>
      <c r="BR67" s="12"/>
      <c r="BS67" s="143" t="str">
        <f t="shared" ca="1" si="8"/>
        <v>Drop</v>
      </c>
      <c r="BT67" s="176"/>
      <c r="BU67" s="12"/>
      <c r="BV67" s="143" t="str">
        <f t="shared" ca="1" si="9"/>
        <v>Drop</v>
      </c>
      <c r="BW67" s="12"/>
      <c r="BX67" s="12"/>
      <c r="BY67" s="143"/>
      <c r="BZ67" s="13" t="s">
        <v>2526</v>
      </c>
      <c r="CA67" s="13" t="s">
        <v>2526</v>
      </c>
      <c r="CB67" s="13" t="s">
        <v>2526</v>
      </c>
      <c r="CC67" s="13"/>
      <c r="CD67" s="13"/>
      <c r="CE67" s="198"/>
      <c r="CF67" s="198"/>
      <c r="CG67" s="272"/>
      <c r="CH67" s="272"/>
      <c r="CI67" s="198"/>
      <c r="CJ67" s="198"/>
      <c r="CK67" s="198"/>
      <c r="CL67" s="198"/>
    </row>
    <row r="68" spans="1:90">
      <c r="A68" s="187">
        <v>63</v>
      </c>
      <c r="B68" s="190" t="s">
        <v>2486</v>
      </c>
      <c r="C68" s="190" t="s">
        <v>2487</v>
      </c>
      <c r="D68" s="190" t="s">
        <v>135</v>
      </c>
      <c r="E68" s="8" t="e">
        <f ca="1">+_xlfn.CONCAT(G68,"-",B68,"_",C68,"_",_xlfn.XLOOKUP(BP68,Account!M:M,Account!N:N))</f>
        <v>#NAME?</v>
      </c>
      <c r="F68" s="12">
        <v>45758</v>
      </c>
      <c r="G68" s="190" t="s">
        <v>2872</v>
      </c>
      <c r="H68" s="190" t="s">
        <v>2873</v>
      </c>
      <c r="I68" s="10" t="s">
        <v>2874</v>
      </c>
      <c r="J68" s="190">
        <v>16</v>
      </c>
      <c r="K68" s="190" t="s">
        <v>2486</v>
      </c>
      <c r="L68" s="190" t="s">
        <v>1230</v>
      </c>
      <c r="M68" s="190" t="s">
        <v>2562</v>
      </c>
      <c r="N68" s="10" t="s">
        <v>2875</v>
      </c>
      <c r="O68" s="178" t="s">
        <v>2876</v>
      </c>
      <c r="P68" s="178" t="s">
        <v>2877</v>
      </c>
      <c r="Q68" s="327">
        <v>608.52</v>
      </c>
      <c r="R68" s="190">
        <v>12</v>
      </c>
      <c r="S68" s="190"/>
      <c r="T68" s="190" t="s">
        <v>2518</v>
      </c>
      <c r="U68" s="190" t="s">
        <v>2565</v>
      </c>
      <c r="V68" s="8" t="s">
        <v>1760</v>
      </c>
      <c r="W68" s="10"/>
      <c r="X68" s="9"/>
      <c r="Y68" s="12" t="s">
        <v>2432</v>
      </c>
      <c r="Z68" s="172">
        <v>45728</v>
      </c>
      <c r="AA68" s="172">
        <v>45734</v>
      </c>
      <c r="AB68" s="143" t="str">
        <f t="shared" ca="1" si="0"/>
        <v>Expired</v>
      </c>
      <c r="AC68" s="13"/>
      <c r="AD68" s="12">
        <v>45762</v>
      </c>
      <c r="AE68" s="12"/>
      <c r="AF68" s="12" t="s">
        <v>2526</v>
      </c>
      <c r="AG68" s="12"/>
      <c r="AH68" s="11"/>
      <c r="AI68" s="11"/>
      <c r="AJ68" s="11"/>
      <c r="AK68" s="11"/>
      <c r="AL68" s="11"/>
      <c r="AM68" s="11"/>
      <c r="AN68" s="11"/>
      <c r="AO68" s="11" t="str">
        <f>+IF(AN68&lt;&gt;"","BAST",IF(AI68&lt;&gt;"","Dismantle",IF(AG68&lt;&gt;"","RFD App",IF(AF68="Drop","Drop",IF(AE68&lt;&gt;"","Survey Report",IF(AD68&lt;&gt;"","Survey","NY Survey"))))))</f>
        <v>Drop</v>
      </c>
      <c r="AP68" s="173" t="s">
        <v>2743</v>
      </c>
      <c r="AQ68" s="12">
        <v>45888</v>
      </c>
      <c r="AR68" s="12">
        <v>45960</v>
      </c>
      <c r="AS68" s="12"/>
      <c r="AT68" s="12"/>
      <c r="AU68" s="12">
        <v>45960</v>
      </c>
      <c r="AV68" s="12">
        <v>45960</v>
      </c>
      <c r="AW68" s="11" t="str">
        <f t="shared" si="1"/>
        <v>1st BOQ App on ISAAC</v>
      </c>
      <c r="AX68" s="12"/>
      <c r="AY68" s="12"/>
      <c r="AZ68" s="12"/>
      <c r="BA68" s="12"/>
      <c r="BB68" s="12"/>
      <c r="BC68" s="12"/>
      <c r="BD68" s="11" t="str">
        <f t="shared" si="2"/>
        <v>NY Submit</v>
      </c>
      <c r="BE68" s="174"/>
      <c r="BF68" s="12">
        <v>45768</v>
      </c>
      <c r="BG68" s="12">
        <v>45768</v>
      </c>
      <c r="BH68" s="12" t="s">
        <v>2878</v>
      </c>
      <c r="BI68" s="12">
        <v>45768</v>
      </c>
      <c r="BJ68" s="12">
        <v>45768</v>
      </c>
      <c r="BK68" s="174" t="s">
        <v>2879</v>
      </c>
      <c r="BL68" s="12" t="str">
        <f t="shared" si="3"/>
        <v>Approved</v>
      </c>
      <c r="BM68" s="12" t="str">
        <f t="shared" si="4"/>
        <v>Approved</v>
      </c>
      <c r="BN68" s="12"/>
      <c r="BO68" s="12"/>
      <c r="BP68" s="155" t="s">
        <v>1760</v>
      </c>
      <c r="BQ68" s="12" t="s">
        <v>2880</v>
      </c>
      <c r="BR68" s="12">
        <v>45999</v>
      </c>
      <c r="BS68" s="143" t="str">
        <f t="shared" ca="1" si="8"/>
        <v>Drop</v>
      </c>
      <c r="BT68" s="176"/>
      <c r="BU68" s="12"/>
      <c r="BV68" s="143" t="str">
        <f t="shared" ca="1" si="9"/>
        <v>Drop</v>
      </c>
      <c r="BW68" s="12"/>
      <c r="BX68" s="12"/>
      <c r="BY68" s="143"/>
      <c r="BZ68" s="13" t="s">
        <v>2500</v>
      </c>
      <c r="CA68" s="13"/>
      <c r="CB68" s="13"/>
      <c r="CC68" s="13"/>
      <c r="CD68" s="13"/>
      <c r="CE68" s="198"/>
      <c r="CF68" s="198"/>
      <c r="CG68" s="272"/>
      <c r="CH68" s="272"/>
      <c r="CI68" s="198"/>
      <c r="CJ68" s="198"/>
      <c r="CK68" s="198"/>
      <c r="CL68" s="198"/>
    </row>
    <row r="69" spans="1:90">
      <c r="A69" s="187">
        <v>64</v>
      </c>
      <c r="B69" s="190" t="s">
        <v>2486</v>
      </c>
      <c r="C69" s="190" t="s">
        <v>2487</v>
      </c>
      <c r="D69" s="190" t="s">
        <v>135</v>
      </c>
      <c r="E69" s="8" t="e">
        <f ca="1">+_xlfn.CONCAT(G69,"-",B69,"_",C69,"_",_xlfn.XLOOKUP(BP69,Account!M:M,Account!N:N))</f>
        <v>#NAME?</v>
      </c>
      <c r="F69" s="12">
        <v>45758</v>
      </c>
      <c r="G69" s="190" t="s">
        <v>2881</v>
      </c>
      <c r="H69" s="190" t="s">
        <v>2882</v>
      </c>
      <c r="I69" s="10" t="s">
        <v>2883</v>
      </c>
      <c r="J69" s="190">
        <v>13</v>
      </c>
      <c r="K69" s="190" t="s">
        <v>2038</v>
      </c>
      <c r="L69" s="190" t="s">
        <v>1279</v>
      </c>
      <c r="M69" s="190" t="s">
        <v>2884</v>
      </c>
      <c r="N69" s="10" t="s">
        <v>2885</v>
      </c>
      <c r="O69" s="178" t="s">
        <v>2886</v>
      </c>
      <c r="P69" s="178" t="s">
        <v>2887</v>
      </c>
      <c r="Q69" s="327">
        <v>700.57</v>
      </c>
      <c r="R69" s="190">
        <v>9</v>
      </c>
      <c r="S69" s="190"/>
      <c r="T69" s="190" t="s">
        <v>2518</v>
      </c>
      <c r="U69" s="190" t="s">
        <v>2565</v>
      </c>
      <c r="V69" s="8" t="s">
        <v>1760</v>
      </c>
      <c r="W69" s="10"/>
      <c r="X69" s="9"/>
      <c r="Y69" s="12" t="s">
        <v>2432</v>
      </c>
      <c r="Z69" s="172">
        <v>45758</v>
      </c>
      <c r="AA69" s="172">
        <v>45765</v>
      </c>
      <c r="AB69" s="143" t="str">
        <f t="shared" ca="1" si="0"/>
        <v>Expired</v>
      </c>
      <c r="AC69" s="13"/>
      <c r="AD69" s="12">
        <v>45759</v>
      </c>
      <c r="AE69" s="12">
        <v>45768</v>
      </c>
      <c r="AF69" s="12"/>
      <c r="AG69" s="12">
        <v>45777</v>
      </c>
      <c r="AH69" s="11"/>
      <c r="AI69" s="12">
        <v>45800</v>
      </c>
      <c r="AJ69" s="12"/>
      <c r="AK69" s="11"/>
      <c r="AL69" s="11"/>
      <c r="AM69" s="11"/>
      <c r="AN69" s="12">
        <v>45800</v>
      </c>
      <c r="AO69" s="11" t="str">
        <f>+IF(AN69&lt;&gt;"","BAST",IF(AI69&lt;&gt;"","Dismantle",IF(AG69&lt;&gt;"","RFD App",IF(AF69="Drop","Drop",IF(AE69&lt;&gt;"","Survey Report",IF(AD69&lt;&gt;"","Survey","NY Survey"))))))</f>
        <v>BAST</v>
      </c>
      <c r="AP69" s="173"/>
      <c r="AQ69" s="12">
        <v>45779</v>
      </c>
      <c r="AR69" s="12">
        <v>45779</v>
      </c>
      <c r="AS69" s="12">
        <v>45779</v>
      </c>
      <c r="AT69" s="12"/>
      <c r="AU69" s="12">
        <v>45779</v>
      </c>
      <c r="AV69" s="12">
        <v>45786</v>
      </c>
      <c r="AW69" s="11" t="str">
        <f t="shared" si="1"/>
        <v>1st BOQ App on ISAAC</v>
      </c>
      <c r="AX69" s="12"/>
      <c r="AY69" s="12"/>
      <c r="AZ69" s="12"/>
      <c r="BA69" s="12"/>
      <c r="BB69" s="12"/>
      <c r="BC69" s="12"/>
      <c r="BD69" s="11" t="str">
        <f t="shared" si="2"/>
        <v>NY Submit</v>
      </c>
      <c r="BE69" s="174"/>
      <c r="BF69" s="12">
        <v>45768</v>
      </c>
      <c r="BG69" s="12">
        <v>45768</v>
      </c>
      <c r="BH69" s="12" t="s">
        <v>2888</v>
      </c>
      <c r="BI69" s="12">
        <v>45768</v>
      </c>
      <c r="BJ69" s="12">
        <v>45768</v>
      </c>
      <c r="BK69" s="174" t="s">
        <v>2889</v>
      </c>
      <c r="BL69" s="12" t="str">
        <f t="shared" si="3"/>
        <v>Approved</v>
      </c>
      <c r="BM69" s="12" t="str">
        <f t="shared" si="4"/>
        <v>Approved</v>
      </c>
      <c r="BN69" s="12">
        <v>45800</v>
      </c>
      <c r="BO69" s="12">
        <v>45803</v>
      </c>
      <c r="BP69" s="155" t="s">
        <v>1760</v>
      </c>
      <c r="BQ69" s="12" t="s">
        <v>2890</v>
      </c>
      <c r="BR69" s="12">
        <v>45799</v>
      </c>
      <c r="BS69" s="143">
        <f t="shared" ca="1" si="8"/>
        <v>13</v>
      </c>
      <c r="BT69" s="176"/>
      <c r="BU69" s="12"/>
      <c r="BV69" s="143">
        <f t="shared" ca="1" si="9"/>
        <v>0</v>
      </c>
      <c r="BW69" s="12"/>
      <c r="BX69" s="12"/>
      <c r="BY69" s="143"/>
      <c r="BZ69" s="13" t="s">
        <v>2500</v>
      </c>
      <c r="CA69" s="13"/>
      <c r="CB69" s="13"/>
      <c r="CC69" s="13"/>
      <c r="CD69" s="13"/>
      <c r="CE69" s="198"/>
      <c r="CF69" s="198"/>
      <c r="CG69" s="272"/>
      <c r="CH69" s="272"/>
      <c r="CI69" s="198"/>
      <c r="CJ69" s="198"/>
      <c r="CK69" s="198"/>
      <c r="CL69" s="198"/>
    </row>
    <row r="70" spans="1:90">
      <c r="A70" s="187">
        <v>65</v>
      </c>
      <c r="B70" s="190" t="s">
        <v>2486</v>
      </c>
      <c r="C70" s="190" t="s">
        <v>2487</v>
      </c>
      <c r="D70" s="190" t="s">
        <v>135</v>
      </c>
      <c r="E70" s="8" t="e">
        <f ca="1">+_xlfn.CONCAT(G70,"-",B70,"_",C70,"_",_xlfn.XLOOKUP(BP70,Account!M:M,Account!N:N))</f>
        <v>#NAME?</v>
      </c>
      <c r="F70" s="12">
        <v>45758</v>
      </c>
      <c r="G70" s="190" t="s">
        <v>2891</v>
      </c>
      <c r="H70" s="190" t="s">
        <v>2892</v>
      </c>
      <c r="I70" s="10" t="s">
        <v>2893</v>
      </c>
      <c r="J70" s="190">
        <v>7</v>
      </c>
      <c r="K70" s="190" t="s">
        <v>2486</v>
      </c>
      <c r="L70" s="190" t="s">
        <v>2894</v>
      </c>
      <c r="M70" s="190" t="s">
        <v>2895</v>
      </c>
      <c r="N70" s="10" t="s">
        <v>2896</v>
      </c>
      <c r="O70" s="178" t="s">
        <v>2897</v>
      </c>
      <c r="P70" s="178" t="s">
        <v>2898</v>
      </c>
      <c r="Q70" s="327">
        <v>654.45000000000005</v>
      </c>
      <c r="R70" s="190">
        <v>6</v>
      </c>
      <c r="S70" s="190"/>
      <c r="T70" s="190" t="s">
        <v>2518</v>
      </c>
      <c r="U70" s="190" t="s">
        <v>2565</v>
      </c>
      <c r="V70" s="8" t="s">
        <v>1760</v>
      </c>
      <c r="W70" s="10" t="s">
        <v>2899</v>
      </c>
      <c r="X70" s="15" t="s">
        <v>2900</v>
      </c>
      <c r="Y70" s="12" t="s">
        <v>2496</v>
      </c>
      <c r="Z70" s="172">
        <v>45759</v>
      </c>
      <c r="AA70" s="172">
        <v>45766</v>
      </c>
      <c r="AB70" s="143" t="str">
        <f t="shared" ref="AB70:AB133" ca="1" si="10">IF(AA70="ds","Submit",IF(AA70="","NY Submit",IF(AA70&lt;TODAY(),"Expired",IFERROR(DATEDIF(TODAY(),AA70,"d"),""))))</f>
        <v>Expired</v>
      </c>
      <c r="AC70" s="13"/>
      <c r="AD70" s="12">
        <v>45761</v>
      </c>
      <c r="AE70" s="12"/>
      <c r="AF70" s="12" t="s">
        <v>2526</v>
      </c>
      <c r="AG70" s="12"/>
      <c r="AH70" s="11"/>
      <c r="AI70" s="11"/>
      <c r="AJ70" s="11"/>
      <c r="AK70" s="11"/>
      <c r="AL70" s="11"/>
      <c r="AM70" s="11"/>
      <c r="AN70" s="11"/>
      <c r="AO70" s="11" t="str">
        <f>+IF(AN70&lt;&gt;"","BAST",IF(AI70&lt;&gt;"","Dismantle",IF(AG70&lt;&gt;"","RFD App",IF(AF70="Drop","Drop",IF(AE70&lt;&gt;"","Survey Report",IF(AD70&lt;&gt;"","Survey","NY Survey"))))))</f>
        <v>Drop</v>
      </c>
      <c r="AP70" s="173"/>
      <c r="AQ70" s="12"/>
      <c r="AR70" s="12"/>
      <c r="AS70" s="12"/>
      <c r="AT70" s="12"/>
      <c r="AU70" s="12"/>
      <c r="AV70" s="12"/>
      <c r="AW70" s="11" t="str">
        <f t="shared" ref="AW70:AW133" si="11">+IF(AV70&lt;&gt;"","1st BOQ App on ISAAC",IF(AU70&lt;&gt;"","Upload 1st BOQ &amp; BAN Isaac",IF(AT70="DRM","need DRM",IF(AT70&lt;&gt;"","BAN App",IF(AR70&lt;&gt;"","1st BOQ Pass TI",IF(AS70&lt;&gt;"","Engineering Structural Manager App",IF(AQ70&lt;&gt;"","1st BOQ Submit","NY Submit")))))))</f>
        <v>NY Submit</v>
      </c>
      <c r="AX70" s="12"/>
      <c r="AY70" s="12"/>
      <c r="AZ70" s="12"/>
      <c r="BA70" s="12"/>
      <c r="BB70" s="12"/>
      <c r="BC70" s="12"/>
      <c r="BD70" s="11" t="str">
        <f t="shared" ref="BD70:BD133" si="12">+IF(BC70&lt;&gt;"","2nd BOQ App on ISAAC",IF(BB70&lt;&gt;"","Upload 2nd BOQ &amp; BAN Isaac",IF(BA70="DRM","need DRM",IF(BA70&lt;&gt;"","BAN App",IF(AZ70&lt;&gt;"","Engineering Structural Manager App",IF(AY70&lt;&gt;"","2nd BOQ Pass TI",IF(AX70&lt;&gt;"","2nd BOQ Submit","NY Submit")))))))</f>
        <v>NY Submit</v>
      </c>
      <c r="BE70" s="174"/>
      <c r="BF70" s="12"/>
      <c r="BG70" s="12"/>
      <c r="BH70" s="12" t="s">
        <v>2901</v>
      </c>
      <c r="BI70" s="12">
        <v>45768</v>
      </c>
      <c r="BJ70" s="12">
        <v>45768</v>
      </c>
      <c r="BK70" s="174" t="s">
        <v>2902</v>
      </c>
      <c r="BL70" s="12" t="str">
        <f t="shared" ref="BL70:BL133" si="13">+IF(BG70&lt;&gt;"","Approved",IF(BF70&lt;&gt;"","Submit","NY Submit"))</f>
        <v>NY Submit</v>
      </c>
      <c r="BM70" s="12" t="str">
        <f t="shared" ref="BM70:BM133" si="14">+IF(BJ70&lt;&gt;"","Approved",IF(BI70&lt;&gt;"","Submit","NY Submit"))</f>
        <v>Approved</v>
      </c>
      <c r="BN70" s="12"/>
      <c r="BO70" s="12"/>
      <c r="BP70" s="155" t="s">
        <v>1760</v>
      </c>
      <c r="BQ70" s="12" t="s">
        <v>2526</v>
      </c>
      <c r="BR70" s="12"/>
      <c r="BS70" s="143" t="str">
        <f ca="1">IF(AO70="Drop",
    "Drop",
    IF(ISBLANK(AV70),
        0,
        IF(ISBLANK(BR70),
            DATEDIF(AV70,TODAY(),"d"),
            DATEDIF(AV70,BR70,"d")
        )
    )
)</f>
        <v>Drop</v>
      </c>
      <c r="BT70" s="176"/>
      <c r="BU70" s="12"/>
      <c r="BV70" s="143" t="str">
        <f ca="1">IF(AO70="Drop",
    "Drop",
    IF(ISBLANK(BC70),
        0,
        IF(ISBLANK(BU70),
            DATEDIF(BC70,TODAY(),"d"),
            DATEDIF(BC70,BU70,"d")
        )
    )
)</f>
        <v>Drop</v>
      </c>
      <c r="BW70" s="12"/>
      <c r="BX70" s="12"/>
      <c r="BY70" s="143"/>
      <c r="BZ70" s="13" t="s">
        <v>2526</v>
      </c>
      <c r="CA70" s="13" t="s">
        <v>2555</v>
      </c>
      <c r="CB70" s="13" t="s">
        <v>2486</v>
      </c>
      <c r="CC70" s="13"/>
      <c r="CD70" s="13"/>
      <c r="CE70" s="198"/>
      <c r="CF70" s="198"/>
      <c r="CG70" s="272"/>
      <c r="CH70" s="272"/>
      <c r="CI70" s="198"/>
      <c r="CJ70" s="198"/>
      <c r="CK70" s="198"/>
      <c r="CL70" s="198"/>
    </row>
    <row r="71" spans="1:90">
      <c r="A71" s="187">
        <v>66</v>
      </c>
      <c r="B71" s="190" t="s">
        <v>2486</v>
      </c>
      <c r="C71" s="190" t="s">
        <v>2487</v>
      </c>
      <c r="D71" s="190" t="s">
        <v>135</v>
      </c>
      <c r="E71" s="8" t="e">
        <f ca="1">+_xlfn.CONCAT(G71,"-",B71,"_",C71,"_",_xlfn.XLOOKUP(BP71,Account!M:M,Account!N:N))</f>
        <v>#NAME?</v>
      </c>
      <c r="F71" s="12">
        <v>45758</v>
      </c>
      <c r="G71" s="190" t="s">
        <v>2903</v>
      </c>
      <c r="H71" s="190" t="s">
        <v>2904</v>
      </c>
      <c r="I71" s="10" t="s">
        <v>2905</v>
      </c>
      <c r="J71" s="190">
        <v>5</v>
      </c>
      <c r="K71" s="190" t="s">
        <v>2486</v>
      </c>
      <c r="L71" s="190" t="s">
        <v>1306</v>
      </c>
      <c r="M71" s="190" t="s">
        <v>2906</v>
      </c>
      <c r="N71" s="10" t="s">
        <v>2907</v>
      </c>
      <c r="O71" s="178" t="s">
        <v>2908</v>
      </c>
      <c r="P71" s="178" t="s">
        <v>2909</v>
      </c>
      <c r="Q71" s="327">
        <v>9996</v>
      </c>
      <c r="R71" s="190">
        <v>52</v>
      </c>
      <c r="S71" s="190"/>
      <c r="T71" s="190" t="s">
        <v>2494</v>
      </c>
      <c r="U71" s="190" t="s">
        <v>2495</v>
      </c>
      <c r="V71" s="8" t="s">
        <v>1760</v>
      </c>
      <c r="W71" s="10"/>
      <c r="X71" s="9"/>
      <c r="Y71" s="12" t="s">
        <v>2432</v>
      </c>
      <c r="Z71" s="172">
        <v>45758</v>
      </c>
      <c r="AA71" s="172">
        <v>45765</v>
      </c>
      <c r="AB71" s="143" t="str">
        <f t="shared" ca="1" si="10"/>
        <v>Expired</v>
      </c>
      <c r="AC71" s="13"/>
      <c r="AD71" s="12">
        <v>45761</v>
      </c>
      <c r="AE71" s="12"/>
      <c r="AF71" s="12"/>
      <c r="AG71" s="12">
        <v>45777</v>
      </c>
      <c r="AH71" s="11"/>
      <c r="AI71" s="12">
        <v>45788</v>
      </c>
      <c r="AJ71" s="12"/>
      <c r="AK71" s="11"/>
      <c r="AL71" s="11"/>
      <c r="AM71" s="11"/>
      <c r="AN71" s="11">
        <v>45792</v>
      </c>
      <c r="AO71" s="11" t="str">
        <f>+IF(AN71&lt;&gt;"","BAST",IF(AI71&lt;&gt;"","Dismantle",IF(AG71&lt;&gt;"","RFD App",IF(AF71="Drop","Drop",IF(AE71&lt;&gt;"","Survey Report",IF(AD71&lt;&gt;"","Survey","NY Survey"))))))</f>
        <v>BAST</v>
      </c>
      <c r="AP71" s="173"/>
      <c r="AQ71" s="12">
        <v>45777</v>
      </c>
      <c r="AR71" s="12">
        <v>45791</v>
      </c>
      <c r="AS71" s="12">
        <v>45779</v>
      </c>
      <c r="AT71" s="12">
        <v>45791</v>
      </c>
      <c r="AU71" s="12">
        <v>45791</v>
      </c>
      <c r="AV71" s="12">
        <v>45791</v>
      </c>
      <c r="AW71" s="11" t="str">
        <f t="shared" si="11"/>
        <v>1st BOQ App on ISAAC</v>
      </c>
      <c r="AX71" s="12"/>
      <c r="AY71" s="12"/>
      <c r="AZ71" s="12"/>
      <c r="BA71" s="12"/>
      <c r="BB71" s="12"/>
      <c r="BC71" s="12"/>
      <c r="BD71" s="11" t="str">
        <f t="shared" si="12"/>
        <v>NY Submit</v>
      </c>
      <c r="BE71" s="174"/>
      <c r="BF71" s="12">
        <v>45768</v>
      </c>
      <c r="BG71" s="12">
        <v>45768</v>
      </c>
      <c r="BH71" s="12" t="s">
        <v>2910</v>
      </c>
      <c r="BI71" s="12">
        <v>45768</v>
      </c>
      <c r="BJ71" s="12">
        <v>45768</v>
      </c>
      <c r="BK71" s="174" t="s">
        <v>2911</v>
      </c>
      <c r="BL71" s="12" t="str">
        <f t="shared" si="13"/>
        <v>Approved</v>
      </c>
      <c r="BM71" s="12" t="str">
        <f t="shared" si="14"/>
        <v>Approved</v>
      </c>
      <c r="BN71" s="12">
        <v>45792</v>
      </c>
      <c r="BO71" s="12">
        <v>45803</v>
      </c>
      <c r="BP71" s="155" t="s">
        <v>1760</v>
      </c>
      <c r="BQ71" s="12" t="s">
        <v>2912</v>
      </c>
      <c r="BR71" s="12">
        <v>45798</v>
      </c>
      <c r="BS71" s="143">
        <f t="shared" ref="BS71:BS102" ca="1" si="15">IF(AO71="Drop",
"Drop",
IF(ISBLANK(AV71),
0,
IF(ISBLANK(BR71),
DATEDIF(AV71,TODAY(),"d"),
DATEDIF(AV71,BR71,"d")
)
)
)</f>
        <v>7</v>
      </c>
      <c r="BT71" s="176"/>
      <c r="BU71" s="12"/>
      <c r="BV71" s="143">
        <f t="shared" ref="BV71:BV102" ca="1" si="16">IF(AO71="Drop",
"Drop",
IF(ISBLANK(BC71),
0,
IF(ISBLANK(BU71),
DATEDIF(BC71,TODAY(),"d"),
DATEDIF(BC71,BU71,"d")
)
)
)</f>
        <v>0</v>
      </c>
      <c r="BW71" s="12"/>
      <c r="BX71" s="12"/>
      <c r="BY71" s="143"/>
      <c r="BZ71" s="13" t="s">
        <v>2500</v>
      </c>
      <c r="CA71" s="13"/>
      <c r="CB71" s="13"/>
      <c r="CC71" s="13"/>
      <c r="CD71" s="13"/>
      <c r="CE71" s="198"/>
      <c r="CF71" s="198"/>
      <c r="CG71" s="272"/>
      <c r="CH71" s="272"/>
      <c r="CI71" s="198"/>
      <c r="CJ71" s="198"/>
      <c r="CK71" s="198"/>
      <c r="CL71" s="198"/>
    </row>
    <row r="72" spans="1:90">
      <c r="A72" s="187">
        <v>67</v>
      </c>
      <c r="B72" s="190" t="s">
        <v>2486</v>
      </c>
      <c r="C72" s="190" t="s">
        <v>2487</v>
      </c>
      <c r="D72" s="190" t="s">
        <v>135</v>
      </c>
      <c r="E72" s="8" t="e">
        <f ca="1">+_xlfn.CONCAT(G72,"-",B72,"_",C72,"_",_xlfn.XLOOKUP(BP72,Account!M:M,Account!N:N))</f>
        <v>#NAME?</v>
      </c>
      <c r="F72" s="12">
        <v>45758</v>
      </c>
      <c r="G72" s="190" t="s">
        <v>2913</v>
      </c>
      <c r="H72" s="190" t="s">
        <v>2914</v>
      </c>
      <c r="I72" s="10" t="s">
        <v>2915</v>
      </c>
      <c r="J72" s="190">
        <v>3</v>
      </c>
      <c r="K72" s="190" t="s">
        <v>2038</v>
      </c>
      <c r="L72" s="190" t="s">
        <v>1396</v>
      </c>
      <c r="M72" s="190" t="s">
        <v>2916</v>
      </c>
      <c r="N72" s="10" t="s">
        <v>2917</v>
      </c>
      <c r="O72" s="178" t="s">
        <v>2918</v>
      </c>
      <c r="P72" s="178" t="s">
        <v>2919</v>
      </c>
      <c r="Q72" s="327">
        <v>13067.712</v>
      </c>
      <c r="R72" s="190">
        <v>55</v>
      </c>
      <c r="S72" s="190"/>
      <c r="T72" s="190" t="s">
        <v>2494</v>
      </c>
      <c r="U72" s="190" t="s">
        <v>2495</v>
      </c>
      <c r="V72" s="8" t="s">
        <v>1760</v>
      </c>
      <c r="W72" s="10"/>
      <c r="X72" s="9"/>
      <c r="Y72" s="12" t="s">
        <v>2432</v>
      </c>
      <c r="Z72" s="172">
        <v>45758</v>
      </c>
      <c r="AA72" s="172">
        <v>45765</v>
      </c>
      <c r="AB72" s="143" t="str">
        <f t="shared" ca="1" si="10"/>
        <v>Expired</v>
      </c>
      <c r="AC72" s="13"/>
      <c r="AD72" s="12">
        <v>45759</v>
      </c>
      <c r="AE72" s="12">
        <v>45768</v>
      </c>
      <c r="AF72" s="12"/>
      <c r="AG72" s="12">
        <v>45782</v>
      </c>
      <c r="AH72" s="11"/>
      <c r="AI72" s="11">
        <v>45796</v>
      </c>
      <c r="AJ72" s="11"/>
      <c r="AK72" s="11"/>
      <c r="AL72" s="11"/>
      <c r="AM72" s="11"/>
      <c r="AN72" s="12">
        <v>45800</v>
      </c>
      <c r="AO72" s="11" t="str">
        <f>+IF(AN72&lt;&gt;"","BAST",IF(AI72&lt;&gt;"","Dismantle",IF(AG72&lt;&gt;"","RFD App",IF(AF72="Drop","Drop",IF(AE72&lt;&gt;"","Survey Report",IF(AD72&lt;&gt;"","Survey","NY Survey"))))))</f>
        <v>BAST</v>
      </c>
      <c r="AP72" s="173"/>
      <c r="AQ72" s="12">
        <v>45777</v>
      </c>
      <c r="AR72" s="12">
        <v>45791</v>
      </c>
      <c r="AS72" s="12">
        <v>45779</v>
      </c>
      <c r="AT72" s="12">
        <v>45882</v>
      </c>
      <c r="AU72" s="12">
        <v>45882</v>
      </c>
      <c r="AV72" s="12">
        <v>45882</v>
      </c>
      <c r="AW72" s="11" t="str">
        <f t="shared" si="11"/>
        <v>1st BOQ App on ISAAC</v>
      </c>
      <c r="AX72" s="12"/>
      <c r="AY72" s="12"/>
      <c r="AZ72" s="12"/>
      <c r="BA72" s="12"/>
      <c r="BB72" s="12"/>
      <c r="BC72" s="12"/>
      <c r="BD72" s="11" t="str">
        <f t="shared" si="12"/>
        <v>NY Submit</v>
      </c>
      <c r="BE72" s="174"/>
      <c r="BF72" s="12">
        <v>45768</v>
      </c>
      <c r="BG72" s="12">
        <v>45768</v>
      </c>
      <c r="BH72" s="12" t="s">
        <v>2920</v>
      </c>
      <c r="BI72" s="12">
        <v>45768</v>
      </c>
      <c r="BJ72" s="12">
        <v>45773</v>
      </c>
      <c r="BK72" s="174" t="s">
        <v>2921</v>
      </c>
      <c r="BL72" s="12" t="str">
        <f t="shared" si="13"/>
        <v>Approved</v>
      </c>
      <c r="BM72" s="12" t="str">
        <f t="shared" si="14"/>
        <v>Approved</v>
      </c>
      <c r="BN72" s="12">
        <v>45800</v>
      </c>
      <c r="BO72" s="12"/>
      <c r="BP72" s="155" t="s">
        <v>1760</v>
      </c>
      <c r="BQ72" s="12" t="s">
        <v>2922</v>
      </c>
      <c r="BR72" s="12">
        <v>45897</v>
      </c>
      <c r="BS72" s="143">
        <f t="shared" ca="1" si="15"/>
        <v>15</v>
      </c>
      <c r="BT72" s="176"/>
      <c r="BU72" s="12"/>
      <c r="BV72" s="143">
        <f t="shared" ca="1" si="16"/>
        <v>0</v>
      </c>
      <c r="BW72" s="12"/>
      <c r="BX72" s="12"/>
      <c r="BY72" s="143"/>
      <c r="BZ72" s="13" t="s">
        <v>2500</v>
      </c>
      <c r="CA72" s="13"/>
      <c r="CB72" s="13"/>
      <c r="CC72" s="13"/>
      <c r="CD72" s="13"/>
      <c r="CE72" s="198"/>
      <c r="CF72" s="198"/>
      <c r="CG72" s="272"/>
      <c r="CH72" s="272"/>
      <c r="CI72" s="198"/>
      <c r="CJ72" s="198"/>
      <c r="CK72" s="198"/>
      <c r="CL72" s="198"/>
    </row>
    <row r="73" spans="1:90" ht="30" customHeight="1">
      <c r="A73" s="187">
        <v>68</v>
      </c>
      <c r="B73" s="190" t="s">
        <v>2486</v>
      </c>
      <c r="C73" s="190" t="s">
        <v>2487</v>
      </c>
      <c r="D73" s="190" t="s">
        <v>135</v>
      </c>
      <c r="E73" s="8" t="e">
        <f ca="1">+_xlfn.CONCAT(G73,"-",B73,"_",C73,"_",_xlfn.XLOOKUP(BP73,Account!M:M,Account!N:N))</f>
        <v>#NAME?</v>
      </c>
      <c r="F73" s="12">
        <v>45762</v>
      </c>
      <c r="G73" s="190" t="s">
        <v>2923</v>
      </c>
      <c r="H73" s="190" t="s">
        <v>2924</v>
      </c>
      <c r="I73" s="10" t="s">
        <v>2925</v>
      </c>
      <c r="J73" s="190">
        <v>19</v>
      </c>
      <c r="K73" s="190" t="s">
        <v>2486</v>
      </c>
      <c r="L73" s="190" t="s">
        <v>1367</v>
      </c>
      <c r="M73" s="190" t="s">
        <v>2926</v>
      </c>
      <c r="N73" s="10" t="s">
        <v>2927</v>
      </c>
      <c r="O73" s="178" t="s">
        <v>2928</v>
      </c>
      <c r="P73" s="178" t="s">
        <v>2929</v>
      </c>
      <c r="Q73" s="327"/>
      <c r="R73" s="190"/>
      <c r="S73" s="190" t="s">
        <v>2930</v>
      </c>
      <c r="T73" s="190" t="s">
        <v>2494</v>
      </c>
      <c r="U73" s="190" t="s">
        <v>2931</v>
      </c>
      <c r="V73" s="8" t="s">
        <v>2011</v>
      </c>
      <c r="W73" s="10" t="s">
        <v>2932</v>
      </c>
      <c r="X73" s="15" t="s">
        <v>2933</v>
      </c>
      <c r="Y73" s="12" t="s">
        <v>2432</v>
      </c>
      <c r="Z73" s="172">
        <v>45763</v>
      </c>
      <c r="AA73" s="172">
        <v>45770</v>
      </c>
      <c r="AB73" s="143" t="str">
        <f t="shared" ca="1" si="10"/>
        <v>Expired</v>
      </c>
      <c r="AC73" s="13"/>
      <c r="AD73" s="12">
        <v>45765</v>
      </c>
      <c r="AE73" s="12"/>
      <c r="AF73" s="12"/>
      <c r="AG73" s="12"/>
      <c r="AH73" s="11">
        <v>45823</v>
      </c>
      <c r="AI73" s="11"/>
      <c r="AJ73" s="11"/>
      <c r="AK73" s="11"/>
      <c r="AL73" s="11"/>
      <c r="AM73" s="11">
        <v>45903</v>
      </c>
      <c r="AN73" s="11"/>
      <c r="AO73" s="11" t="str">
        <f>+IF(AM73&lt;&gt;"","ATP App MS",IF(AJ73&lt;&gt;"","Inbound",IF(AH73&lt;&gt;"","Dismantle Perangkat",IF(AF73="Drop","Drop",IF(AE73&lt;&gt;"","Survey Report",IF(AD73&lt;&gt;"","Survey","NY Survey"))))))</f>
        <v>ATP App MS</v>
      </c>
      <c r="AP73" s="173"/>
      <c r="AQ73" s="12">
        <v>45793</v>
      </c>
      <c r="AR73" s="12">
        <v>45817</v>
      </c>
      <c r="AS73" s="12"/>
      <c r="AT73" s="12"/>
      <c r="AU73" s="12"/>
      <c r="AV73" s="12"/>
      <c r="AW73" s="11" t="str">
        <f t="shared" si="11"/>
        <v>1st BOQ Pass TI</v>
      </c>
      <c r="AX73" s="12"/>
      <c r="AY73" s="12"/>
      <c r="AZ73" s="12"/>
      <c r="BA73" s="12"/>
      <c r="BB73" s="12"/>
      <c r="BC73" s="12"/>
      <c r="BD73" s="11" t="str">
        <f t="shared" si="12"/>
        <v>NY Submit</v>
      </c>
      <c r="BE73" s="174"/>
      <c r="BF73" s="12"/>
      <c r="BG73" s="12"/>
      <c r="BH73" s="12"/>
      <c r="BI73" s="12"/>
      <c r="BJ73" s="12"/>
      <c r="BK73" s="174"/>
      <c r="BL73" s="12" t="str">
        <f t="shared" si="13"/>
        <v>NY Submit</v>
      </c>
      <c r="BM73" s="12" t="str">
        <f t="shared" si="14"/>
        <v>NY Submit</v>
      </c>
      <c r="BN73" s="12"/>
      <c r="BO73" s="12"/>
      <c r="BP73" s="155" t="s">
        <v>2011</v>
      </c>
      <c r="BQ73" s="12" t="s">
        <v>2718</v>
      </c>
      <c r="BR73" s="12"/>
      <c r="BS73" s="143">
        <f t="shared" ca="1" si="15"/>
        <v>0</v>
      </c>
      <c r="BT73" s="176"/>
      <c r="BU73" s="12"/>
      <c r="BV73" s="143">
        <f t="shared" ca="1" si="16"/>
        <v>0</v>
      </c>
      <c r="BW73" s="12"/>
      <c r="BX73" s="12"/>
      <c r="BY73" s="143"/>
      <c r="BZ73" s="13" t="s">
        <v>2500</v>
      </c>
      <c r="CA73" s="13" t="s">
        <v>2555</v>
      </c>
      <c r="CB73" s="13" t="s">
        <v>2486</v>
      </c>
      <c r="CC73" s="13"/>
      <c r="CD73" s="13"/>
      <c r="CE73" s="198"/>
      <c r="CF73" s="198"/>
      <c r="CG73" s="272"/>
      <c r="CH73" s="272"/>
      <c r="CI73" s="198"/>
      <c r="CJ73" s="198" t="s">
        <v>2934</v>
      </c>
      <c r="CK73" s="198"/>
      <c r="CL73" s="198"/>
    </row>
    <row r="74" spans="1:90" ht="30" customHeight="1">
      <c r="A74" s="187">
        <v>69</v>
      </c>
      <c r="B74" s="190" t="s">
        <v>2486</v>
      </c>
      <c r="C74" s="190" t="s">
        <v>2487</v>
      </c>
      <c r="D74" s="190" t="s">
        <v>135</v>
      </c>
      <c r="E74" s="8" t="e">
        <f ca="1">+_xlfn.CONCAT(G74,"-",B74,"_",C74,"_",_xlfn.XLOOKUP(BP74,Account!M:M,Account!N:N))</f>
        <v>#NAME?</v>
      </c>
      <c r="F74" s="12">
        <v>45762</v>
      </c>
      <c r="G74" s="190" t="s">
        <v>2923</v>
      </c>
      <c r="H74" s="190" t="s">
        <v>2924</v>
      </c>
      <c r="I74" s="10" t="s">
        <v>2925</v>
      </c>
      <c r="J74" s="190">
        <v>19</v>
      </c>
      <c r="K74" s="190" t="s">
        <v>2486</v>
      </c>
      <c r="L74" s="190" t="s">
        <v>1367</v>
      </c>
      <c r="M74" s="190" t="s">
        <v>2926</v>
      </c>
      <c r="N74" s="10" t="s">
        <v>2927</v>
      </c>
      <c r="O74" s="178" t="s">
        <v>2928</v>
      </c>
      <c r="P74" s="178" t="s">
        <v>2929</v>
      </c>
      <c r="Q74" s="327"/>
      <c r="R74" s="190"/>
      <c r="S74" s="190" t="s">
        <v>2930</v>
      </c>
      <c r="T74" s="190" t="s">
        <v>2494</v>
      </c>
      <c r="U74" s="190" t="s">
        <v>2931</v>
      </c>
      <c r="V74" s="8" t="s">
        <v>1768</v>
      </c>
      <c r="W74" s="10" t="s">
        <v>2932</v>
      </c>
      <c r="X74" s="15" t="s">
        <v>2933</v>
      </c>
      <c r="Y74" s="12" t="s">
        <v>2432</v>
      </c>
      <c r="Z74" s="172">
        <v>45763</v>
      </c>
      <c r="AA74" s="172">
        <v>45770</v>
      </c>
      <c r="AB74" s="143" t="str">
        <f t="shared" ca="1" si="10"/>
        <v>Expired</v>
      </c>
      <c r="AC74" s="13"/>
      <c r="AD74" s="12">
        <v>45765</v>
      </c>
      <c r="AE74" s="12"/>
      <c r="AF74" s="12"/>
      <c r="AG74" s="12"/>
      <c r="AH74" s="11"/>
      <c r="AI74" s="11"/>
      <c r="AJ74" s="11"/>
      <c r="AK74" s="11">
        <v>45890</v>
      </c>
      <c r="AL74" s="11">
        <v>45903</v>
      </c>
      <c r="AM74" s="11">
        <v>45903</v>
      </c>
      <c r="AN74" s="11"/>
      <c r="AO74" s="11" t="str">
        <f>+IF(AM74&lt;&gt;"","ATP App MS",IF(AL74&lt;&gt;"","OA/RFS",IF(AK74&lt;&gt;"","Install",IF(AH74&lt;&gt;"","Dismantle Perangkat",IF(AF74="Drop","Drop",IF(AE74&lt;&gt;"","Survey Report",IF(AD74&lt;&gt;"","Survey","NY Survey")))))))</f>
        <v>ATP App MS</v>
      </c>
      <c r="AP74" s="173"/>
      <c r="AQ74" s="12">
        <v>45793</v>
      </c>
      <c r="AR74" s="12">
        <v>45817</v>
      </c>
      <c r="AS74" s="12"/>
      <c r="AT74" s="12">
        <v>45930</v>
      </c>
      <c r="AU74" s="12"/>
      <c r="AV74" s="12"/>
      <c r="AW74" s="11" t="str">
        <f t="shared" si="11"/>
        <v>BAN App</v>
      </c>
      <c r="AX74" s="12"/>
      <c r="AY74" s="12"/>
      <c r="AZ74" s="12"/>
      <c r="BA74" s="12"/>
      <c r="BB74" s="12"/>
      <c r="BC74" s="12"/>
      <c r="BD74" s="11" t="str">
        <f t="shared" si="12"/>
        <v>NY Submit</v>
      </c>
      <c r="BE74" s="174"/>
      <c r="BF74" s="12"/>
      <c r="BG74" s="12"/>
      <c r="BH74" s="12"/>
      <c r="BI74" s="12"/>
      <c r="BJ74" s="12"/>
      <c r="BK74" s="174"/>
      <c r="BL74" s="12" t="str">
        <f t="shared" si="13"/>
        <v>NY Submit</v>
      </c>
      <c r="BM74" s="12" t="str">
        <f t="shared" si="14"/>
        <v>NY Submit</v>
      </c>
      <c r="BN74" s="12"/>
      <c r="BO74" s="12"/>
      <c r="BP74" s="155" t="s">
        <v>1768</v>
      </c>
      <c r="BQ74" s="12" t="s">
        <v>2935</v>
      </c>
      <c r="BR74" s="12">
        <v>46066</v>
      </c>
      <c r="BS74" s="143">
        <f t="shared" ca="1" si="15"/>
        <v>0</v>
      </c>
      <c r="BT74" s="176"/>
      <c r="BU74" s="12"/>
      <c r="BV74" s="143">
        <f t="shared" ca="1" si="16"/>
        <v>0</v>
      </c>
      <c r="BW74" s="12"/>
      <c r="BX74" s="12"/>
      <c r="BY74" s="143"/>
      <c r="BZ74" s="13" t="s">
        <v>2500</v>
      </c>
      <c r="CA74" s="13" t="s">
        <v>2555</v>
      </c>
      <c r="CB74" s="13" t="s">
        <v>2486</v>
      </c>
      <c r="CC74" s="13"/>
      <c r="CD74" s="13"/>
      <c r="CE74" s="198"/>
      <c r="CF74" s="198"/>
      <c r="CG74" s="272"/>
      <c r="CH74" s="272"/>
      <c r="CI74" s="198"/>
      <c r="CJ74" s="198" t="s">
        <v>2934</v>
      </c>
      <c r="CK74" s="198"/>
      <c r="CL74" s="198"/>
    </row>
    <row r="75" spans="1:90">
      <c r="A75" s="187">
        <v>70</v>
      </c>
      <c r="B75" s="190" t="s">
        <v>2486</v>
      </c>
      <c r="C75" s="190" t="s">
        <v>2487</v>
      </c>
      <c r="D75" s="190" t="s">
        <v>135</v>
      </c>
      <c r="E75" s="8" t="e">
        <f ca="1">+_xlfn.CONCAT(G75,"-",B75,"_",C75,"_",_xlfn.XLOOKUP(BP75,Account!M:M,Account!N:N))</f>
        <v>#NAME?</v>
      </c>
      <c r="F75" s="12">
        <v>45768</v>
      </c>
      <c r="G75" s="190" t="s">
        <v>824</v>
      </c>
      <c r="H75" s="190" t="s">
        <v>2936</v>
      </c>
      <c r="I75" s="10" t="s">
        <v>2937</v>
      </c>
      <c r="J75" s="190">
        <v>1</v>
      </c>
      <c r="K75" s="190" t="s">
        <v>2486</v>
      </c>
      <c r="L75" s="190" t="s">
        <v>1419</v>
      </c>
      <c r="M75" s="190" t="s">
        <v>2938</v>
      </c>
      <c r="N75" s="10" t="s">
        <v>2939</v>
      </c>
      <c r="O75" s="178" t="s">
        <v>2940</v>
      </c>
      <c r="P75" s="178" t="s">
        <v>2941</v>
      </c>
      <c r="Q75" s="327">
        <v>3713.64</v>
      </c>
      <c r="R75" s="190">
        <v>25</v>
      </c>
      <c r="S75" s="190"/>
      <c r="T75" s="190" t="s">
        <v>2518</v>
      </c>
      <c r="U75" s="190" t="s">
        <v>2519</v>
      </c>
      <c r="V75" s="8" t="s">
        <v>1760</v>
      </c>
      <c r="W75" s="10" t="s">
        <v>2942</v>
      </c>
      <c r="X75" s="15" t="s">
        <v>2943</v>
      </c>
      <c r="Y75" s="12" t="s">
        <v>2432</v>
      </c>
      <c r="Z75" s="172">
        <v>45769</v>
      </c>
      <c r="AA75" s="172">
        <v>45776</v>
      </c>
      <c r="AB75" s="143" t="str">
        <f t="shared" ca="1" si="10"/>
        <v>Expired</v>
      </c>
      <c r="AC75" s="13"/>
      <c r="AD75" s="12">
        <v>45772</v>
      </c>
      <c r="AE75" s="12">
        <v>45773</v>
      </c>
      <c r="AF75" s="12"/>
      <c r="AG75" s="12">
        <v>45785</v>
      </c>
      <c r="AH75" s="11"/>
      <c r="AI75" s="11">
        <v>45796</v>
      </c>
      <c r="AJ75" s="11"/>
      <c r="AK75" s="11"/>
      <c r="AL75" s="11"/>
      <c r="AM75" s="11"/>
      <c r="AN75" s="11">
        <v>45800</v>
      </c>
      <c r="AO75" s="11" t="str">
        <f>+IF(AN75&lt;&gt;"","BAST",IF(AI75&lt;&gt;"","Dismantle",IF(AG75&lt;&gt;"","RFD App",IF(AF75="Drop","Drop",IF(AE75&lt;&gt;"","Survey Report",IF(AD75&lt;&gt;"","Survey","NY Survey"))))))</f>
        <v>BAST</v>
      </c>
      <c r="AP75" s="173"/>
      <c r="AQ75" s="12">
        <v>45777</v>
      </c>
      <c r="AR75" s="12">
        <v>45777</v>
      </c>
      <c r="AS75" s="12">
        <v>45779</v>
      </c>
      <c r="AT75" s="12">
        <v>45791</v>
      </c>
      <c r="AU75" s="12">
        <v>45791</v>
      </c>
      <c r="AV75" s="12">
        <v>45791</v>
      </c>
      <c r="AW75" s="11" t="str">
        <f t="shared" si="11"/>
        <v>1st BOQ App on ISAAC</v>
      </c>
      <c r="AX75" s="12"/>
      <c r="AY75" s="12"/>
      <c r="AZ75" s="12"/>
      <c r="BA75" s="12"/>
      <c r="BB75" s="12"/>
      <c r="BC75" s="12"/>
      <c r="BD75" s="11" t="str">
        <f t="shared" si="12"/>
        <v>NY Submit</v>
      </c>
      <c r="BE75" s="174"/>
      <c r="BF75" s="12">
        <v>45773</v>
      </c>
      <c r="BG75" s="12">
        <v>45773</v>
      </c>
      <c r="BH75" s="12" t="s">
        <v>2944</v>
      </c>
      <c r="BI75" s="12">
        <v>45773</v>
      </c>
      <c r="BJ75" s="12">
        <v>45773</v>
      </c>
      <c r="BK75" s="174" t="s">
        <v>2945</v>
      </c>
      <c r="BL75" s="12" t="str">
        <f t="shared" si="13"/>
        <v>Approved</v>
      </c>
      <c r="BM75" s="12" t="str">
        <f t="shared" si="14"/>
        <v>Approved</v>
      </c>
      <c r="BN75" s="12">
        <v>45800</v>
      </c>
      <c r="BO75" s="12">
        <v>45800</v>
      </c>
      <c r="BP75" s="155" t="s">
        <v>1760</v>
      </c>
      <c r="BQ75" s="12" t="s">
        <v>2946</v>
      </c>
      <c r="BR75" s="12">
        <v>45798</v>
      </c>
      <c r="BS75" s="143">
        <f t="shared" ca="1" si="15"/>
        <v>7</v>
      </c>
      <c r="BT75" s="176"/>
      <c r="BU75" s="12"/>
      <c r="BV75" s="143">
        <f t="shared" ca="1" si="16"/>
        <v>0</v>
      </c>
      <c r="BW75" s="12"/>
      <c r="BX75" s="12"/>
      <c r="BY75" s="143"/>
      <c r="BZ75" s="13" t="s">
        <v>2500</v>
      </c>
      <c r="CA75" s="13"/>
      <c r="CB75" s="13"/>
      <c r="CC75" s="13"/>
      <c r="CD75" s="13"/>
      <c r="CE75" s="198"/>
      <c r="CF75" s="198"/>
      <c r="CG75" s="272"/>
      <c r="CH75" s="272"/>
      <c r="CI75" s="198"/>
      <c r="CJ75" s="198"/>
      <c r="CK75" s="198"/>
      <c r="CL75" s="198"/>
    </row>
    <row r="76" spans="1:90">
      <c r="A76" s="187">
        <v>71</v>
      </c>
      <c r="B76" s="190" t="s">
        <v>2486</v>
      </c>
      <c r="C76" s="190" t="s">
        <v>2487</v>
      </c>
      <c r="D76" s="190" t="s">
        <v>135</v>
      </c>
      <c r="E76" s="8" t="e">
        <f ca="1">+_xlfn.CONCAT(G76,"-",B76,"_",C76,"_",_xlfn.XLOOKUP(BP76,Account!M:M,Account!N:N))</f>
        <v>#NAME?</v>
      </c>
      <c r="F76" s="12">
        <v>45768</v>
      </c>
      <c r="G76" s="190" t="s">
        <v>2109</v>
      </c>
      <c r="H76" s="190" t="s">
        <v>2947</v>
      </c>
      <c r="I76" s="10" t="s">
        <v>2110</v>
      </c>
      <c r="J76" s="190">
        <v>16</v>
      </c>
      <c r="K76" s="190" t="s">
        <v>2038</v>
      </c>
      <c r="L76" s="190" t="s">
        <v>1230</v>
      </c>
      <c r="M76" s="190" t="s">
        <v>2948</v>
      </c>
      <c r="N76" s="10" t="s">
        <v>2949</v>
      </c>
      <c r="O76" s="178" t="s">
        <v>2950</v>
      </c>
      <c r="P76" s="178" t="s">
        <v>2951</v>
      </c>
      <c r="Q76" s="327">
        <v>22120.78</v>
      </c>
      <c r="R76" s="190">
        <v>72</v>
      </c>
      <c r="S76" s="190"/>
      <c r="T76" s="190" t="s">
        <v>2494</v>
      </c>
      <c r="U76" s="190" t="s">
        <v>2495</v>
      </c>
      <c r="V76" s="8" t="s">
        <v>1760</v>
      </c>
      <c r="W76" s="10" t="s">
        <v>1227</v>
      </c>
      <c r="X76" s="9">
        <v>8112345378</v>
      </c>
      <c r="Y76" s="12" t="s">
        <v>2432</v>
      </c>
      <c r="Z76" s="172">
        <v>42115</v>
      </c>
      <c r="AA76" s="172">
        <v>45775</v>
      </c>
      <c r="AB76" s="143" t="str">
        <f t="shared" ca="1" si="10"/>
        <v>Expired</v>
      </c>
      <c r="AC76" s="13"/>
      <c r="AD76" s="12">
        <v>45786</v>
      </c>
      <c r="AE76" s="12">
        <v>45796</v>
      </c>
      <c r="AF76" s="12"/>
      <c r="AG76" s="12">
        <v>45862</v>
      </c>
      <c r="AH76" s="11"/>
      <c r="AI76" s="11">
        <v>45935</v>
      </c>
      <c r="AJ76" s="11"/>
      <c r="AK76" s="11"/>
      <c r="AL76" s="11"/>
      <c r="AM76" s="11"/>
      <c r="AN76" s="11">
        <v>45935</v>
      </c>
      <c r="AO76" s="11" t="str">
        <f>+IF(AN76&lt;&gt;"","BAST",IF(AI76&lt;&gt;"","Dismantle",IF(AG76&lt;&gt;"","RFD App",IF(AF76="Drop","Drop",IF(AE76&lt;&gt;"","Survey Report",IF(AD76&lt;&gt;"","Survey","NY Survey"))))))</f>
        <v>BAST</v>
      </c>
      <c r="AP76" s="173"/>
      <c r="AQ76" s="12">
        <v>45924</v>
      </c>
      <c r="AR76" s="12">
        <v>45953</v>
      </c>
      <c r="AS76" s="12">
        <v>45916</v>
      </c>
      <c r="AT76" s="12">
        <v>45964</v>
      </c>
      <c r="AU76" s="12">
        <v>45967</v>
      </c>
      <c r="AV76" s="12">
        <v>45988</v>
      </c>
      <c r="AW76" s="11" t="str">
        <f t="shared" si="11"/>
        <v>1st BOQ App on ISAAC</v>
      </c>
      <c r="AX76" s="12"/>
      <c r="AY76" s="12"/>
      <c r="AZ76" s="12"/>
      <c r="BA76" s="12"/>
      <c r="BB76" s="12"/>
      <c r="BC76" s="12"/>
      <c r="BD76" s="11" t="str">
        <f t="shared" si="12"/>
        <v>NY Submit</v>
      </c>
      <c r="BE76" s="174"/>
      <c r="BF76" s="12">
        <v>45847</v>
      </c>
      <c r="BG76" s="12">
        <v>45861</v>
      </c>
      <c r="BH76" s="12" t="s">
        <v>2952</v>
      </c>
      <c r="BI76" s="12">
        <v>45847</v>
      </c>
      <c r="BJ76" s="12">
        <v>45854</v>
      </c>
      <c r="BK76" s="174" t="s">
        <v>2953</v>
      </c>
      <c r="BL76" s="12" t="str">
        <f t="shared" si="13"/>
        <v>Approved</v>
      </c>
      <c r="BM76" s="12" t="str">
        <f t="shared" si="14"/>
        <v>Approved</v>
      </c>
      <c r="BN76" s="12">
        <v>45939</v>
      </c>
      <c r="BO76" s="12">
        <v>45943</v>
      </c>
      <c r="BP76" s="155" t="s">
        <v>1760</v>
      </c>
      <c r="BQ76" s="12" t="s">
        <v>2954</v>
      </c>
      <c r="BR76" s="12">
        <v>45982</v>
      </c>
      <c r="BS76" s="143" t="e">
        <f t="shared" ca="1" si="15"/>
        <v>#NUM!</v>
      </c>
      <c r="BT76" s="176"/>
      <c r="BU76" s="12"/>
      <c r="BV76" s="143">
        <f t="shared" ca="1" si="16"/>
        <v>0</v>
      </c>
      <c r="BW76" s="12"/>
      <c r="BX76" s="12"/>
      <c r="BY76" s="143"/>
      <c r="BZ76" s="13" t="s">
        <v>2500</v>
      </c>
      <c r="CA76" s="13"/>
      <c r="CB76" s="13"/>
      <c r="CC76" s="13"/>
      <c r="CD76" s="13"/>
      <c r="CE76" s="198"/>
      <c r="CF76" s="198"/>
      <c r="CG76" s="272"/>
      <c r="CH76" s="272"/>
      <c r="CI76" s="198"/>
      <c r="CJ76" s="198"/>
      <c r="CK76" s="198"/>
      <c r="CL76" s="198"/>
    </row>
    <row r="77" spans="1:90">
      <c r="A77" s="187">
        <v>72</v>
      </c>
      <c r="B77" s="190" t="s">
        <v>2486</v>
      </c>
      <c r="C77" s="190" t="s">
        <v>2487</v>
      </c>
      <c r="D77" s="190" t="s">
        <v>135</v>
      </c>
      <c r="E77" s="8" t="e">
        <f ca="1">+_xlfn.CONCAT(G77,"-",B77,"_",C77,"_",_xlfn.XLOOKUP(BP77,Account!M:M,Account!N:N))</f>
        <v>#NAME?</v>
      </c>
      <c r="F77" s="12">
        <v>45768</v>
      </c>
      <c r="G77" s="190" t="s">
        <v>2109</v>
      </c>
      <c r="H77" s="190" t="s">
        <v>2947</v>
      </c>
      <c r="I77" s="10" t="s">
        <v>2110</v>
      </c>
      <c r="J77" s="190">
        <v>16</v>
      </c>
      <c r="K77" s="190" t="s">
        <v>2038</v>
      </c>
      <c r="L77" s="190" t="s">
        <v>1230</v>
      </c>
      <c r="M77" s="190" t="s">
        <v>2948</v>
      </c>
      <c r="N77" s="10" t="s">
        <v>2949</v>
      </c>
      <c r="O77" s="178" t="s">
        <v>2950</v>
      </c>
      <c r="P77" s="178" t="s">
        <v>2951</v>
      </c>
      <c r="Q77" s="327">
        <v>22120.78</v>
      </c>
      <c r="R77" s="190">
        <v>72</v>
      </c>
      <c r="S77" s="190"/>
      <c r="T77" s="190" t="s">
        <v>2494</v>
      </c>
      <c r="U77" s="190" t="s">
        <v>2495</v>
      </c>
      <c r="V77" s="8" t="s">
        <v>2011</v>
      </c>
      <c r="W77" s="10" t="s">
        <v>1227</v>
      </c>
      <c r="X77" s="9">
        <v>8112345378</v>
      </c>
      <c r="Y77" s="12" t="s">
        <v>2432</v>
      </c>
      <c r="Z77" s="172">
        <v>42115</v>
      </c>
      <c r="AA77" s="172">
        <v>45775</v>
      </c>
      <c r="AB77" s="143" t="str">
        <f t="shared" ca="1" si="10"/>
        <v>Expired</v>
      </c>
      <c r="AC77" s="13"/>
      <c r="AD77" s="12">
        <v>45786</v>
      </c>
      <c r="AE77" s="12">
        <v>45796</v>
      </c>
      <c r="AF77" s="12"/>
      <c r="AG77" s="12"/>
      <c r="AH77" s="11">
        <v>45931</v>
      </c>
      <c r="AI77" s="11"/>
      <c r="AJ77" s="11"/>
      <c r="AK77" s="11"/>
      <c r="AL77" s="11"/>
      <c r="AM77" s="11">
        <v>45994</v>
      </c>
      <c r="AN77" s="11"/>
      <c r="AO77" s="11" t="str">
        <f>+IF(AM77&lt;&gt;"","ATP App MS",IF(AJ77&lt;&gt;"","Inbound",IF(AH77&lt;&gt;"","Dismantle Perangkat",IF(AF77="Drop","Drop",IF(AE77&lt;&gt;"","Survey Report",IF(AD77&lt;&gt;"","Survey","NY Survey"))))))</f>
        <v>ATP App MS</v>
      </c>
      <c r="AP77" s="173"/>
      <c r="AQ77" s="12">
        <v>45924</v>
      </c>
      <c r="AR77" s="12">
        <v>45953</v>
      </c>
      <c r="AS77" s="12"/>
      <c r="AT77" s="12">
        <v>45964</v>
      </c>
      <c r="AU77" s="12">
        <v>45967</v>
      </c>
      <c r="AV77" s="12">
        <v>45988</v>
      </c>
      <c r="AW77" s="11" t="str">
        <f t="shared" si="11"/>
        <v>1st BOQ App on ISAAC</v>
      </c>
      <c r="AX77" s="12"/>
      <c r="AY77" s="12"/>
      <c r="AZ77" s="12"/>
      <c r="BA77" s="12"/>
      <c r="BB77" s="12"/>
      <c r="BC77" s="12"/>
      <c r="BD77" s="11" t="str">
        <f t="shared" si="12"/>
        <v>NY Submit</v>
      </c>
      <c r="BE77" s="174"/>
      <c r="BF77" s="12">
        <v>45847</v>
      </c>
      <c r="BG77" s="12">
        <v>45861</v>
      </c>
      <c r="BH77" s="12" t="s">
        <v>2952</v>
      </c>
      <c r="BI77" s="12">
        <v>45847</v>
      </c>
      <c r="BJ77" s="12">
        <v>45854</v>
      </c>
      <c r="BK77" s="174"/>
      <c r="BL77" s="12" t="str">
        <f t="shared" si="13"/>
        <v>Approved</v>
      </c>
      <c r="BM77" s="12" t="str">
        <f t="shared" si="14"/>
        <v>Approved</v>
      </c>
      <c r="BN77" s="12">
        <v>45994</v>
      </c>
      <c r="BO77" s="12">
        <v>45994</v>
      </c>
      <c r="BP77" s="155" t="s">
        <v>2011</v>
      </c>
      <c r="BQ77" s="12" t="s">
        <v>2718</v>
      </c>
      <c r="BR77" s="12">
        <v>45982</v>
      </c>
      <c r="BS77" s="143" t="e">
        <f t="shared" ca="1" si="15"/>
        <v>#NUM!</v>
      </c>
      <c r="BT77" s="176"/>
      <c r="BU77" s="12"/>
      <c r="BV77" s="143">
        <f t="shared" ca="1" si="16"/>
        <v>0</v>
      </c>
      <c r="BW77" s="12"/>
      <c r="BX77" s="12"/>
      <c r="BY77" s="143"/>
      <c r="BZ77" s="13" t="s">
        <v>2500</v>
      </c>
      <c r="CA77" s="13"/>
      <c r="CB77" s="13"/>
      <c r="CC77" s="13"/>
      <c r="CD77" s="13"/>
      <c r="CE77" s="198"/>
      <c r="CF77" s="198"/>
      <c r="CG77" s="272"/>
      <c r="CH77" s="272"/>
      <c r="CI77" s="198"/>
      <c r="CJ77" s="198"/>
      <c r="CK77" s="198"/>
      <c r="CL77" s="198"/>
    </row>
    <row r="78" spans="1:90" ht="30" customHeight="1">
      <c r="A78" s="187">
        <v>73</v>
      </c>
      <c r="B78" s="190" t="s">
        <v>2486</v>
      </c>
      <c r="C78" s="190" t="s">
        <v>2487</v>
      </c>
      <c r="D78" s="190" t="s">
        <v>135</v>
      </c>
      <c r="E78" s="8" t="e">
        <f ca="1">+_xlfn.CONCAT(G78,"-",B78,"_",C78,"_",_xlfn.XLOOKUP(BP78,Account!M:M,Account!N:N))</f>
        <v>#NAME?</v>
      </c>
      <c r="F78" s="12">
        <v>45768</v>
      </c>
      <c r="G78" s="190" t="s">
        <v>2109</v>
      </c>
      <c r="H78" s="190" t="s">
        <v>2947</v>
      </c>
      <c r="I78" s="10" t="s">
        <v>2110</v>
      </c>
      <c r="J78" s="190">
        <v>16</v>
      </c>
      <c r="K78" s="190" t="s">
        <v>2038</v>
      </c>
      <c r="L78" s="190" t="s">
        <v>1230</v>
      </c>
      <c r="M78" s="190" t="s">
        <v>2948</v>
      </c>
      <c r="N78" s="10" t="s">
        <v>2949</v>
      </c>
      <c r="O78" s="178" t="s">
        <v>2950</v>
      </c>
      <c r="P78" s="178" t="s">
        <v>2951</v>
      </c>
      <c r="Q78" s="327">
        <v>22120.78</v>
      </c>
      <c r="R78" s="190">
        <v>72</v>
      </c>
      <c r="S78" s="190"/>
      <c r="T78" s="190" t="s">
        <v>2494</v>
      </c>
      <c r="U78" s="190" t="s">
        <v>2495</v>
      </c>
      <c r="V78" s="8" t="s">
        <v>1768</v>
      </c>
      <c r="W78" s="10" t="s">
        <v>2955</v>
      </c>
      <c r="X78" s="9"/>
      <c r="Y78" s="12" t="s">
        <v>2956</v>
      </c>
      <c r="Z78" s="172"/>
      <c r="AA78" s="172"/>
      <c r="AB78" s="143" t="str">
        <f t="shared" ca="1" si="10"/>
        <v>NY Submit</v>
      </c>
      <c r="AC78" s="13"/>
      <c r="AD78" s="12">
        <v>45786</v>
      </c>
      <c r="AE78" s="12">
        <v>45796</v>
      </c>
      <c r="AF78" s="12"/>
      <c r="AG78" s="12"/>
      <c r="AH78" s="11"/>
      <c r="AI78" s="11"/>
      <c r="AJ78" s="11"/>
      <c r="AK78" s="11">
        <v>45932</v>
      </c>
      <c r="AL78" s="11">
        <v>45932</v>
      </c>
      <c r="AM78" s="11">
        <v>45994</v>
      </c>
      <c r="AN78" s="11"/>
      <c r="AO78" s="11" t="str">
        <f>+IF(AM78&lt;&gt;"","ATP App MS",IF(AL78&lt;&gt;"","OA/RFS",IF(AK78&lt;&gt;"","Install",IF(AH78&lt;&gt;"","Dismantle Perangkat",IF(AF78="Drop","Drop",IF(AE78&lt;&gt;"","Survey Report",IF(AD78&lt;&gt;"","Survey","NY Survey")))))))</f>
        <v>ATP App MS</v>
      </c>
      <c r="AP78" s="173"/>
      <c r="AQ78" s="12">
        <v>45924</v>
      </c>
      <c r="AR78" s="12">
        <v>45953</v>
      </c>
      <c r="AS78" s="12"/>
      <c r="AT78" s="12">
        <v>45964</v>
      </c>
      <c r="AU78" s="12">
        <v>45967</v>
      </c>
      <c r="AV78" s="12">
        <v>45988</v>
      </c>
      <c r="AW78" s="11" t="str">
        <f t="shared" si="11"/>
        <v>1st BOQ App on ISAAC</v>
      </c>
      <c r="AX78" s="12"/>
      <c r="AY78" s="12"/>
      <c r="AZ78" s="12"/>
      <c r="BA78" s="12"/>
      <c r="BB78" s="12"/>
      <c r="BC78" s="12"/>
      <c r="BD78" s="11" t="str">
        <f t="shared" si="12"/>
        <v>NY Submit</v>
      </c>
      <c r="BE78" s="174"/>
      <c r="BF78" s="12">
        <v>45847</v>
      </c>
      <c r="BG78" s="12">
        <v>45861</v>
      </c>
      <c r="BH78" s="12" t="s">
        <v>2952</v>
      </c>
      <c r="BI78" s="12">
        <v>45847</v>
      </c>
      <c r="BJ78" s="12">
        <v>45854</v>
      </c>
      <c r="BK78" s="174"/>
      <c r="BL78" s="12" t="str">
        <f t="shared" si="13"/>
        <v>Approved</v>
      </c>
      <c r="BM78" s="12" t="str">
        <f t="shared" si="14"/>
        <v>Approved</v>
      </c>
      <c r="BN78" s="12">
        <v>45994</v>
      </c>
      <c r="BO78" s="12">
        <v>45994</v>
      </c>
      <c r="BP78" s="155" t="s">
        <v>1768</v>
      </c>
      <c r="BQ78" s="12" t="s">
        <v>2957</v>
      </c>
      <c r="BR78" s="12">
        <v>45982</v>
      </c>
      <c r="BS78" s="143" t="e">
        <f t="shared" ca="1" si="15"/>
        <v>#NUM!</v>
      </c>
      <c r="BT78" s="176"/>
      <c r="BU78" s="12"/>
      <c r="BV78" s="143">
        <f t="shared" ca="1" si="16"/>
        <v>0</v>
      </c>
      <c r="BW78" s="12"/>
      <c r="BX78" s="12"/>
      <c r="BY78" s="143"/>
      <c r="BZ78" s="13" t="s">
        <v>2500</v>
      </c>
      <c r="CA78" s="13"/>
      <c r="CB78" s="13"/>
      <c r="CC78" s="13"/>
      <c r="CD78" s="13"/>
      <c r="CE78" s="198" t="s">
        <v>2958</v>
      </c>
      <c r="CF78" s="198" t="s">
        <v>2959</v>
      </c>
      <c r="CG78" s="272"/>
      <c r="CH78" s="272"/>
      <c r="CI78" s="198"/>
      <c r="CJ78" s="198"/>
      <c r="CK78" s="198"/>
      <c r="CL78" s="198"/>
    </row>
    <row r="79" spans="1:90">
      <c r="A79" s="187">
        <v>74</v>
      </c>
      <c r="B79" s="190" t="s">
        <v>2486</v>
      </c>
      <c r="C79" s="190" t="s">
        <v>2487</v>
      </c>
      <c r="D79" s="190" t="s">
        <v>135</v>
      </c>
      <c r="E79" s="8" t="e">
        <f ca="1">+_xlfn.CONCAT(G79,"-",B79,"_",C79,"_",_xlfn.XLOOKUP(BP79,Account!M:M,Account!N:N))</f>
        <v>#NAME?</v>
      </c>
      <c r="F79" s="12">
        <v>45768</v>
      </c>
      <c r="G79" s="190" t="s">
        <v>2960</v>
      </c>
      <c r="H79" s="190" t="s">
        <v>2961</v>
      </c>
      <c r="I79" s="10" t="s">
        <v>2962</v>
      </c>
      <c r="J79" s="190">
        <v>11</v>
      </c>
      <c r="K79" s="190" t="s">
        <v>2486</v>
      </c>
      <c r="L79" s="190" t="s">
        <v>1263</v>
      </c>
      <c r="M79" s="190" t="s">
        <v>2514</v>
      </c>
      <c r="N79" s="10" t="s">
        <v>2963</v>
      </c>
      <c r="O79" s="178" t="s">
        <v>2964</v>
      </c>
      <c r="P79" s="178" t="s">
        <v>2965</v>
      </c>
      <c r="Q79" s="327">
        <v>8232.14</v>
      </c>
      <c r="R79" s="190">
        <v>3</v>
      </c>
      <c r="S79" s="190" t="s">
        <v>68</v>
      </c>
      <c r="T79" s="190" t="s">
        <v>2518</v>
      </c>
      <c r="U79" s="190" t="s">
        <v>2565</v>
      </c>
      <c r="V79" s="8" t="s">
        <v>1760</v>
      </c>
      <c r="W79" s="10"/>
      <c r="X79" s="15"/>
      <c r="Y79" s="12" t="s">
        <v>2432</v>
      </c>
      <c r="Z79" s="172">
        <v>45965</v>
      </c>
      <c r="AA79" s="172">
        <v>45978</v>
      </c>
      <c r="AB79" s="143" t="str">
        <f t="shared" ca="1" si="10"/>
        <v>Expired</v>
      </c>
      <c r="AC79" s="13"/>
      <c r="AD79" s="12">
        <v>45769</v>
      </c>
      <c r="AE79" s="12"/>
      <c r="AF79" s="12"/>
      <c r="AG79" s="12">
        <v>46001</v>
      </c>
      <c r="AH79" s="11"/>
      <c r="AI79" s="11">
        <v>46022</v>
      </c>
      <c r="AJ79" s="11"/>
      <c r="AK79" s="11"/>
      <c r="AL79" s="11"/>
      <c r="AM79" s="11">
        <v>46022</v>
      </c>
      <c r="AN79" s="11">
        <v>46022</v>
      </c>
      <c r="AO79" s="11" t="str">
        <f>+IF(AN79&lt;&gt;"","BAST",IF(AI79&lt;&gt;"","Dismantle",IF(AG79&lt;&gt;"","RFD App",IF(AF79="Drop","Drop",IF(AE79&lt;&gt;"","Survey Report",IF(AD79&lt;&gt;"","Survey","NY Survey"))))))</f>
        <v>BAST</v>
      </c>
      <c r="AP79" s="173"/>
      <c r="AQ79" s="12">
        <v>45995</v>
      </c>
      <c r="AR79" s="12">
        <v>45996</v>
      </c>
      <c r="AS79" s="12">
        <v>45995</v>
      </c>
      <c r="AT79" s="12"/>
      <c r="AU79" s="12">
        <v>45996</v>
      </c>
      <c r="AV79" s="12">
        <v>45996</v>
      </c>
      <c r="AW79" s="11" t="str">
        <f t="shared" si="11"/>
        <v>1st BOQ App on ISAAC</v>
      </c>
      <c r="AX79" s="12"/>
      <c r="AY79" s="12"/>
      <c r="AZ79" s="12"/>
      <c r="BA79" s="12"/>
      <c r="BB79" s="12"/>
      <c r="BC79" s="12"/>
      <c r="BD79" s="11" t="str">
        <f t="shared" si="12"/>
        <v>NY Submit</v>
      </c>
      <c r="BE79" s="174"/>
      <c r="BF79" s="12"/>
      <c r="BG79" s="12"/>
      <c r="BH79" s="12" t="s">
        <v>2966</v>
      </c>
      <c r="BI79" s="12">
        <v>45978</v>
      </c>
      <c r="BJ79" s="12">
        <v>45978</v>
      </c>
      <c r="BK79" s="174"/>
      <c r="BL79" s="12" t="str">
        <f t="shared" si="13"/>
        <v>NY Submit</v>
      </c>
      <c r="BM79" s="12" t="str">
        <f t="shared" si="14"/>
        <v>Approved</v>
      </c>
      <c r="BN79" s="12">
        <v>46027</v>
      </c>
      <c r="BO79" s="12">
        <v>46030</v>
      </c>
      <c r="BP79" s="155" t="s">
        <v>1760</v>
      </c>
      <c r="BQ79" s="12" t="s">
        <v>2967</v>
      </c>
      <c r="BR79" s="12">
        <v>46008</v>
      </c>
      <c r="BS79" s="143">
        <f t="shared" ca="1" si="15"/>
        <v>12</v>
      </c>
      <c r="BT79" s="176"/>
      <c r="BU79" s="12"/>
      <c r="BV79" s="143">
        <f t="shared" ca="1" si="16"/>
        <v>0</v>
      </c>
      <c r="BW79" s="12"/>
      <c r="BX79" s="12"/>
      <c r="BY79" s="143"/>
      <c r="BZ79" s="13" t="s">
        <v>2500</v>
      </c>
      <c r="CA79" s="13"/>
      <c r="CB79" s="13"/>
      <c r="CC79" s="13"/>
      <c r="CD79" s="13"/>
      <c r="CE79" s="198"/>
      <c r="CF79" s="198"/>
      <c r="CG79" s="272"/>
      <c r="CH79" s="272"/>
      <c r="CI79" s="198"/>
      <c r="CJ79" s="198"/>
      <c r="CK79" s="198"/>
      <c r="CL79" s="198"/>
    </row>
    <row r="80" spans="1:90">
      <c r="A80" s="187">
        <v>75</v>
      </c>
      <c r="B80" s="190" t="s">
        <v>2486</v>
      </c>
      <c r="C80" s="190" t="s">
        <v>2487</v>
      </c>
      <c r="D80" s="190" t="s">
        <v>135</v>
      </c>
      <c r="E80" s="8" t="e">
        <f ca="1">+_xlfn.CONCAT(G80,"-",B80,"_",C80,"_",_xlfn.XLOOKUP(BP80,Account!M:M,Account!N:N))</f>
        <v>#NAME?</v>
      </c>
      <c r="F80" s="12">
        <v>45768</v>
      </c>
      <c r="G80" s="190" t="s">
        <v>2960</v>
      </c>
      <c r="H80" s="190" t="s">
        <v>2961</v>
      </c>
      <c r="I80" s="10" t="s">
        <v>2962</v>
      </c>
      <c r="J80" s="190">
        <v>11</v>
      </c>
      <c r="K80" s="190" t="s">
        <v>2486</v>
      </c>
      <c r="L80" s="190" t="s">
        <v>1263</v>
      </c>
      <c r="M80" s="190" t="s">
        <v>2514</v>
      </c>
      <c r="N80" s="10" t="s">
        <v>2963</v>
      </c>
      <c r="O80" s="178" t="s">
        <v>2964</v>
      </c>
      <c r="P80" s="178" t="s">
        <v>2965</v>
      </c>
      <c r="Q80" s="327">
        <v>8232.14</v>
      </c>
      <c r="R80" s="190">
        <v>3</v>
      </c>
      <c r="S80" s="190" t="s">
        <v>68</v>
      </c>
      <c r="T80" s="190" t="s">
        <v>2518</v>
      </c>
      <c r="U80" s="190" t="s">
        <v>2565</v>
      </c>
      <c r="V80" s="8" t="s">
        <v>2011</v>
      </c>
      <c r="W80" s="10"/>
      <c r="X80" s="15"/>
      <c r="Y80" s="12" t="s">
        <v>2432</v>
      </c>
      <c r="Z80" s="172">
        <v>45965</v>
      </c>
      <c r="AA80" s="172">
        <v>45978</v>
      </c>
      <c r="AB80" s="143" t="str">
        <f t="shared" ca="1" si="10"/>
        <v>Expired</v>
      </c>
      <c r="AC80" s="13"/>
      <c r="AD80" s="12">
        <v>45769</v>
      </c>
      <c r="AE80" s="12"/>
      <c r="AF80" s="12" t="s">
        <v>2526</v>
      </c>
      <c r="AG80" s="12"/>
      <c r="AH80" s="11"/>
      <c r="AI80" s="11"/>
      <c r="AJ80" s="11"/>
      <c r="AK80" s="11"/>
      <c r="AL80" s="11"/>
      <c r="AM80" s="11"/>
      <c r="AN80" s="11"/>
      <c r="AO80" s="11" t="str">
        <f>+IF(AM80&lt;&gt;"","ATP App MS",IF(AJ80&lt;&gt;"","Inbound",IF(AH80&lt;&gt;"","Dismantle Perangkat",IF(AF80="Drop","Drop",IF(AE80&lt;&gt;"","Survey Report",IF(AD80&lt;&gt;"","Survey","NY Survey"))))))</f>
        <v>Drop</v>
      </c>
      <c r="AP80" s="173"/>
      <c r="AQ80" s="12">
        <v>45995</v>
      </c>
      <c r="AR80" s="12">
        <v>45996</v>
      </c>
      <c r="AS80" s="12">
        <v>45995</v>
      </c>
      <c r="AT80" s="12"/>
      <c r="AU80" s="12">
        <v>45996</v>
      </c>
      <c r="AV80" s="12">
        <v>45996</v>
      </c>
      <c r="AW80" s="11" t="str">
        <f t="shared" si="11"/>
        <v>1st BOQ App on ISAAC</v>
      </c>
      <c r="AX80" s="12"/>
      <c r="AY80" s="12"/>
      <c r="AZ80" s="12"/>
      <c r="BA80" s="12"/>
      <c r="BB80" s="12"/>
      <c r="BC80" s="12"/>
      <c r="BD80" s="11" t="str">
        <f t="shared" si="12"/>
        <v>NY Submit</v>
      </c>
      <c r="BE80" s="174"/>
      <c r="BF80" s="12"/>
      <c r="BG80" s="12"/>
      <c r="BH80" s="200" t="s">
        <v>2966</v>
      </c>
      <c r="BI80" s="12">
        <v>45978</v>
      </c>
      <c r="BJ80" s="12">
        <v>45978</v>
      </c>
      <c r="BK80" s="174"/>
      <c r="BL80" s="12" t="str">
        <f t="shared" si="13"/>
        <v>NY Submit</v>
      </c>
      <c r="BM80" s="12" t="str">
        <f t="shared" si="14"/>
        <v>Approved</v>
      </c>
      <c r="BN80" s="12"/>
      <c r="BO80" s="12"/>
      <c r="BP80" s="155" t="s">
        <v>2011</v>
      </c>
      <c r="BQ80" s="12" t="s">
        <v>2968</v>
      </c>
      <c r="BR80" s="12">
        <v>46008</v>
      </c>
      <c r="BS80" s="143" t="str">
        <f t="shared" ca="1" si="15"/>
        <v>Drop</v>
      </c>
      <c r="BT80" s="176"/>
      <c r="BU80" s="12"/>
      <c r="BV80" s="143" t="str">
        <f t="shared" ca="1" si="16"/>
        <v>Drop</v>
      </c>
      <c r="BW80" s="12"/>
      <c r="BX80" s="12"/>
      <c r="BY80" s="143"/>
      <c r="BZ80" s="13" t="s">
        <v>2526</v>
      </c>
      <c r="CA80" s="13" t="s">
        <v>2555</v>
      </c>
      <c r="CB80" s="13" t="s">
        <v>2486</v>
      </c>
      <c r="CC80" s="13"/>
      <c r="CD80" s="13"/>
      <c r="CE80" s="198"/>
      <c r="CF80" s="198"/>
      <c r="CG80" s="272"/>
      <c r="CH80" s="272"/>
      <c r="CI80" s="198"/>
      <c r="CJ80" s="198"/>
      <c r="CK80" s="198"/>
      <c r="CL80" s="198"/>
    </row>
    <row r="81" spans="1:90">
      <c r="A81" s="187">
        <v>76</v>
      </c>
      <c r="B81" s="190" t="s">
        <v>2486</v>
      </c>
      <c r="C81" s="190" t="s">
        <v>2487</v>
      </c>
      <c r="D81" s="190" t="s">
        <v>135</v>
      </c>
      <c r="E81" s="8" t="e">
        <f ca="1">+_xlfn.CONCAT(G81,"-",B81,"_",C81,"_",_xlfn.XLOOKUP(BP81,Account!M:M,Account!N:N))</f>
        <v>#NAME?</v>
      </c>
      <c r="F81" s="12">
        <v>45768</v>
      </c>
      <c r="G81" s="190" t="s">
        <v>2960</v>
      </c>
      <c r="H81" s="190" t="s">
        <v>2961</v>
      </c>
      <c r="I81" s="10" t="s">
        <v>2962</v>
      </c>
      <c r="J81" s="190">
        <v>11</v>
      </c>
      <c r="K81" s="190" t="s">
        <v>2486</v>
      </c>
      <c r="L81" s="190" t="s">
        <v>1263</v>
      </c>
      <c r="M81" s="190" t="s">
        <v>2514</v>
      </c>
      <c r="N81" s="10" t="s">
        <v>2963</v>
      </c>
      <c r="O81" s="178" t="s">
        <v>2964</v>
      </c>
      <c r="P81" s="178" t="s">
        <v>2965</v>
      </c>
      <c r="Q81" s="327">
        <v>8232.14</v>
      </c>
      <c r="R81" s="190">
        <v>3</v>
      </c>
      <c r="S81" s="190" t="s">
        <v>68</v>
      </c>
      <c r="T81" s="190" t="s">
        <v>2518</v>
      </c>
      <c r="U81" s="190" t="s">
        <v>2565</v>
      </c>
      <c r="V81" s="8" t="s">
        <v>1768</v>
      </c>
      <c r="W81" s="10"/>
      <c r="X81" s="15"/>
      <c r="Y81" s="12" t="s">
        <v>2432</v>
      </c>
      <c r="Z81" s="172">
        <v>45965</v>
      </c>
      <c r="AA81" s="172">
        <v>45978</v>
      </c>
      <c r="AB81" s="143" t="str">
        <f t="shared" ca="1" si="10"/>
        <v>Expired</v>
      </c>
      <c r="AC81" s="13"/>
      <c r="AD81" s="12">
        <v>45769</v>
      </c>
      <c r="AE81" s="12">
        <v>45965</v>
      </c>
      <c r="AF81" s="12" t="s">
        <v>2526</v>
      </c>
      <c r="AG81" s="12"/>
      <c r="AH81" s="11"/>
      <c r="AI81" s="11"/>
      <c r="AJ81" s="11"/>
      <c r="AK81" s="11"/>
      <c r="AL81" s="11"/>
      <c r="AM81" s="11"/>
      <c r="AN81" s="11"/>
      <c r="AO81" s="11" t="str">
        <f>+IF(AM81&lt;&gt;"","ATP App MS",IF(AL81&lt;&gt;"","OA/RFS",IF(AK81&lt;&gt;"","Install",IF(AH81&lt;&gt;"","Dismantle Perangkat",IF(AF81="Drop","Drop",IF(AE81&lt;&gt;"","Survey Report",IF(AD81&lt;&gt;"","Survey","NY Survey")))))))</f>
        <v>Drop</v>
      </c>
      <c r="AP81" s="173"/>
      <c r="AQ81" s="12"/>
      <c r="AR81" s="12"/>
      <c r="AS81" s="12"/>
      <c r="AT81" s="12"/>
      <c r="AU81" s="12"/>
      <c r="AV81" s="12"/>
      <c r="AW81" s="11" t="str">
        <f t="shared" si="11"/>
        <v>NY Submit</v>
      </c>
      <c r="AX81" s="12"/>
      <c r="AY81" s="12"/>
      <c r="AZ81" s="12"/>
      <c r="BA81" s="12"/>
      <c r="BB81" s="12"/>
      <c r="BC81" s="12"/>
      <c r="BD81" s="11" t="str">
        <f t="shared" si="12"/>
        <v>NY Submit</v>
      </c>
      <c r="BE81" s="174"/>
      <c r="BF81" s="12">
        <v>45965</v>
      </c>
      <c r="BG81" s="12">
        <v>45965</v>
      </c>
      <c r="BH81" s="200" t="s">
        <v>2966</v>
      </c>
      <c r="BI81" s="12">
        <v>45972</v>
      </c>
      <c r="BJ81" s="12">
        <v>45978</v>
      </c>
      <c r="BK81" s="174" t="s">
        <v>2969</v>
      </c>
      <c r="BL81" s="12" t="str">
        <f t="shared" si="13"/>
        <v>Approved</v>
      </c>
      <c r="BM81" s="12" t="str">
        <f t="shared" si="14"/>
        <v>Approved</v>
      </c>
      <c r="BN81" s="12"/>
      <c r="BO81" s="12"/>
      <c r="BP81" s="155" t="s">
        <v>1768</v>
      </c>
      <c r="BQ81" s="12" t="s">
        <v>2526</v>
      </c>
      <c r="BR81" s="12"/>
      <c r="BS81" s="143" t="str">
        <f t="shared" ca="1" si="15"/>
        <v>Drop</v>
      </c>
      <c r="BT81" s="176"/>
      <c r="BU81" s="12"/>
      <c r="BV81" s="143" t="str">
        <f t="shared" ca="1" si="16"/>
        <v>Drop</v>
      </c>
      <c r="BW81" s="12"/>
      <c r="BX81" s="12"/>
      <c r="BY81" s="143"/>
      <c r="BZ81" s="13" t="s">
        <v>2526</v>
      </c>
      <c r="CA81" s="13" t="s">
        <v>2555</v>
      </c>
      <c r="CB81" s="13" t="s">
        <v>2486</v>
      </c>
      <c r="CC81" s="13"/>
      <c r="CD81" s="13"/>
      <c r="CE81" s="198"/>
      <c r="CF81" s="198"/>
      <c r="CG81" s="272"/>
      <c r="CH81" s="272"/>
      <c r="CI81" s="198"/>
      <c r="CJ81" s="198"/>
      <c r="CK81" s="198"/>
      <c r="CL81" s="198"/>
    </row>
    <row r="82" spans="1:90" ht="30" customHeight="1">
      <c r="A82" s="187">
        <v>77</v>
      </c>
      <c r="B82" s="190" t="s">
        <v>2486</v>
      </c>
      <c r="C82" s="190" t="s">
        <v>2487</v>
      </c>
      <c r="D82" s="190" t="s">
        <v>135</v>
      </c>
      <c r="E82" s="8" t="e">
        <f ca="1">+_xlfn.CONCAT(G82,"-",B82,"_",C82,"_",_xlfn.XLOOKUP(BP82,Account!M:M,Account!N:N))</f>
        <v>#NAME?</v>
      </c>
      <c r="F82" s="12">
        <v>45768</v>
      </c>
      <c r="G82" s="190" t="s">
        <v>464</v>
      </c>
      <c r="H82" s="190" t="s">
        <v>2970</v>
      </c>
      <c r="I82" s="10" t="s">
        <v>465</v>
      </c>
      <c r="J82" s="190">
        <v>18</v>
      </c>
      <c r="K82" s="190" t="s">
        <v>2486</v>
      </c>
      <c r="L82" s="190" t="s">
        <v>2971</v>
      </c>
      <c r="M82" s="190" t="s">
        <v>2972</v>
      </c>
      <c r="N82" s="198" t="s">
        <v>2973</v>
      </c>
      <c r="O82" s="178" t="s">
        <v>2974</v>
      </c>
      <c r="P82" s="178" t="s">
        <v>2975</v>
      </c>
      <c r="Q82" s="327">
        <v>2939.54</v>
      </c>
      <c r="R82" s="190">
        <v>20</v>
      </c>
      <c r="S82" s="190"/>
      <c r="T82" s="190" t="s">
        <v>2518</v>
      </c>
      <c r="U82" s="190" t="s">
        <v>2519</v>
      </c>
      <c r="V82" s="8" t="s">
        <v>1760</v>
      </c>
      <c r="W82" s="10" t="s">
        <v>2976</v>
      </c>
      <c r="X82" s="15" t="s">
        <v>2977</v>
      </c>
      <c r="Y82" s="12" t="s">
        <v>2496</v>
      </c>
      <c r="Z82" s="172">
        <v>46153</v>
      </c>
      <c r="AA82" s="172">
        <v>46159</v>
      </c>
      <c r="AB82" s="143" t="str">
        <f t="shared" ca="1" si="10"/>
        <v>Expired</v>
      </c>
      <c r="AC82" s="13"/>
      <c r="AD82" s="12">
        <v>45770</v>
      </c>
      <c r="AE82" s="12">
        <v>45777</v>
      </c>
      <c r="AF82" s="12">
        <v>46168</v>
      </c>
      <c r="AG82" s="12">
        <v>46135</v>
      </c>
      <c r="AH82" s="11"/>
      <c r="AI82" s="11">
        <v>46163</v>
      </c>
      <c r="AJ82" s="11"/>
      <c r="AK82" s="11"/>
      <c r="AL82" s="11"/>
      <c r="AM82" s="11"/>
      <c r="AN82" s="11"/>
      <c r="AO82" s="11" t="str">
        <f>+IF(AN82&lt;&gt;"","BAST",IF(AI82&lt;&gt;"","Dismantle",IF(AG82&lt;&gt;"","RFD App",IF(AF82="Drop","Drop",IF(AE82&lt;&gt;"","Survey Report",IF(AD82&lt;&gt;"","Survey","NY Survey"))))))</f>
        <v>Dismantle</v>
      </c>
      <c r="AP82" s="173" t="s">
        <v>2978</v>
      </c>
      <c r="AQ82" s="12">
        <v>46112</v>
      </c>
      <c r="AR82" s="12">
        <v>46114</v>
      </c>
      <c r="AS82" s="12">
        <v>46115</v>
      </c>
      <c r="AT82" s="12"/>
      <c r="AU82" s="12">
        <v>46115</v>
      </c>
      <c r="AV82" s="12">
        <v>46118</v>
      </c>
      <c r="AW82" s="11" t="str">
        <f t="shared" si="11"/>
        <v>1st BOQ App on ISAAC</v>
      </c>
      <c r="AX82" s="12"/>
      <c r="AY82" s="12"/>
      <c r="AZ82" s="12"/>
      <c r="BA82" s="12"/>
      <c r="BB82" s="12"/>
      <c r="BC82" s="12"/>
      <c r="BD82" s="11" t="str">
        <f t="shared" si="12"/>
        <v>NY Submit</v>
      </c>
      <c r="BE82" s="174"/>
      <c r="BF82" s="12">
        <v>45777</v>
      </c>
      <c r="BG82" s="12">
        <v>45777</v>
      </c>
      <c r="BH82" s="12" t="s">
        <v>2979</v>
      </c>
      <c r="BI82" s="12">
        <v>45777</v>
      </c>
      <c r="BJ82" s="12">
        <v>45777</v>
      </c>
      <c r="BK82" s="174" t="s">
        <v>2980</v>
      </c>
      <c r="BL82" s="12" t="str">
        <f t="shared" si="13"/>
        <v>Approved</v>
      </c>
      <c r="BM82" s="12" t="str">
        <f t="shared" si="14"/>
        <v>Approved</v>
      </c>
      <c r="BN82" s="12">
        <v>46175</v>
      </c>
      <c r="BO82" s="12">
        <v>46175</v>
      </c>
      <c r="BP82" s="155" t="s">
        <v>1760</v>
      </c>
      <c r="BQ82" s="12" t="s">
        <v>2981</v>
      </c>
      <c r="BR82" s="12">
        <v>46127</v>
      </c>
      <c r="BS82" s="143">
        <f t="shared" ca="1" si="15"/>
        <v>9</v>
      </c>
      <c r="BT82" s="176"/>
      <c r="BU82" s="12"/>
      <c r="BV82" s="143">
        <f t="shared" ca="1" si="16"/>
        <v>0</v>
      </c>
      <c r="BW82" s="12"/>
      <c r="BX82" s="12"/>
      <c r="BY82" s="143"/>
      <c r="BZ82" s="13" t="s">
        <v>2500</v>
      </c>
      <c r="CA82" s="13"/>
      <c r="CB82" s="13"/>
      <c r="CC82" s="13"/>
      <c r="CD82" s="13"/>
      <c r="CE82" s="198"/>
      <c r="CF82" s="198"/>
      <c r="CG82" s="272"/>
      <c r="CH82" s="272"/>
      <c r="CI82" s="198"/>
      <c r="CJ82" s="198"/>
      <c r="CK82" s="198"/>
      <c r="CL82" s="198"/>
    </row>
    <row r="83" spans="1:90" ht="60" customHeight="1">
      <c r="A83" s="187">
        <v>78</v>
      </c>
      <c r="B83" s="190" t="s">
        <v>2486</v>
      </c>
      <c r="C83" s="190" t="s">
        <v>2487</v>
      </c>
      <c r="D83" s="190" t="s">
        <v>135</v>
      </c>
      <c r="E83" s="8" t="e">
        <f ca="1">+_xlfn.CONCAT(G83,"-",B83,"_",C83,"_",_xlfn.XLOOKUP(BP83,Account!M:M,Account!N:N))</f>
        <v>#NAME?</v>
      </c>
      <c r="F83" s="12">
        <v>45768</v>
      </c>
      <c r="G83" s="190" t="s">
        <v>464</v>
      </c>
      <c r="H83" s="190" t="s">
        <v>2970</v>
      </c>
      <c r="I83" s="10" t="s">
        <v>465</v>
      </c>
      <c r="J83" s="190">
        <v>18</v>
      </c>
      <c r="K83" s="190" t="s">
        <v>2486</v>
      </c>
      <c r="L83" s="190" t="s">
        <v>2971</v>
      </c>
      <c r="M83" s="190" t="s">
        <v>2972</v>
      </c>
      <c r="N83" s="198" t="s">
        <v>2973</v>
      </c>
      <c r="O83" s="178" t="s">
        <v>2974</v>
      </c>
      <c r="P83" s="178" t="s">
        <v>2975</v>
      </c>
      <c r="Q83" s="327">
        <v>2939.54</v>
      </c>
      <c r="R83" s="190">
        <v>20</v>
      </c>
      <c r="S83" s="190"/>
      <c r="T83" s="190" t="s">
        <v>2518</v>
      </c>
      <c r="U83" s="190" t="s">
        <v>2519</v>
      </c>
      <c r="V83" s="8" t="s">
        <v>2011</v>
      </c>
      <c r="W83" s="10" t="s">
        <v>2976</v>
      </c>
      <c r="X83" s="15" t="s">
        <v>2977</v>
      </c>
      <c r="Y83" s="12" t="s">
        <v>2432</v>
      </c>
      <c r="Z83" s="172">
        <v>46153</v>
      </c>
      <c r="AA83" s="172">
        <v>46159</v>
      </c>
      <c r="AB83" s="143" t="str">
        <f t="shared" ca="1" si="10"/>
        <v>Expired</v>
      </c>
      <c r="AC83" s="13"/>
      <c r="AD83" s="12">
        <v>45770</v>
      </c>
      <c r="AE83" s="12">
        <v>45777</v>
      </c>
      <c r="AF83" s="12"/>
      <c r="AG83" s="12">
        <v>46135</v>
      </c>
      <c r="AH83" s="11">
        <v>46153</v>
      </c>
      <c r="AI83" s="11"/>
      <c r="AJ83" s="11">
        <v>46163</v>
      </c>
      <c r="AK83" s="11"/>
      <c r="AL83" s="11"/>
      <c r="AM83" s="11"/>
      <c r="AN83" s="11"/>
      <c r="AO83" s="11" t="str">
        <f>+IF(AM83&lt;&gt;"","ATP App MS",IF(AJ83&lt;&gt;"","Inbound",IF(AH83&lt;&gt;"","Dismantle Perangkat",IF(AF83="Drop","Drop",IF(AE83&lt;&gt;"","Survey Report",IF(AD83&lt;&gt;"","Survey","NY Survey"))))))</f>
        <v>Inbound</v>
      </c>
      <c r="AP83" s="185" t="s">
        <v>2982</v>
      </c>
      <c r="AQ83" s="12">
        <v>46112</v>
      </c>
      <c r="AR83" s="12">
        <v>46114</v>
      </c>
      <c r="AS83" s="12">
        <v>46115</v>
      </c>
      <c r="AT83" s="12"/>
      <c r="AU83" s="12">
        <v>46115</v>
      </c>
      <c r="AV83" s="12">
        <v>46118</v>
      </c>
      <c r="AW83" s="11" t="str">
        <f t="shared" si="11"/>
        <v>1st BOQ App on ISAAC</v>
      </c>
      <c r="AX83" s="12"/>
      <c r="AY83" s="12"/>
      <c r="AZ83" s="12"/>
      <c r="BA83" s="12"/>
      <c r="BB83" s="12"/>
      <c r="BC83" s="12"/>
      <c r="BD83" s="11" t="str">
        <f t="shared" si="12"/>
        <v>NY Submit</v>
      </c>
      <c r="BE83" s="174"/>
      <c r="BF83" s="12">
        <v>45777</v>
      </c>
      <c r="BG83" s="12">
        <v>45777</v>
      </c>
      <c r="BH83" s="12" t="s">
        <v>2979</v>
      </c>
      <c r="BI83" s="12">
        <v>45777</v>
      </c>
      <c r="BJ83" s="12">
        <v>45777</v>
      </c>
      <c r="BK83" s="174"/>
      <c r="BL83" s="12" t="str">
        <f t="shared" si="13"/>
        <v>Approved</v>
      </c>
      <c r="BM83" s="12" t="str">
        <f t="shared" si="14"/>
        <v>Approved</v>
      </c>
      <c r="BN83" s="12"/>
      <c r="BO83" s="12"/>
      <c r="BP83" s="155" t="s">
        <v>2011</v>
      </c>
      <c r="BQ83" s="12" t="s">
        <v>2968</v>
      </c>
      <c r="BR83" s="12">
        <v>46127</v>
      </c>
      <c r="BS83" s="143">
        <f t="shared" ca="1" si="15"/>
        <v>9</v>
      </c>
      <c r="BT83" s="176"/>
      <c r="BU83" s="12"/>
      <c r="BV83" s="143">
        <f t="shared" ca="1" si="16"/>
        <v>0</v>
      </c>
      <c r="BW83" s="12"/>
      <c r="BX83" s="12"/>
      <c r="BY83" s="143"/>
      <c r="BZ83" s="13" t="s">
        <v>2500</v>
      </c>
      <c r="CA83" s="13"/>
      <c r="CB83" s="13"/>
      <c r="CC83" s="13"/>
      <c r="CD83" s="13"/>
      <c r="CE83" s="198"/>
      <c r="CF83" s="198"/>
      <c r="CG83" s="272"/>
      <c r="CH83" s="272"/>
      <c r="CI83" s="198"/>
      <c r="CJ83" s="198"/>
      <c r="CK83" s="198"/>
      <c r="CL83" s="198"/>
    </row>
    <row r="84" spans="1:90">
      <c r="A84" s="187">
        <v>79</v>
      </c>
      <c r="B84" s="190" t="s">
        <v>2486</v>
      </c>
      <c r="C84" s="190" t="s">
        <v>2487</v>
      </c>
      <c r="D84" s="190" t="s">
        <v>135</v>
      </c>
      <c r="E84" s="8" t="e">
        <f ca="1">+_xlfn.CONCAT(G84,"-",B84,"_",C84,"_",_xlfn.XLOOKUP(BP84,Account!M:M,Account!N:N))</f>
        <v>#NAME?</v>
      </c>
      <c r="F84" s="12">
        <v>45768</v>
      </c>
      <c r="G84" s="190" t="s">
        <v>464</v>
      </c>
      <c r="H84" s="190" t="s">
        <v>2970</v>
      </c>
      <c r="I84" s="10" t="s">
        <v>465</v>
      </c>
      <c r="J84" s="190">
        <v>18</v>
      </c>
      <c r="K84" s="190" t="s">
        <v>2486</v>
      </c>
      <c r="L84" s="190" t="s">
        <v>2971</v>
      </c>
      <c r="M84" s="190" t="s">
        <v>2972</v>
      </c>
      <c r="N84" s="10" t="s">
        <v>2973</v>
      </c>
      <c r="O84" s="178" t="s">
        <v>2974</v>
      </c>
      <c r="P84" s="178" t="s">
        <v>2975</v>
      </c>
      <c r="Q84" s="327">
        <v>2939.54</v>
      </c>
      <c r="R84" s="190">
        <v>20</v>
      </c>
      <c r="S84" s="190"/>
      <c r="T84" s="190" t="s">
        <v>2518</v>
      </c>
      <c r="U84" s="190" t="s">
        <v>2519</v>
      </c>
      <c r="V84" s="8" t="s">
        <v>1768</v>
      </c>
      <c r="W84" s="10" t="s">
        <v>2976</v>
      </c>
      <c r="X84" s="15" t="s">
        <v>2977</v>
      </c>
      <c r="Y84" s="12" t="s">
        <v>2432</v>
      </c>
      <c r="Z84" s="172">
        <v>46153</v>
      </c>
      <c r="AA84" s="172">
        <v>46159</v>
      </c>
      <c r="AB84" s="143" t="str">
        <f t="shared" ca="1" si="10"/>
        <v>Expired</v>
      </c>
      <c r="AC84" s="13"/>
      <c r="AD84" s="12">
        <v>45770</v>
      </c>
      <c r="AE84" s="12">
        <v>45777</v>
      </c>
      <c r="AF84" s="12" t="s">
        <v>2526</v>
      </c>
      <c r="AG84" s="12"/>
      <c r="AH84" s="11"/>
      <c r="AI84" s="11"/>
      <c r="AJ84" s="11"/>
      <c r="AK84" s="11"/>
      <c r="AL84" s="11"/>
      <c r="AM84" s="11"/>
      <c r="AN84" s="11"/>
      <c r="AO84" s="11" t="str">
        <f>+IF(AM84&lt;&gt;"","ATP App MS",IF(AL84&lt;&gt;"","OA/RFS",IF(AK84&lt;&gt;"","Install",IF(AH84&lt;&gt;"","Dismantle Perangkat",IF(AF84="Drop","Drop",IF(AE84&lt;&gt;"","Survey Report",IF(AD84&lt;&gt;"","Survey","NY Survey")))))))</f>
        <v>Drop</v>
      </c>
      <c r="AP84" s="173"/>
      <c r="AQ84" s="12"/>
      <c r="AR84" s="12"/>
      <c r="AS84" s="12"/>
      <c r="AT84" s="12"/>
      <c r="AU84" s="12"/>
      <c r="AV84" s="12"/>
      <c r="AW84" s="11" t="str">
        <f t="shared" si="11"/>
        <v>NY Submit</v>
      </c>
      <c r="AX84" s="12"/>
      <c r="AY84" s="12"/>
      <c r="AZ84" s="12"/>
      <c r="BA84" s="12"/>
      <c r="BB84" s="12"/>
      <c r="BC84" s="12"/>
      <c r="BD84" s="11" t="str">
        <f t="shared" si="12"/>
        <v>NY Submit</v>
      </c>
      <c r="BE84" s="174"/>
      <c r="BF84" s="12">
        <v>45777</v>
      </c>
      <c r="BG84" s="12">
        <v>45777</v>
      </c>
      <c r="BH84" s="12" t="s">
        <v>2979</v>
      </c>
      <c r="BI84" s="12">
        <v>45777</v>
      </c>
      <c r="BJ84" s="12">
        <v>45777</v>
      </c>
      <c r="BK84" s="174"/>
      <c r="BL84" s="12" t="str">
        <f t="shared" si="13"/>
        <v>Approved</v>
      </c>
      <c r="BM84" s="12" t="str">
        <f t="shared" si="14"/>
        <v>Approved</v>
      </c>
      <c r="BN84" s="12"/>
      <c r="BO84" s="12"/>
      <c r="BP84" s="155" t="s">
        <v>1768</v>
      </c>
      <c r="BQ84" s="12" t="s">
        <v>2526</v>
      </c>
      <c r="BR84" s="12"/>
      <c r="BS84" s="143" t="str">
        <f t="shared" ca="1" si="15"/>
        <v>Drop</v>
      </c>
      <c r="BT84" s="176"/>
      <c r="BU84" s="12"/>
      <c r="BV84" s="143" t="str">
        <f t="shared" ca="1" si="16"/>
        <v>Drop</v>
      </c>
      <c r="BW84" s="12"/>
      <c r="BX84" s="12"/>
      <c r="BY84" s="143"/>
      <c r="BZ84" s="13" t="s">
        <v>2983</v>
      </c>
      <c r="CA84" s="13"/>
      <c r="CB84" s="13" t="s">
        <v>2984</v>
      </c>
      <c r="CC84" s="13"/>
      <c r="CD84" s="13"/>
      <c r="CE84" s="198"/>
      <c r="CF84" s="198"/>
      <c r="CG84" s="272"/>
      <c r="CH84" s="272"/>
      <c r="CI84" s="198"/>
      <c r="CJ84" s="198"/>
      <c r="CK84" s="198"/>
      <c r="CL84" s="198"/>
    </row>
    <row r="85" spans="1:90">
      <c r="A85" s="187">
        <v>80</v>
      </c>
      <c r="B85" s="190" t="s">
        <v>2486</v>
      </c>
      <c r="C85" s="190" t="s">
        <v>2487</v>
      </c>
      <c r="D85" s="190" t="s">
        <v>135</v>
      </c>
      <c r="E85" s="8" t="e">
        <f ca="1">+_xlfn.CONCAT(G85,"-",B85,"_",C85,"_",_xlfn.XLOOKUP(BP85,Account!M:M,Account!N:N))</f>
        <v>#NAME?</v>
      </c>
      <c r="F85" s="12">
        <v>45777</v>
      </c>
      <c r="G85" s="190" t="s">
        <v>2114</v>
      </c>
      <c r="H85" s="190" t="s">
        <v>2985</v>
      </c>
      <c r="I85" s="10" t="s">
        <v>2115</v>
      </c>
      <c r="J85" s="190">
        <v>11</v>
      </c>
      <c r="K85" s="190" t="s">
        <v>2486</v>
      </c>
      <c r="L85" s="190" t="s">
        <v>1263</v>
      </c>
      <c r="M85" s="190" t="s">
        <v>2489</v>
      </c>
      <c r="N85" s="10" t="s">
        <v>2986</v>
      </c>
      <c r="O85" s="178" t="s">
        <v>2987</v>
      </c>
      <c r="P85" s="178" t="s">
        <v>2988</v>
      </c>
      <c r="Q85" s="327">
        <v>6912.0389999999998</v>
      </c>
      <c r="R85" s="190">
        <v>42</v>
      </c>
      <c r="S85" s="190"/>
      <c r="T85" s="190" t="s">
        <v>2494</v>
      </c>
      <c r="U85" s="190" t="s">
        <v>2495</v>
      </c>
      <c r="V85" s="8" t="s">
        <v>1760</v>
      </c>
      <c r="W85" s="10" t="s">
        <v>2989</v>
      </c>
      <c r="X85" s="15" t="s">
        <v>2990</v>
      </c>
      <c r="Y85" s="12" t="s">
        <v>2432</v>
      </c>
      <c r="Z85" s="172">
        <v>45997</v>
      </c>
      <c r="AA85" s="172">
        <v>46004</v>
      </c>
      <c r="AB85" s="143" t="str">
        <f t="shared" ca="1" si="10"/>
        <v>Expired</v>
      </c>
      <c r="AC85" s="13"/>
      <c r="AD85" s="12">
        <v>46009</v>
      </c>
      <c r="AE85" s="12">
        <v>46009</v>
      </c>
      <c r="AF85" s="12"/>
      <c r="AG85" s="12">
        <v>46041</v>
      </c>
      <c r="AH85" s="11"/>
      <c r="AI85" s="11">
        <v>46051</v>
      </c>
      <c r="AJ85" s="11"/>
      <c r="AK85" s="11"/>
      <c r="AL85" s="11"/>
      <c r="AM85" s="11">
        <v>46051</v>
      </c>
      <c r="AN85" s="11">
        <v>46051</v>
      </c>
      <c r="AO85" s="11" t="str">
        <f>+IF(AN85&lt;&gt;"","BAST",IF(AI85&lt;&gt;"","Dismantle",IF(AG85&lt;&gt;"","RFD App",IF(AF85="Drop","Drop",IF(AE85&lt;&gt;"","Survey Report",IF(AD85&lt;&gt;"","Survey","NY Survey"))))))</f>
        <v>BAST</v>
      </c>
      <c r="AP85" s="173" t="s">
        <v>2991</v>
      </c>
      <c r="AQ85" s="12">
        <v>46027</v>
      </c>
      <c r="AR85" s="12">
        <v>46034</v>
      </c>
      <c r="AS85" s="12">
        <v>46027</v>
      </c>
      <c r="AT85" s="12"/>
      <c r="AU85" s="12">
        <v>46034</v>
      </c>
      <c r="AV85" s="12">
        <v>46034</v>
      </c>
      <c r="AW85" s="11" t="str">
        <f t="shared" si="11"/>
        <v>1st BOQ App on ISAAC</v>
      </c>
      <c r="AX85" s="12"/>
      <c r="AY85" s="12"/>
      <c r="AZ85" s="12"/>
      <c r="BA85" s="12"/>
      <c r="BB85" s="12"/>
      <c r="BC85" s="12"/>
      <c r="BD85" s="11" t="str">
        <f t="shared" si="12"/>
        <v>NY Submit</v>
      </c>
      <c r="BE85" s="174"/>
      <c r="BF85" s="12">
        <v>46009</v>
      </c>
      <c r="BG85" s="12">
        <v>46010</v>
      </c>
      <c r="BH85" s="10" t="s">
        <v>2992</v>
      </c>
      <c r="BI85" s="12">
        <v>46019</v>
      </c>
      <c r="BJ85" s="12">
        <v>46021</v>
      </c>
      <c r="BK85" s="174" t="s">
        <v>2993</v>
      </c>
      <c r="BL85" s="12" t="str">
        <f t="shared" si="13"/>
        <v>Approved</v>
      </c>
      <c r="BM85" s="12" t="str">
        <f t="shared" si="14"/>
        <v>Approved</v>
      </c>
      <c r="BN85" s="12">
        <v>46055</v>
      </c>
      <c r="BO85" s="12">
        <v>46055</v>
      </c>
      <c r="BP85" s="155" t="s">
        <v>1760</v>
      </c>
      <c r="BQ85" s="12" t="s">
        <v>2994</v>
      </c>
      <c r="BR85" s="12">
        <v>46052</v>
      </c>
      <c r="BS85" s="143">
        <f t="shared" ca="1" si="15"/>
        <v>18</v>
      </c>
      <c r="BT85" s="176"/>
      <c r="BU85" s="12"/>
      <c r="BV85" s="143">
        <f t="shared" ca="1" si="16"/>
        <v>0</v>
      </c>
      <c r="BW85" s="12"/>
      <c r="BX85" s="12"/>
      <c r="BY85" s="143"/>
      <c r="BZ85" s="13" t="s">
        <v>2500</v>
      </c>
      <c r="CA85" s="13"/>
      <c r="CB85" s="13"/>
      <c r="CC85" s="13"/>
      <c r="CD85" s="13"/>
      <c r="CE85" s="198"/>
      <c r="CF85" s="198"/>
      <c r="CG85" s="272"/>
      <c r="CH85" s="272"/>
      <c r="CI85" s="198"/>
      <c r="CJ85" s="198"/>
      <c r="CK85" s="198"/>
      <c r="CL85" s="198"/>
    </row>
    <row r="86" spans="1:90">
      <c r="A86" s="187">
        <v>81</v>
      </c>
      <c r="B86" s="190" t="s">
        <v>2486</v>
      </c>
      <c r="C86" s="190" t="s">
        <v>2487</v>
      </c>
      <c r="D86" s="190" t="s">
        <v>135</v>
      </c>
      <c r="E86" s="8" t="e">
        <f ca="1">+_xlfn.CONCAT(G86,"-",B86,"_",C86,"_",_xlfn.XLOOKUP(BP86,Account!M:M,Account!N:N))</f>
        <v>#NAME?</v>
      </c>
      <c r="F86" s="12">
        <v>45777</v>
      </c>
      <c r="G86" s="190" t="s">
        <v>2114</v>
      </c>
      <c r="H86" s="190" t="s">
        <v>2985</v>
      </c>
      <c r="I86" s="10" t="s">
        <v>2115</v>
      </c>
      <c r="J86" s="190">
        <v>11</v>
      </c>
      <c r="K86" s="190" t="s">
        <v>2486</v>
      </c>
      <c r="L86" s="190" t="s">
        <v>1263</v>
      </c>
      <c r="M86" s="190" t="s">
        <v>2489</v>
      </c>
      <c r="N86" s="10" t="s">
        <v>2986</v>
      </c>
      <c r="O86" s="178" t="s">
        <v>2987</v>
      </c>
      <c r="P86" s="178" t="s">
        <v>2988</v>
      </c>
      <c r="Q86" s="327">
        <v>6912.0389999999998</v>
      </c>
      <c r="R86" s="190">
        <v>42</v>
      </c>
      <c r="S86" s="190"/>
      <c r="T86" s="190" t="s">
        <v>2494</v>
      </c>
      <c r="U86" s="190" t="s">
        <v>2495</v>
      </c>
      <c r="V86" s="8" t="s">
        <v>2011</v>
      </c>
      <c r="W86" s="10" t="s">
        <v>2989</v>
      </c>
      <c r="X86" s="15" t="s">
        <v>2990</v>
      </c>
      <c r="Y86" s="12" t="s">
        <v>2432</v>
      </c>
      <c r="Z86" s="172">
        <v>45997</v>
      </c>
      <c r="AA86" s="172">
        <v>46004</v>
      </c>
      <c r="AB86" s="143" t="str">
        <f t="shared" ca="1" si="10"/>
        <v>Expired</v>
      </c>
      <c r="AC86" s="13"/>
      <c r="AD86" s="12">
        <v>46009</v>
      </c>
      <c r="AE86" s="12">
        <v>46009</v>
      </c>
      <c r="AF86" s="12" t="s">
        <v>2526</v>
      </c>
      <c r="AG86" s="12"/>
      <c r="AH86" s="11"/>
      <c r="AI86" s="11"/>
      <c r="AJ86" s="11"/>
      <c r="AK86" s="11"/>
      <c r="AL86" s="11"/>
      <c r="AM86" s="11"/>
      <c r="AN86" s="11"/>
      <c r="AO86" s="11" t="str">
        <f>+IF(AM86&lt;&gt;"","ATP App MS",IF(AJ86&lt;&gt;"","Inbound",IF(AH86&lt;&gt;"","Dismantle Perangkat",IF(AF86="Drop","Drop",IF(AE86&lt;&gt;"","Survey Report",IF(AD86&lt;&gt;"","Survey","NY Survey"))))))</f>
        <v>Drop</v>
      </c>
      <c r="AP86" s="173"/>
      <c r="AQ86" s="12"/>
      <c r="AR86" s="12"/>
      <c r="AS86" s="12"/>
      <c r="AT86" s="12"/>
      <c r="AU86" s="12"/>
      <c r="AV86" s="12"/>
      <c r="AW86" s="11" t="str">
        <f t="shared" si="11"/>
        <v>NY Submit</v>
      </c>
      <c r="AX86" s="12"/>
      <c r="AY86" s="12"/>
      <c r="AZ86" s="12"/>
      <c r="BA86" s="12"/>
      <c r="BB86" s="12"/>
      <c r="BC86" s="12"/>
      <c r="BD86" s="11" t="str">
        <f t="shared" si="12"/>
        <v>NY Submit</v>
      </c>
      <c r="BE86" s="174"/>
      <c r="BF86" s="12">
        <v>46009</v>
      </c>
      <c r="BG86" s="12">
        <v>46010</v>
      </c>
      <c r="BH86" s="10" t="s">
        <v>2992</v>
      </c>
      <c r="BI86" s="12">
        <v>46019</v>
      </c>
      <c r="BJ86" s="12">
        <v>46021</v>
      </c>
      <c r="BK86" s="174"/>
      <c r="BL86" s="12" t="str">
        <f t="shared" si="13"/>
        <v>Approved</v>
      </c>
      <c r="BM86" s="12" t="str">
        <f t="shared" si="14"/>
        <v>Approved</v>
      </c>
      <c r="BN86" s="12"/>
      <c r="BO86" s="12"/>
      <c r="BP86" s="155" t="s">
        <v>2011</v>
      </c>
      <c r="BQ86" s="12" t="s">
        <v>2968</v>
      </c>
      <c r="BR86" s="12">
        <v>46052</v>
      </c>
      <c r="BS86" s="143" t="str">
        <f t="shared" ca="1" si="15"/>
        <v>Drop</v>
      </c>
      <c r="BT86" s="176"/>
      <c r="BU86" s="12"/>
      <c r="BV86" s="143" t="str">
        <f t="shared" ca="1" si="16"/>
        <v>Drop</v>
      </c>
      <c r="BW86" s="12"/>
      <c r="BX86" s="12"/>
      <c r="BY86" s="143"/>
      <c r="BZ86" s="13" t="s">
        <v>2500</v>
      </c>
      <c r="CA86" s="13"/>
      <c r="CB86" s="13"/>
      <c r="CC86" s="13"/>
      <c r="CD86" s="13"/>
      <c r="CE86" s="198"/>
      <c r="CF86" s="198"/>
      <c r="CG86" s="272"/>
      <c r="CH86" s="272"/>
      <c r="CI86" s="198"/>
      <c r="CJ86" s="198"/>
      <c r="CK86" s="198"/>
      <c r="CL86" s="198"/>
    </row>
    <row r="87" spans="1:90">
      <c r="A87" s="187">
        <v>82</v>
      </c>
      <c r="B87" s="190" t="s">
        <v>2486</v>
      </c>
      <c r="C87" s="190" t="s">
        <v>2487</v>
      </c>
      <c r="D87" s="190" t="s">
        <v>135</v>
      </c>
      <c r="E87" s="8" t="e">
        <f ca="1">+_xlfn.CONCAT(G87,"-",B87,"_",C87,"_",_xlfn.XLOOKUP(BP87,Account!M:M,Account!N:N))</f>
        <v>#NAME?</v>
      </c>
      <c r="F87" s="12">
        <v>45777</v>
      </c>
      <c r="G87" s="190" t="s">
        <v>2114</v>
      </c>
      <c r="H87" s="190" t="s">
        <v>2985</v>
      </c>
      <c r="I87" s="10" t="s">
        <v>2115</v>
      </c>
      <c r="J87" s="190">
        <v>11</v>
      </c>
      <c r="K87" s="190" t="s">
        <v>2486</v>
      </c>
      <c r="L87" s="190" t="s">
        <v>1263</v>
      </c>
      <c r="M87" s="190" t="s">
        <v>2489</v>
      </c>
      <c r="N87" s="10" t="s">
        <v>2986</v>
      </c>
      <c r="O87" s="178" t="s">
        <v>2987</v>
      </c>
      <c r="P87" s="178" t="s">
        <v>2988</v>
      </c>
      <c r="Q87" s="327">
        <v>6912.0389999999998</v>
      </c>
      <c r="R87" s="190">
        <v>42</v>
      </c>
      <c r="S87" s="190"/>
      <c r="T87" s="190" t="s">
        <v>2494</v>
      </c>
      <c r="U87" s="190" t="s">
        <v>2495</v>
      </c>
      <c r="V87" s="8" t="s">
        <v>1768</v>
      </c>
      <c r="W87" s="10" t="s">
        <v>2989</v>
      </c>
      <c r="X87" s="15" t="s">
        <v>2990</v>
      </c>
      <c r="Y87" s="12" t="s">
        <v>2432</v>
      </c>
      <c r="Z87" s="172">
        <v>45997</v>
      </c>
      <c r="AA87" s="172">
        <v>46004</v>
      </c>
      <c r="AB87" s="143" t="str">
        <f t="shared" ca="1" si="10"/>
        <v>Expired</v>
      </c>
      <c r="AC87" s="13"/>
      <c r="AD87" s="12">
        <v>46009</v>
      </c>
      <c r="AE87" s="12">
        <v>46009</v>
      </c>
      <c r="AF87" s="12" t="s">
        <v>2526</v>
      </c>
      <c r="AG87" s="12"/>
      <c r="AH87" s="11"/>
      <c r="AI87" s="11"/>
      <c r="AJ87" s="11"/>
      <c r="AK87" s="11"/>
      <c r="AL87" s="11"/>
      <c r="AM87" s="11"/>
      <c r="AN87" s="11"/>
      <c r="AO87" s="11" t="str">
        <f>+IF(AM87&lt;&gt;"","ATP App MS",IF(AL87&lt;&gt;"","OA/RFS",IF(AK87&lt;&gt;"","Install",IF(AH87&lt;&gt;"","Dismantle Perangkat",IF(AF87="Drop","Drop",IF(AE87&lt;&gt;"","Survey Report",IF(AD87&lt;&gt;"","Survey","NY Survey")))))))</f>
        <v>Drop</v>
      </c>
      <c r="AP87" s="173"/>
      <c r="AQ87" s="12"/>
      <c r="AR87" s="12"/>
      <c r="AS87" s="12"/>
      <c r="AT87" s="12"/>
      <c r="AU87" s="12"/>
      <c r="AV87" s="12"/>
      <c r="AW87" s="11" t="str">
        <f t="shared" si="11"/>
        <v>NY Submit</v>
      </c>
      <c r="AX87" s="12"/>
      <c r="AY87" s="12"/>
      <c r="AZ87" s="12"/>
      <c r="BA87" s="12"/>
      <c r="BB87" s="12"/>
      <c r="BC87" s="12"/>
      <c r="BD87" s="11" t="str">
        <f t="shared" si="12"/>
        <v>NY Submit</v>
      </c>
      <c r="BE87" s="174"/>
      <c r="BF87" s="12">
        <v>46009</v>
      </c>
      <c r="BG87" s="12">
        <v>46010</v>
      </c>
      <c r="BH87" s="10" t="s">
        <v>2992</v>
      </c>
      <c r="BI87" s="12">
        <v>46019</v>
      </c>
      <c r="BJ87" s="12">
        <v>46021</v>
      </c>
      <c r="BK87" s="174"/>
      <c r="BL87" s="12" t="str">
        <f t="shared" si="13"/>
        <v>Approved</v>
      </c>
      <c r="BM87" s="12" t="str">
        <f t="shared" si="14"/>
        <v>Approved</v>
      </c>
      <c r="BN87" s="12"/>
      <c r="BO87" s="12"/>
      <c r="BP87" s="155" t="s">
        <v>1768</v>
      </c>
      <c r="BQ87" s="12" t="s">
        <v>2526</v>
      </c>
      <c r="BR87" s="12"/>
      <c r="BS87" s="143" t="str">
        <f t="shared" ca="1" si="15"/>
        <v>Drop</v>
      </c>
      <c r="BT87" s="176"/>
      <c r="BU87" s="12"/>
      <c r="BV87" s="143" t="str">
        <f t="shared" ca="1" si="16"/>
        <v>Drop</v>
      </c>
      <c r="BW87" s="12"/>
      <c r="BX87" s="12"/>
      <c r="BY87" s="143"/>
      <c r="BZ87" s="13"/>
      <c r="CA87" s="13"/>
      <c r="CB87" s="13"/>
      <c r="CC87" s="13"/>
      <c r="CD87" s="13"/>
      <c r="CE87" s="198"/>
      <c r="CF87" s="198"/>
      <c r="CG87" s="272"/>
      <c r="CH87" s="272"/>
      <c r="CI87" s="198"/>
      <c r="CJ87" s="198"/>
      <c r="CK87" s="198"/>
      <c r="CL87" s="198"/>
    </row>
    <row r="88" spans="1:90">
      <c r="A88" s="187">
        <v>83</v>
      </c>
      <c r="B88" s="190" t="s">
        <v>2486</v>
      </c>
      <c r="C88" s="190" t="s">
        <v>2487</v>
      </c>
      <c r="D88" s="190" t="s">
        <v>135</v>
      </c>
      <c r="E88" s="8" t="e">
        <f ca="1">+_xlfn.CONCAT(G88,"-",B88,"_",C88,"_",_xlfn.XLOOKUP(BP88,Account!M:M,Account!N:N))</f>
        <v>#NAME?</v>
      </c>
      <c r="F88" s="12">
        <v>45777</v>
      </c>
      <c r="G88" s="190" t="s">
        <v>1868</v>
      </c>
      <c r="H88" s="190" t="s">
        <v>2995</v>
      </c>
      <c r="I88" s="10" t="s">
        <v>1869</v>
      </c>
      <c r="J88" s="190">
        <v>18</v>
      </c>
      <c r="K88" s="190" t="s">
        <v>2038</v>
      </c>
      <c r="L88" s="6" t="s">
        <v>1293</v>
      </c>
      <c r="M88" s="190" t="s">
        <v>2996</v>
      </c>
      <c r="N88" s="10" t="s">
        <v>2997</v>
      </c>
      <c r="O88" s="178" t="s">
        <v>2998</v>
      </c>
      <c r="P88" s="178" t="s">
        <v>2999</v>
      </c>
      <c r="Q88" s="327">
        <v>26723.89</v>
      </c>
      <c r="R88" s="190">
        <v>70</v>
      </c>
      <c r="S88" s="190" t="s">
        <v>68</v>
      </c>
      <c r="T88" s="190" t="s">
        <v>2494</v>
      </c>
      <c r="U88" s="190" t="s">
        <v>2495</v>
      </c>
      <c r="V88" s="8" t="s">
        <v>1760</v>
      </c>
      <c r="W88" s="10" t="s">
        <v>3000</v>
      </c>
      <c r="X88" s="15" t="s">
        <v>3001</v>
      </c>
      <c r="Y88" s="12" t="s">
        <v>2432</v>
      </c>
      <c r="Z88" s="172">
        <v>45782</v>
      </c>
      <c r="AA88" s="172">
        <v>45789</v>
      </c>
      <c r="AB88" s="143" t="str">
        <f t="shared" ca="1" si="10"/>
        <v>Expired</v>
      </c>
      <c r="AC88" s="13"/>
      <c r="AD88" s="12">
        <v>45785</v>
      </c>
      <c r="AE88" s="12">
        <v>45785</v>
      </c>
      <c r="AF88" s="12"/>
      <c r="AG88" s="12">
        <v>46028</v>
      </c>
      <c r="AH88" s="11"/>
      <c r="AI88" s="11">
        <v>46057</v>
      </c>
      <c r="AJ88" s="11"/>
      <c r="AK88" s="11"/>
      <c r="AL88" s="11"/>
      <c r="AM88" s="11"/>
      <c r="AN88" s="11">
        <v>46058</v>
      </c>
      <c r="AO88" s="11" t="str">
        <f>+IF(AN88&lt;&gt;"","BAST",IF(AI88&lt;&gt;"","Dismantle",IF(AG88&lt;&gt;"","RFD App",IF(AF88="Drop","Drop",IF(AE88&lt;&gt;"","Survey Report",IF(AD88&lt;&gt;"","Survey","NY Survey"))))))</f>
        <v>BAST</v>
      </c>
      <c r="AP88" s="173" t="s">
        <v>3002</v>
      </c>
      <c r="AQ88" s="12">
        <v>45987</v>
      </c>
      <c r="AR88" s="12">
        <v>46001</v>
      </c>
      <c r="AS88" s="12">
        <v>46001</v>
      </c>
      <c r="AT88" s="12"/>
      <c r="AU88" s="12">
        <v>46001</v>
      </c>
      <c r="AV88" s="12">
        <v>46001</v>
      </c>
      <c r="AW88" s="11" t="str">
        <f t="shared" si="11"/>
        <v>1st BOQ App on ISAAC</v>
      </c>
      <c r="AX88" s="12"/>
      <c r="AY88" s="12"/>
      <c r="AZ88" s="12"/>
      <c r="BA88" s="12"/>
      <c r="BB88" s="12"/>
      <c r="BC88" s="12"/>
      <c r="BD88" s="11" t="str">
        <f t="shared" si="12"/>
        <v>NY Submit</v>
      </c>
      <c r="BE88" s="174"/>
      <c r="BF88" s="12">
        <v>45826</v>
      </c>
      <c r="BG88" s="12">
        <v>45832</v>
      </c>
      <c r="BH88" s="10" t="s">
        <v>3003</v>
      </c>
      <c r="BI88" s="12">
        <v>45834</v>
      </c>
      <c r="BJ88" s="12">
        <v>45849</v>
      </c>
      <c r="BK88" s="174" t="s">
        <v>3004</v>
      </c>
      <c r="BL88" s="12" t="str">
        <f t="shared" si="13"/>
        <v>Approved</v>
      </c>
      <c r="BM88" s="12" t="str">
        <f t="shared" si="14"/>
        <v>Approved</v>
      </c>
      <c r="BN88" s="12">
        <v>46059</v>
      </c>
      <c r="BO88" s="12">
        <v>46059</v>
      </c>
      <c r="BP88" s="155" t="s">
        <v>1760</v>
      </c>
      <c r="BQ88" s="12" t="s">
        <v>3005</v>
      </c>
      <c r="BR88" s="12">
        <v>46013</v>
      </c>
      <c r="BS88" s="143">
        <f t="shared" ca="1" si="15"/>
        <v>12</v>
      </c>
      <c r="BT88" s="176"/>
      <c r="BU88" s="12"/>
      <c r="BV88" s="143">
        <f t="shared" ca="1" si="16"/>
        <v>0</v>
      </c>
      <c r="BW88" s="12"/>
      <c r="BX88" s="12"/>
      <c r="BY88" s="143"/>
      <c r="BZ88" s="13" t="s">
        <v>2500</v>
      </c>
      <c r="CA88" s="13"/>
      <c r="CB88" s="13"/>
      <c r="CC88" s="13"/>
      <c r="CD88" s="13"/>
      <c r="CE88" s="198"/>
      <c r="CF88" s="198"/>
      <c r="CG88" s="272"/>
      <c r="CH88" s="272"/>
      <c r="CI88" s="198"/>
      <c r="CJ88" s="198"/>
      <c r="CK88" s="198"/>
      <c r="CL88" s="198"/>
    </row>
    <row r="89" spans="1:90">
      <c r="A89" s="187">
        <v>84</v>
      </c>
      <c r="B89" s="190" t="s">
        <v>2486</v>
      </c>
      <c r="C89" s="190" t="s">
        <v>2487</v>
      </c>
      <c r="D89" s="190" t="s">
        <v>135</v>
      </c>
      <c r="E89" s="8" t="e">
        <f ca="1">+_xlfn.CONCAT(G89,"-",B89,"_",C89,"_",_xlfn.XLOOKUP(BP89,Account!M:M,Account!N:N))</f>
        <v>#NAME?</v>
      </c>
      <c r="F89" s="12">
        <v>45777</v>
      </c>
      <c r="G89" s="190" t="s">
        <v>1868</v>
      </c>
      <c r="H89" s="190" t="s">
        <v>2995</v>
      </c>
      <c r="I89" s="10" t="s">
        <v>1869</v>
      </c>
      <c r="J89" s="190">
        <v>18</v>
      </c>
      <c r="K89" s="190" t="s">
        <v>2038</v>
      </c>
      <c r="L89" s="6" t="s">
        <v>1293</v>
      </c>
      <c r="M89" s="190" t="s">
        <v>2996</v>
      </c>
      <c r="N89" s="10" t="s">
        <v>2997</v>
      </c>
      <c r="O89" s="178" t="s">
        <v>2998</v>
      </c>
      <c r="P89" s="178" t="s">
        <v>2999</v>
      </c>
      <c r="Q89" s="327">
        <v>26723.89</v>
      </c>
      <c r="R89" s="190">
        <v>70</v>
      </c>
      <c r="S89" s="190" t="s">
        <v>68</v>
      </c>
      <c r="T89" s="190" t="s">
        <v>2494</v>
      </c>
      <c r="U89" s="190" t="s">
        <v>2495</v>
      </c>
      <c r="V89" s="8" t="s">
        <v>2011</v>
      </c>
      <c r="W89" s="10" t="s">
        <v>3000</v>
      </c>
      <c r="X89" s="15" t="s">
        <v>3001</v>
      </c>
      <c r="Y89" s="12" t="s">
        <v>2432</v>
      </c>
      <c r="Z89" s="172">
        <v>45782</v>
      </c>
      <c r="AA89" s="172">
        <v>45789</v>
      </c>
      <c r="AB89" s="143" t="str">
        <f t="shared" ca="1" si="10"/>
        <v>Expired</v>
      </c>
      <c r="AC89" s="13"/>
      <c r="AD89" s="12">
        <v>45785</v>
      </c>
      <c r="AE89" s="12">
        <v>45785</v>
      </c>
      <c r="AF89" s="12"/>
      <c r="AG89" s="12">
        <v>46028</v>
      </c>
      <c r="AH89" s="11">
        <v>46048</v>
      </c>
      <c r="AI89" s="11"/>
      <c r="AJ89" s="11"/>
      <c r="AK89" s="11"/>
      <c r="AL89" s="11"/>
      <c r="AM89" s="11">
        <v>46055</v>
      </c>
      <c r="AN89" s="11"/>
      <c r="AO89" s="11" t="str">
        <f>+IF(AM89&lt;&gt;"","ATP App MS",IF(AJ89&lt;&gt;"","Inbound",IF(AH89&lt;&gt;"","Dismantle Perangkat",IF(AF89="Drop","Drop",IF(AE89&lt;&gt;"","Survey Report",IF(AD89&lt;&gt;"","Survey","NY Survey"))))))</f>
        <v>ATP App MS</v>
      </c>
      <c r="AP89" s="173" t="s">
        <v>3006</v>
      </c>
      <c r="AQ89" s="12">
        <v>45987</v>
      </c>
      <c r="AR89" s="12">
        <v>46001</v>
      </c>
      <c r="AS89" s="12">
        <v>46001</v>
      </c>
      <c r="AT89" s="12"/>
      <c r="AU89" s="12">
        <v>46001</v>
      </c>
      <c r="AV89" s="12">
        <v>46001</v>
      </c>
      <c r="AW89" s="11" t="str">
        <f t="shared" si="11"/>
        <v>1st BOQ App on ISAAC</v>
      </c>
      <c r="AX89" s="12"/>
      <c r="AY89" s="12"/>
      <c r="AZ89" s="12"/>
      <c r="BA89" s="12"/>
      <c r="BB89" s="12"/>
      <c r="BC89" s="12"/>
      <c r="BD89" s="11" t="str">
        <f t="shared" si="12"/>
        <v>NY Submit</v>
      </c>
      <c r="BE89" s="174"/>
      <c r="BF89" s="12">
        <v>45826</v>
      </c>
      <c r="BG89" s="12">
        <v>45832</v>
      </c>
      <c r="BH89" s="10" t="s">
        <v>3003</v>
      </c>
      <c r="BI89" s="12"/>
      <c r="BJ89" s="12"/>
      <c r="BK89" s="174"/>
      <c r="BL89" s="12" t="str">
        <f t="shared" si="13"/>
        <v>Approved</v>
      </c>
      <c r="BM89" s="12" t="str">
        <f t="shared" si="14"/>
        <v>NY Submit</v>
      </c>
      <c r="BN89" s="12"/>
      <c r="BO89" s="12"/>
      <c r="BP89" s="155" t="s">
        <v>2011</v>
      </c>
      <c r="BQ89" s="12" t="s">
        <v>2718</v>
      </c>
      <c r="BR89" s="12">
        <v>46007</v>
      </c>
      <c r="BS89" s="143">
        <f t="shared" ca="1" si="15"/>
        <v>6</v>
      </c>
      <c r="BT89" s="176"/>
      <c r="BU89" s="12"/>
      <c r="BV89" s="143">
        <f t="shared" ca="1" si="16"/>
        <v>0</v>
      </c>
      <c r="BW89" s="12"/>
      <c r="BX89" s="12"/>
      <c r="BY89" s="143"/>
      <c r="BZ89" s="13" t="s">
        <v>2500</v>
      </c>
      <c r="CA89" s="13"/>
      <c r="CB89" s="13"/>
      <c r="CC89" s="13"/>
      <c r="CD89" s="13"/>
      <c r="CE89" s="198"/>
      <c r="CF89" s="198"/>
      <c r="CG89" s="272"/>
      <c r="CH89" s="272"/>
      <c r="CI89" s="198"/>
      <c r="CJ89" s="198"/>
      <c r="CK89" s="198"/>
      <c r="CL89" s="198"/>
    </row>
    <row r="90" spans="1:90" ht="120" customHeight="1">
      <c r="A90" s="187">
        <v>85</v>
      </c>
      <c r="B90" s="190" t="s">
        <v>2486</v>
      </c>
      <c r="C90" s="190" t="s">
        <v>2487</v>
      </c>
      <c r="D90" s="190" t="s">
        <v>135</v>
      </c>
      <c r="E90" s="8" t="e">
        <f ca="1">+_xlfn.CONCAT(G90,"-",B90,"_",C90,"_",_xlfn.XLOOKUP(BP90,Account!M:M,Account!N:N))</f>
        <v>#NAME?</v>
      </c>
      <c r="F90" s="12">
        <v>45777</v>
      </c>
      <c r="G90" s="190" t="s">
        <v>1868</v>
      </c>
      <c r="H90" s="190" t="s">
        <v>2995</v>
      </c>
      <c r="I90" s="10" t="s">
        <v>1869</v>
      </c>
      <c r="J90" s="190">
        <v>18</v>
      </c>
      <c r="K90" s="190" t="s">
        <v>2038</v>
      </c>
      <c r="L90" s="6" t="s">
        <v>1293</v>
      </c>
      <c r="M90" s="190" t="s">
        <v>2996</v>
      </c>
      <c r="N90" s="10" t="s">
        <v>2997</v>
      </c>
      <c r="O90" s="178" t="s">
        <v>2998</v>
      </c>
      <c r="P90" s="178" t="s">
        <v>2999</v>
      </c>
      <c r="Q90" s="327">
        <v>26723.89</v>
      </c>
      <c r="R90" s="190">
        <v>70</v>
      </c>
      <c r="S90" s="190" t="s">
        <v>68</v>
      </c>
      <c r="T90" s="190" t="s">
        <v>2494</v>
      </c>
      <c r="U90" s="190" t="s">
        <v>2495</v>
      </c>
      <c r="V90" s="8" t="s">
        <v>1768</v>
      </c>
      <c r="W90" s="10" t="s">
        <v>3000</v>
      </c>
      <c r="X90" s="15" t="s">
        <v>3001</v>
      </c>
      <c r="Y90" s="12" t="s">
        <v>2432</v>
      </c>
      <c r="Z90" s="172">
        <v>45782</v>
      </c>
      <c r="AA90" s="172">
        <v>45789</v>
      </c>
      <c r="AB90" s="143" t="str">
        <f t="shared" ca="1" si="10"/>
        <v>Expired</v>
      </c>
      <c r="AC90" s="13"/>
      <c r="AD90" s="12">
        <v>45785</v>
      </c>
      <c r="AE90" s="12">
        <v>45785</v>
      </c>
      <c r="AF90" s="12"/>
      <c r="AG90" s="12">
        <v>46028</v>
      </c>
      <c r="AH90" s="11"/>
      <c r="AI90" s="11"/>
      <c r="AJ90" s="11"/>
      <c r="AK90" s="11">
        <v>46055</v>
      </c>
      <c r="AL90" s="11">
        <v>46055</v>
      </c>
      <c r="AM90" s="11">
        <v>46055</v>
      </c>
      <c r="AN90" s="11"/>
      <c r="AO90" s="11" t="str">
        <f>+IF(AM90&lt;&gt;"","ATP App MS",IF(AL90&lt;&gt;"","OA/RFS",IF(AK90&lt;&gt;"","Install",IF(AH90&lt;&gt;"","Dismantle Perangkat",IF(AF90="Drop","Drop",IF(AE90&lt;&gt;"","Survey Report",IF(AD90&lt;&gt;"","Survey","NY Survey")))))))</f>
        <v>ATP App MS</v>
      </c>
      <c r="AP90" s="173" t="s">
        <v>3007</v>
      </c>
      <c r="AQ90" s="12">
        <v>45987</v>
      </c>
      <c r="AR90" s="12">
        <v>46001</v>
      </c>
      <c r="AS90" s="12">
        <v>46001</v>
      </c>
      <c r="AT90" s="12"/>
      <c r="AU90" s="12">
        <v>46001</v>
      </c>
      <c r="AV90" s="12">
        <v>46001</v>
      </c>
      <c r="AW90" s="11" t="str">
        <f t="shared" si="11"/>
        <v>1st BOQ App on ISAAC</v>
      </c>
      <c r="AX90" s="12">
        <v>46035</v>
      </c>
      <c r="AY90" s="12"/>
      <c r="AZ90" s="12"/>
      <c r="BA90" s="12">
        <v>46071</v>
      </c>
      <c r="BB90" s="12"/>
      <c r="BC90" s="12">
        <v>46072</v>
      </c>
      <c r="BD90" s="11" t="str">
        <f t="shared" si="12"/>
        <v>2nd BOQ App on ISAAC</v>
      </c>
      <c r="BE90" s="174"/>
      <c r="BF90" s="12">
        <v>45826</v>
      </c>
      <c r="BG90" s="12">
        <v>45832</v>
      </c>
      <c r="BH90" s="10" t="s">
        <v>3003</v>
      </c>
      <c r="BI90" s="12"/>
      <c r="BJ90" s="12"/>
      <c r="BK90" s="174"/>
      <c r="BL90" s="12" t="str">
        <f t="shared" si="13"/>
        <v>Approved</v>
      </c>
      <c r="BM90" s="12" t="str">
        <f t="shared" si="14"/>
        <v>NY Submit</v>
      </c>
      <c r="BN90" s="12"/>
      <c r="BO90" s="12"/>
      <c r="BP90" s="155" t="s">
        <v>1768</v>
      </c>
      <c r="BQ90" s="176" t="s">
        <v>3008</v>
      </c>
      <c r="BR90" s="12">
        <v>46007</v>
      </c>
      <c r="BS90" s="143">
        <f t="shared" ca="1" si="15"/>
        <v>6</v>
      </c>
      <c r="BT90" s="176" t="s">
        <v>3009</v>
      </c>
      <c r="BU90" s="12">
        <v>46007</v>
      </c>
      <c r="BV90" s="143" t="e">
        <f t="shared" ca="1" si="16"/>
        <v>#NUM!</v>
      </c>
      <c r="BW90" s="176"/>
      <c r="BX90" s="12"/>
      <c r="BY90" s="143"/>
      <c r="BZ90" s="13" t="s">
        <v>2500</v>
      </c>
      <c r="CA90" s="13"/>
      <c r="CB90" s="13"/>
      <c r="CC90" s="13"/>
      <c r="CD90" s="13"/>
      <c r="CE90" s="198" t="s">
        <v>3010</v>
      </c>
      <c r="CF90" s="198" t="s">
        <v>3011</v>
      </c>
      <c r="CG90" s="272"/>
      <c r="CH90" s="272"/>
      <c r="CI90" s="198" t="s">
        <v>3012</v>
      </c>
      <c r="CJ90" s="198"/>
      <c r="CK90" s="198"/>
      <c r="CL90" s="198"/>
    </row>
    <row r="91" spans="1:90">
      <c r="A91" s="187">
        <v>86</v>
      </c>
      <c r="B91" s="190" t="s">
        <v>2486</v>
      </c>
      <c r="C91" s="190" t="s">
        <v>2487</v>
      </c>
      <c r="D91" s="190" t="s">
        <v>135</v>
      </c>
      <c r="E91" s="8" t="e">
        <f ca="1">+_xlfn.CONCAT(G91,"-",B91,"_",C91,"_",_xlfn.XLOOKUP(BP91,Account!M:M,Account!N:N))</f>
        <v>#NAME?</v>
      </c>
      <c r="F91" s="12">
        <v>45780</v>
      </c>
      <c r="G91" s="190" t="s">
        <v>2120</v>
      </c>
      <c r="H91" s="190" t="s">
        <v>3013</v>
      </c>
      <c r="I91" s="10" t="s">
        <v>2121</v>
      </c>
      <c r="J91" s="190">
        <v>2</v>
      </c>
      <c r="K91" s="190" t="s">
        <v>2038</v>
      </c>
      <c r="L91" s="190" t="s">
        <v>2780</v>
      </c>
      <c r="M91" s="190" t="s">
        <v>3014</v>
      </c>
      <c r="N91" s="10" t="s">
        <v>3015</v>
      </c>
      <c r="O91" s="178" t="s">
        <v>3016</v>
      </c>
      <c r="P91" s="178" t="s">
        <v>3017</v>
      </c>
      <c r="Q91" s="327">
        <v>971.83</v>
      </c>
      <c r="R91" s="190">
        <v>10</v>
      </c>
      <c r="S91" s="190" t="s">
        <v>68</v>
      </c>
      <c r="T91" s="190" t="s">
        <v>2518</v>
      </c>
      <c r="U91" s="190" t="s">
        <v>2565</v>
      </c>
      <c r="V91" s="8" t="s">
        <v>1760</v>
      </c>
      <c r="W91" s="10"/>
      <c r="X91" s="15"/>
      <c r="Y91" s="12" t="s">
        <v>2432</v>
      </c>
      <c r="Z91" s="172">
        <v>45781</v>
      </c>
      <c r="AA91" s="172">
        <v>45788</v>
      </c>
      <c r="AB91" s="143" t="str">
        <f t="shared" ca="1" si="10"/>
        <v>Expired</v>
      </c>
      <c r="AC91" s="13"/>
      <c r="AD91" s="12">
        <v>45784</v>
      </c>
      <c r="AE91" s="12">
        <v>45791</v>
      </c>
      <c r="AF91" s="12"/>
      <c r="AG91" s="12">
        <v>45882</v>
      </c>
      <c r="AH91" s="11"/>
      <c r="AI91" s="11">
        <v>45938</v>
      </c>
      <c r="AJ91" s="11"/>
      <c r="AK91" s="11"/>
      <c r="AL91" s="11"/>
      <c r="AM91" s="11">
        <v>45966</v>
      </c>
      <c r="AN91" s="11">
        <v>45966</v>
      </c>
      <c r="AO91" s="11" t="str">
        <f>+IF(AN91&lt;&gt;"","BAST",IF(AI91&lt;&gt;"","Dismantle",IF(AG91&lt;&gt;"","RFD App",IF(AF91="Drop","Drop",IF(AE91&lt;&gt;"","Survey Report",IF(AD91&lt;&gt;"","Survey","NY Survey"))))))</f>
        <v>BAST</v>
      </c>
      <c r="AP91" s="173"/>
      <c r="AQ91" s="12">
        <v>46003</v>
      </c>
      <c r="AR91" s="12">
        <v>46006</v>
      </c>
      <c r="AS91" s="12">
        <v>46003</v>
      </c>
      <c r="AT91" s="12">
        <v>45663</v>
      </c>
      <c r="AU91" s="12">
        <v>46029</v>
      </c>
      <c r="AV91" s="12">
        <v>46034</v>
      </c>
      <c r="AW91" s="11" t="str">
        <f t="shared" si="11"/>
        <v>1st BOQ App on ISAAC</v>
      </c>
      <c r="AX91" s="12"/>
      <c r="AY91" s="12"/>
      <c r="AZ91" s="12"/>
      <c r="BA91" s="12"/>
      <c r="BB91" s="12"/>
      <c r="BC91" s="12"/>
      <c r="BD91" s="11" t="str">
        <f t="shared" si="12"/>
        <v>NY Submit</v>
      </c>
      <c r="BE91" s="174"/>
      <c r="BF91" s="12">
        <v>45826</v>
      </c>
      <c r="BG91" s="12">
        <v>45832</v>
      </c>
      <c r="BH91" s="10" t="s">
        <v>3018</v>
      </c>
      <c r="BI91" s="12">
        <v>45827</v>
      </c>
      <c r="BJ91" s="12">
        <v>45827</v>
      </c>
      <c r="BK91" s="174" t="s">
        <v>3019</v>
      </c>
      <c r="BL91" s="12" t="str">
        <f t="shared" si="13"/>
        <v>Approved</v>
      </c>
      <c r="BM91" s="12" t="str">
        <f t="shared" si="14"/>
        <v>Approved</v>
      </c>
      <c r="BN91" s="12">
        <v>45966</v>
      </c>
      <c r="BO91" s="12">
        <v>45971</v>
      </c>
      <c r="BP91" s="155" t="s">
        <v>1760</v>
      </c>
      <c r="BQ91" s="12" t="s">
        <v>3020</v>
      </c>
      <c r="BR91" s="12">
        <v>46035</v>
      </c>
      <c r="BS91" s="143">
        <f t="shared" ca="1" si="15"/>
        <v>1</v>
      </c>
      <c r="BT91" s="176"/>
      <c r="BU91" s="12"/>
      <c r="BV91" s="143">
        <f t="shared" ca="1" si="16"/>
        <v>0</v>
      </c>
      <c r="BW91" s="12"/>
      <c r="BX91" s="12"/>
      <c r="BY91" s="143"/>
      <c r="BZ91" s="13" t="s">
        <v>2500</v>
      </c>
      <c r="CA91" s="13"/>
      <c r="CB91" s="13"/>
      <c r="CC91" s="13"/>
      <c r="CD91" s="13"/>
      <c r="CE91" s="198" t="s">
        <v>2122</v>
      </c>
      <c r="CF91" s="198" t="s">
        <v>2123</v>
      </c>
      <c r="CG91" s="273" t="s">
        <v>3021</v>
      </c>
      <c r="CH91" s="273" t="s">
        <v>3022</v>
      </c>
      <c r="CI91" s="198"/>
      <c r="CJ91" s="198"/>
      <c r="CK91" s="198"/>
      <c r="CL91" s="198"/>
    </row>
    <row r="92" spans="1:90">
      <c r="A92" s="187">
        <v>87</v>
      </c>
      <c r="B92" s="190" t="s">
        <v>2486</v>
      </c>
      <c r="C92" s="190" t="s">
        <v>2487</v>
      </c>
      <c r="D92" s="190" t="s">
        <v>135</v>
      </c>
      <c r="E92" s="8" t="e">
        <f ca="1">+_xlfn.CONCAT(G92,"-",B92,"_",C92,"_",_xlfn.XLOOKUP(BP92,Account!M:M,Account!N:N))</f>
        <v>#NAME?</v>
      </c>
      <c r="F92" s="12">
        <v>45780</v>
      </c>
      <c r="G92" s="190" t="s">
        <v>2120</v>
      </c>
      <c r="H92" s="190" t="s">
        <v>3013</v>
      </c>
      <c r="I92" s="10" t="s">
        <v>2121</v>
      </c>
      <c r="J92" s="190">
        <v>2</v>
      </c>
      <c r="K92" s="190" t="s">
        <v>2038</v>
      </c>
      <c r="L92" s="190" t="s">
        <v>2780</v>
      </c>
      <c r="M92" s="190" t="s">
        <v>3014</v>
      </c>
      <c r="N92" s="10" t="s">
        <v>3015</v>
      </c>
      <c r="O92" s="178" t="s">
        <v>3016</v>
      </c>
      <c r="P92" s="178" t="s">
        <v>3017</v>
      </c>
      <c r="Q92" s="327">
        <v>971.83</v>
      </c>
      <c r="R92" s="190">
        <v>10</v>
      </c>
      <c r="S92" s="190" t="s">
        <v>68</v>
      </c>
      <c r="T92" s="190" t="s">
        <v>2518</v>
      </c>
      <c r="U92" s="190" t="s">
        <v>2565</v>
      </c>
      <c r="V92" s="8" t="s">
        <v>2011</v>
      </c>
      <c r="W92" s="10"/>
      <c r="X92" s="15"/>
      <c r="Y92" s="12" t="s">
        <v>2432</v>
      </c>
      <c r="Z92" s="172">
        <v>45781</v>
      </c>
      <c r="AA92" s="172">
        <v>45788</v>
      </c>
      <c r="AB92" s="143" t="str">
        <f t="shared" ca="1" si="10"/>
        <v>Expired</v>
      </c>
      <c r="AC92" s="13"/>
      <c r="AD92" s="12">
        <v>45784</v>
      </c>
      <c r="AE92" s="12">
        <v>45791</v>
      </c>
      <c r="AF92" s="12"/>
      <c r="AG92" s="12"/>
      <c r="AH92" s="11">
        <v>45938</v>
      </c>
      <c r="AI92" s="11"/>
      <c r="AJ92" s="11"/>
      <c r="AK92" s="11"/>
      <c r="AL92" s="11"/>
      <c r="AM92" s="11">
        <v>46031</v>
      </c>
      <c r="AN92" s="11">
        <v>46031</v>
      </c>
      <c r="AO92" s="11" t="str">
        <f>+IF(AM92&lt;&gt;"","ATP App MS",IF(AJ92&lt;&gt;"","Inbound",IF(AH92&lt;&gt;"","Dismantle Perangkat",IF(AF92="Drop","Drop",IF(AE92&lt;&gt;"","Survey Report",IF(AD92&lt;&gt;"","Survey","NY Survey"))))))</f>
        <v>ATP App MS</v>
      </c>
      <c r="AP92" s="173"/>
      <c r="AQ92" s="12">
        <v>46003</v>
      </c>
      <c r="AR92" s="12">
        <v>46006</v>
      </c>
      <c r="AS92" s="12">
        <v>46003</v>
      </c>
      <c r="AT92" s="12">
        <v>45663</v>
      </c>
      <c r="AU92" s="12">
        <v>46029</v>
      </c>
      <c r="AV92" s="12">
        <v>46034</v>
      </c>
      <c r="AW92" s="11" t="str">
        <f t="shared" si="11"/>
        <v>1st BOQ App on ISAAC</v>
      </c>
      <c r="AX92" s="12"/>
      <c r="AY92" s="12"/>
      <c r="AZ92" s="12"/>
      <c r="BA92" s="12"/>
      <c r="BB92" s="12"/>
      <c r="BC92" s="12"/>
      <c r="BD92" s="11" t="str">
        <f t="shared" si="12"/>
        <v>NY Submit</v>
      </c>
      <c r="BE92" s="174"/>
      <c r="BF92" s="12">
        <v>45826</v>
      </c>
      <c r="BG92" s="12">
        <v>45832</v>
      </c>
      <c r="BH92" s="10" t="s">
        <v>3018</v>
      </c>
      <c r="BI92" s="12"/>
      <c r="BJ92" s="12"/>
      <c r="BK92" s="174"/>
      <c r="BL92" s="12" t="str">
        <f t="shared" si="13"/>
        <v>Approved</v>
      </c>
      <c r="BM92" s="12" t="str">
        <f t="shared" si="14"/>
        <v>NY Submit</v>
      </c>
      <c r="BN92" s="12">
        <v>46084</v>
      </c>
      <c r="BO92" s="12">
        <v>46084</v>
      </c>
      <c r="BP92" s="155" t="s">
        <v>2011</v>
      </c>
      <c r="BQ92" s="12" t="s">
        <v>2718</v>
      </c>
      <c r="BR92" s="12">
        <v>46052</v>
      </c>
      <c r="BS92" s="143">
        <f t="shared" ca="1" si="15"/>
        <v>18</v>
      </c>
      <c r="BT92" s="176"/>
      <c r="BU92" s="12"/>
      <c r="BV92" s="143">
        <f t="shared" ca="1" si="16"/>
        <v>0</v>
      </c>
      <c r="BW92" s="12"/>
      <c r="BX92" s="12"/>
      <c r="BY92" s="143"/>
      <c r="BZ92" s="13" t="s">
        <v>2500</v>
      </c>
      <c r="CA92" s="13"/>
      <c r="CB92" s="13"/>
      <c r="CC92" s="13"/>
      <c r="CD92" s="13"/>
      <c r="CE92" s="198" t="s">
        <v>3023</v>
      </c>
      <c r="CF92" s="198" t="s">
        <v>3024</v>
      </c>
      <c r="CG92" s="273" t="s">
        <v>3021</v>
      </c>
      <c r="CH92" s="273" t="s">
        <v>3022</v>
      </c>
      <c r="CI92" s="198"/>
      <c r="CJ92" s="198"/>
      <c r="CK92" s="198"/>
      <c r="CL92" s="198"/>
    </row>
    <row r="93" spans="1:90" ht="30" customHeight="1">
      <c r="A93" s="187">
        <v>88</v>
      </c>
      <c r="B93" s="190" t="s">
        <v>2486</v>
      </c>
      <c r="C93" s="190" t="s">
        <v>2487</v>
      </c>
      <c r="D93" s="190" t="s">
        <v>135</v>
      </c>
      <c r="E93" s="8" t="e">
        <f ca="1">+_xlfn.CONCAT(G93,"-",B93,"_",C93,"_",_xlfn.XLOOKUP(BP93,Account!M:M,Account!N:N))</f>
        <v>#NAME?</v>
      </c>
      <c r="F93" s="12">
        <v>45780</v>
      </c>
      <c r="G93" s="190" t="s">
        <v>2120</v>
      </c>
      <c r="H93" s="190" t="s">
        <v>3013</v>
      </c>
      <c r="I93" s="10" t="s">
        <v>2121</v>
      </c>
      <c r="J93" s="190">
        <v>2</v>
      </c>
      <c r="K93" s="190" t="s">
        <v>2038</v>
      </c>
      <c r="L93" s="190" t="s">
        <v>2780</v>
      </c>
      <c r="M93" s="190" t="s">
        <v>3014</v>
      </c>
      <c r="N93" s="10" t="s">
        <v>3015</v>
      </c>
      <c r="O93" s="178" t="s">
        <v>3016</v>
      </c>
      <c r="P93" s="178" t="s">
        <v>3017</v>
      </c>
      <c r="Q93" s="327">
        <v>971.83</v>
      </c>
      <c r="R93" s="190">
        <v>10</v>
      </c>
      <c r="S93" s="190" t="s">
        <v>68</v>
      </c>
      <c r="T93" s="190" t="s">
        <v>2518</v>
      </c>
      <c r="U93" s="190" t="s">
        <v>2565</v>
      </c>
      <c r="V93" s="8" t="s">
        <v>1768</v>
      </c>
      <c r="W93" s="10"/>
      <c r="X93" s="15"/>
      <c r="Y93" s="12" t="s">
        <v>2432</v>
      </c>
      <c r="Z93" s="172">
        <v>45781</v>
      </c>
      <c r="AA93" s="172">
        <v>45788</v>
      </c>
      <c r="AB93" s="143" t="str">
        <f t="shared" ca="1" si="10"/>
        <v>Expired</v>
      </c>
      <c r="AC93" s="13"/>
      <c r="AD93" s="12">
        <v>45784</v>
      </c>
      <c r="AE93" s="12">
        <v>45791</v>
      </c>
      <c r="AF93" s="12"/>
      <c r="AG93" s="12"/>
      <c r="AH93" s="11"/>
      <c r="AI93" s="11"/>
      <c r="AJ93" s="11"/>
      <c r="AK93" s="11">
        <v>45947</v>
      </c>
      <c r="AL93" s="11"/>
      <c r="AM93" s="11">
        <v>46031</v>
      </c>
      <c r="AN93" s="11">
        <v>46031</v>
      </c>
      <c r="AO93" s="11" t="str">
        <f>+IF(AM93&lt;&gt;"","ATP App MS",IF(AL93&lt;&gt;"","OA/RFS",IF(AK93&lt;&gt;"","Install",IF(AH93&lt;&gt;"","Dismantle Perangkat",IF(AF93="Drop","Drop",IF(AE93&lt;&gt;"","Survey Report",IF(AD93&lt;&gt;"","Survey","NY Survey")))))))</f>
        <v>ATP App MS</v>
      </c>
      <c r="AP93" s="173"/>
      <c r="AQ93" s="12">
        <v>46003</v>
      </c>
      <c r="AR93" s="12">
        <v>46006</v>
      </c>
      <c r="AS93" s="12">
        <v>46003</v>
      </c>
      <c r="AT93" s="12">
        <v>45663</v>
      </c>
      <c r="AU93" s="12">
        <v>46029</v>
      </c>
      <c r="AV93" s="12">
        <v>46034</v>
      </c>
      <c r="AW93" s="11" t="str">
        <f t="shared" si="11"/>
        <v>1st BOQ App on ISAAC</v>
      </c>
      <c r="AX93" s="12"/>
      <c r="AY93" s="12"/>
      <c r="AZ93" s="12"/>
      <c r="BA93" s="12"/>
      <c r="BB93" s="12"/>
      <c r="BC93" s="12"/>
      <c r="BD93" s="11" t="str">
        <f t="shared" si="12"/>
        <v>NY Submit</v>
      </c>
      <c r="BE93" s="174"/>
      <c r="BF93" s="12">
        <v>45826</v>
      </c>
      <c r="BG93" s="12">
        <v>45832</v>
      </c>
      <c r="BH93" s="10" t="s">
        <v>3018</v>
      </c>
      <c r="BI93" s="12"/>
      <c r="BJ93" s="12"/>
      <c r="BK93" s="174"/>
      <c r="BL93" s="12" t="str">
        <f t="shared" si="13"/>
        <v>Approved</v>
      </c>
      <c r="BM93" s="12" t="str">
        <f t="shared" si="14"/>
        <v>NY Submit</v>
      </c>
      <c r="BN93" s="12">
        <v>46084</v>
      </c>
      <c r="BO93" s="12">
        <v>46084</v>
      </c>
      <c r="BP93" s="155" t="s">
        <v>1768</v>
      </c>
      <c r="BQ93" s="12" t="s">
        <v>3025</v>
      </c>
      <c r="BR93" s="12">
        <v>46052</v>
      </c>
      <c r="BS93" s="143">
        <f t="shared" ca="1" si="15"/>
        <v>18</v>
      </c>
      <c r="BT93" s="176"/>
      <c r="BU93" s="12"/>
      <c r="BV93" s="143">
        <f t="shared" ca="1" si="16"/>
        <v>0</v>
      </c>
      <c r="BW93" s="12"/>
      <c r="BX93" s="12"/>
      <c r="BY93" s="143"/>
      <c r="BZ93" s="13" t="s">
        <v>2500</v>
      </c>
      <c r="CA93" s="13"/>
      <c r="CB93" s="13"/>
      <c r="CC93" s="13"/>
      <c r="CD93" s="13"/>
      <c r="CE93" s="198" t="s">
        <v>3023</v>
      </c>
      <c r="CF93" s="198" t="s">
        <v>3024</v>
      </c>
      <c r="CG93" s="273" t="s">
        <v>3021</v>
      </c>
      <c r="CH93" s="273" t="s">
        <v>3022</v>
      </c>
      <c r="CI93" s="198" t="s">
        <v>3026</v>
      </c>
      <c r="CJ93" s="198"/>
      <c r="CK93" s="198"/>
      <c r="CL93" s="198"/>
    </row>
    <row r="94" spans="1:90">
      <c r="A94" s="187">
        <v>89</v>
      </c>
      <c r="B94" s="190" t="s">
        <v>2486</v>
      </c>
      <c r="C94" s="190" t="s">
        <v>2487</v>
      </c>
      <c r="D94" s="190" t="s">
        <v>135</v>
      </c>
      <c r="E94" s="8" t="e">
        <f ca="1">+_xlfn.CONCAT(G94,"-",B94,"_",C94,"_",_xlfn.XLOOKUP(BP94,Account!M:M,Account!N:N))</f>
        <v>#NAME?</v>
      </c>
      <c r="F94" s="12">
        <v>45790</v>
      </c>
      <c r="G94" s="190" t="s">
        <v>516</v>
      </c>
      <c r="H94" s="190" t="s">
        <v>3027</v>
      </c>
      <c r="I94" s="10" t="s">
        <v>1837</v>
      </c>
      <c r="J94" s="190">
        <v>18</v>
      </c>
      <c r="K94" s="190" t="s">
        <v>2486</v>
      </c>
      <c r="L94" s="190" t="s">
        <v>2971</v>
      </c>
      <c r="M94" s="190" t="s">
        <v>3028</v>
      </c>
      <c r="N94" s="10" t="s">
        <v>3029</v>
      </c>
      <c r="O94" s="178" t="s">
        <v>3030</v>
      </c>
      <c r="P94" s="178" t="s">
        <v>3031</v>
      </c>
      <c r="Q94" s="327">
        <v>3713.64</v>
      </c>
      <c r="R94" s="190">
        <v>25</v>
      </c>
      <c r="S94" s="190" t="s">
        <v>3032</v>
      </c>
      <c r="T94" s="190" t="s">
        <v>2518</v>
      </c>
      <c r="U94" s="190" t="s">
        <v>2519</v>
      </c>
      <c r="V94" s="8" t="s">
        <v>1760</v>
      </c>
      <c r="W94" s="10" t="s">
        <v>3033</v>
      </c>
      <c r="X94" s="15" t="s">
        <v>1624</v>
      </c>
      <c r="Y94" s="172" t="s">
        <v>2496</v>
      </c>
      <c r="Z94" s="172">
        <v>46034</v>
      </c>
      <c r="AA94" s="172">
        <v>46041</v>
      </c>
      <c r="AB94" s="143" t="str">
        <f t="shared" ca="1" si="10"/>
        <v>Expired</v>
      </c>
      <c r="AC94" s="13"/>
      <c r="AD94" s="12">
        <v>45793</v>
      </c>
      <c r="AE94" s="12">
        <v>45796</v>
      </c>
      <c r="AF94" s="12"/>
      <c r="AG94" s="12">
        <v>46028</v>
      </c>
      <c r="AH94" s="11"/>
      <c r="AI94" s="11">
        <v>46048</v>
      </c>
      <c r="AJ94" s="11"/>
      <c r="AK94" s="11"/>
      <c r="AL94" s="11"/>
      <c r="AM94" s="11">
        <v>46048</v>
      </c>
      <c r="AN94" s="11">
        <v>46048</v>
      </c>
      <c r="AO94" s="11" t="str">
        <f>+IF(AN94&lt;&gt;"","BAST",IF(AI94&lt;&gt;"","Dismantle",IF(AG94&lt;&gt;"","RFD App",IF(AF94="Drop","Drop",IF(AE94&lt;&gt;"","Survey Report",IF(AD94&lt;&gt;"","Survey","NY Survey"))))))</f>
        <v>BAST</v>
      </c>
      <c r="AP94" s="173" t="s">
        <v>3034</v>
      </c>
      <c r="AQ94" s="12">
        <v>45982</v>
      </c>
      <c r="AR94" s="12">
        <v>45996</v>
      </c>
      <c r="AS94" s="12">
        <v>45995</v>
      </c>
      <c r="AT94" s="12">
        <v>46118</v>
      </c>
      <c r="AU94" s="12">
        <v>45996</v>
      </c>
      <c r="AV94" s="12">
        <v>45996</v>
      </c>
      <c r="AW94" s="11" t="str">
        <f t="shared" si="11"/>
        <v>1st BOQ App on ISAAC</v>
      </c>
      <c r="AX94" s="12"/>
      <c r="AY94" s="12"/>
      <c r="AZ94" s="12"/>
      <c r="BA94" s="12"/>
      <c r="BB94" s="12"/>
      <c r="BC94" s="12"/>
      <c r="BD94" s="11" t="str">
        <f t="shared" si="12"/>
        <v>NY Submit</v>
      </c>
      <c r="BE94" s="174"/>
      <c r="BF94" s="12">
        <v>45826</v>
      </c>
      <c r="BG94" s="12">
        <v>45832</v>
      </c>
      <c r="BH94" s="10" t="s">
        <v>3035</v>
      </c>
      <c r="BI94" s="12">
        <v>45834</v>
      </c>
      <c r="BJ94" s="12">
        <v>45849</v>
      </c>
      <c r="BK94" s="174" t="s">
        <v>3036</v>
      </c>
      <c r="BL94" s="12" t="str">
        <f t="shared" si="13"/>
        <v>Approved</v>
      </c>
      <c r="BM94" s="12" t="str">
        <f t="shared" si="14"/>
        <v>Approved</v>
      </c>
      <c r="BN94" s="12">
        <v>46049</v>
      </c>
      <c r="BO94" s="12">
        <v>46050</v>
      </c>
      <c r="BP94" s="155" t="s">
        <v>1760</v>
      </c>
      <c r="BQ94" s="12" t="s">
        <v>3037</v>
      </c>
      <c r="BR94" s="12">
        <v>46008</v>
      </c>
      <c r="BS94" s="143">
        <f t="shared" ca="1" si="15"/>
        <v>12</v>
      </c>
      <c r="BT94" s="176"/>
      <c r="BU94" s="12"/>
      <c r="BV94" s="143">
        <f t="shared" ca="1" si="16"/>
        <v>0</v>
      </c>
      <c r="BW94" s="12"/>
      <c r="BX94" s="12"/>
      <c r="BY94" s="143"/>
      <c r="BZ94" s="13" t="s">
        <v>2500</v>
      </c>
      <c r="CA94" s="13"/>
      <c r="CB94" s="13"/>
      <c r="CC94" s="13"/>
      <c r="CD94" s="13"/>
      <c r="CE94" s="198"/>
      <c r="CF94" s="198"/>
      <c r="CG94" s="272"/>
      <c r="CH94" s="272"/>
      <c r="CI94" s="198"/>
      <c r="CJ94" s="198"/>
      <c r="CK94" s="198"/>
      <c r="CL94" s="198"/>
    </row>
    <row r="95" spans="1:90">
      <c r="A95" s="187">
        <v>90</v>
      </c>
      <c r="B95" s="190" t="s">
        <v>2486</v>
      </c>
      <c r="C95" s="190" t="s">
        <v>2487</v>
      </c>
      <c r="D95" s="190" t="s">
        <v>135</v>
      </c>
      <c r="E95" s="8" t="e">
        <f ca="1">+_xlfn.CONCAT(G95,"-",B95,"_",C95,"_",_xlfn.XLOOKUP(BP95,Account!M:M,Account!N:N))</f>
        <v>#NAME?</v>
      </c>
      <c r="F95" s="12">
        <v>45790</v>
      </c>
      <c r="G95" s="190" t="s">
        <v>516</v>
      </c>
      <c r="H95" s="190" t="s">
        <v>3027</v>
      </c>
      <c r="I95" s="10" t="s">
        <v>1837</v>
      </c>
      <c r="J95" s="190">
        <v>18</v>
      </c>
      <c r="K95" s="190" t="s">
        <v>2486</v>
      </c>
      <c r="L95" s="190" t="s">
        <v>2971</v>
      </c>
      <c r="M95" s="190" t="s">
        <v>3028</v>
      </c>
      <c r="N95" s="10" t="s">
        <v>3029</v>
      </c>
      <c r="O95" s="178" t="s">
        <v>3030</v>
      </c>
      <c r="P95" s="178" t="s">
        <v>3031</v>
      </c>
      <c r="Q95" s="327">
        <v>3713.64</v>
      </c>
      <c r="R95" s="190">
        <v>25</v>
      </c>
      <c r="S95" s="190" t="s">
        <v>3032</v>
      </c>
      <c r="T95" s="190" t="s">
        <v>2518</v>
      </c>
      <c r="U95" s="190" t="s">
        <v>2519</v>
      </c>
      <c r="V95" s="8" t="s">
        <v>2011</v>
      </c>
      <c r="W95" s="10" t="s">
        <v>3033</v>
      </c>
      <c r="X95" s="15" t="s">
        <v>1624</v>
      </c>
      <c r="Y95" s="172" t="s">
        <v>2496</v>
      </c>
      <c r="Z95" s="172">
        <v>46034</v>
      </c>
      <c r="AA95" s="172">
        <v>46041</v>
      </c>
      <c r="AB95" s="143" t="str">
        <f t="shared" ca="1" si="10"/>
        <v>Expired</v>
      </c>
      <c r="AC95" s="13"/>
      <c r="AD95" s="12">
        <v>45793</v>
      </c>
      <c r="AE95" s="12">
        <v>45796</v>
      </c>
      <c r="AF95" s="12"/>
      <c r="AG95" s="12"/>
      <c r="AH95" s="11">
        <v>46038</v>
      </c>
      <c r="AI95" s="11"/>
      <c r="AJ95" s="11"/>
      <c r="AK95" s="11"/>
      <c r="AL95" s="11"/>
      <c r="AM95" s="11">
        <v>46048</v>
      </c>
      <c r="AN95" s="11"/>
      <c r="AO95" s="11" t="str">
        <f>+IF(AM95&lt;&gt;"","ATP App MS",IF(AJ95&lt;&gt;"","Inbound",IF(AH95&lt;&gt;"","Dismantle Perangkat",IF(AF95="Drop","Drop",IF(AE95&lt;&gt;"","Survey Report",IF(AD95&lt;&gt;"","Survey","NY Survey"))))))</f>
        <v>ATP App MS</v>
      </c>
      <c r="AP95" s="173" t="s">
        <v>3038</v>
      </c>
      <c r="AQ95" s="12">
        <v>45982</v>
      </c>
      <c r="AR95" s="12">
        <v>45996</v>
      </c>
      <c r="AS95" s="12">
        <v>45995</v>
      </c>
      <c r="AT95" s="12">
        <v>46118</v>
      </c>
      <c r="AU95" s="12">
        <v>45996</v>
      </c>
      <c r="AV95" s="12">
        <v>45996</v>
      </c>
      <c r="AW95" s="11" t="str">
        <f t="shared" si="11"/>
        <v>1st BOQ App on ISAAC</v>
      </c>
      <c r="AX95" s="12">
        <v>46059</v>
      </c>
      <c r="AY95" s="12"/>
      <c r="AZ95" s="12"/>
      <c r="BA95" s="12">
        <v>46126</v>
      </c>
      <c r="BB95" s="12"/>
      <c r="BC95" s="12">
        <v>46136</v>
      </c>
      <c r="BD95" s="11" t="str">
        <f t="shared" si="12"/>
        <v>2nd BOQ App on ISAAC</v>
      </c>
      <c r="BE95" s="174"/>
      <c r="BF95" s="12">
        <v>45826</v>
      </c>
      <c r="BG95" s="12">
        <v>45832</v>
      </c>
      <c r="BH95" s="10" t="s">
        <v>3035</v>
      </c>
      <c r="BI95" s="12"/>
      <c r="BJ95" s="12"/>
      <c r="BK95" s="174"/>
      <c r="BL95" s="12" t="str">
        <f t="shared" si="13"/>
        <v>Approved</v>
      </c>
      <c r="BM95" s="12" t="str">
        <f t="shared" si="14"/>
        <v>NY Submit</v>
      </c>
      <c r="BN95" s="12">
        <v>46064</v>
      </c>
      <c r="BO95" s="12"/>
      <c r="BP95" s="155" t="s">
        <v>2011</v>
      </c>
      <c r="BQ95" s="12" t="s">
        <v>2718</v>
      </c>
      <c r="BR95" s="12">
        <v>46008</v>
      </c>
      <c r="BS95" s="143">
        <f t="shared" ca="1" si="15"/>
        <v>12</v>
      </c>
      <c r="BT95" s="176"/>
      <c r="BU95" s="12"/>
      <c r="BV95" s="143">
        <f t="shared" ca="1" si="16"/>
        <v>103</v>
      </c>
      <c r="BW95" s="12"/>
      <c r="BX95" s="12"/>
      <c r="BY95" s="143"/>
      <c r="BZ95" s="13" t="s">
        <v>2500</v>
      </c>
      <c r="CA95" s="13" t="s">
        <v>2555</v>
      </c>
      <c r="CB95" s="13" t="s">
        <v>2486</v>
      </c>
      <c r="CC95" s="13"/>
      <c r="CD95" s="13"/>
      <c r="CE95" s="198"/>
      <c r="CF95" s="198"/>
      <c r="CG95" s="272"/>
      <c r="CH95" s="272"/>
      <c r="CI95" s="198"/>
      <c r="CJ95" s="198"/>
      <c r="CK95" s="198"/>
      <c r="CL95" s="198"/>
    </row>
    <row r="96" spans="1:90" ht="120" customHeight="1">
      <c r="A96" s="187">
        <v>91</v>
      </c>
      <c r="B96" s="190" t="s">
        <v>2486</v>
      </c>
      <c r="C96" s="190" t="s">
        <v>2487</v>
      </c>
      <c r="D96" s="190" t="s">
        <v>135</v>
      </c>
      <c r="E96" s="8" t="e">
        <f ca="1">+_xlfn.CONCAT(G96,"-",B96,"_",C96,"_",_xlfn.XLOOKUP(BP96,Account!M:M,Account!N:N))</f>
        <v>#NAME?</v>
      </c>
      <c r="F96" s="12">
        <v>45790</v>
      </c>
      <c r="G96" s="190" t="s">
        <v>516</v>
      </c>
      <c r="H96" s="190" t="s">
        <v>3027</v>
      </c>
      <c r="I96" s="10" t="s">
        <v>1837</v>
      </c>
      <c r="J96" s="190">
        <v>18</v>
      </c>
      <c r="K96" s="190" t="s">
        <v>2486</v>
      </c>
      <c r="L96" s="190" t="s">
        <v>2971</v>
      </c>
      <c r="M96" s="190" t="s">
        <v>3028</v>
      </c>
      <c r="N96" s="198" t="s">
        <v>3029</v>
      </c>
      <c r="O96" s="178" t="s">
        <v>3030</v>
      </c>
      <c r="P96" s="178" t="s">
        <v>3031</v>
      </c>
      <c r="Q96" s="327">
        <v>3713.64</v>
      </c>
      <c r="R96" s="190">
        <v>25</v>
      </c>
      <c r="S96" s="190" t="s">
        <v>3032</v>
      </c>
      <c r="T96" s="190" t="s">
        <v>2518</v>
      </c>
      <c r="U96" s="190" t="s">
        <v>2519</v>
      </c>
      <c r="V96" s="8" t="s">
        <v>1768</v>
      </c>
      <c r="W96" s="10" t="s">
        <v>3033</v>
      </c>
      <c r="X96" s="15" t="s">
        <v>1624</v>
      </c>
      <c r="Y96" s="172" t="s">
        <v>2956</v>
      </c>
      <c r="Z96" s="172">
        <v>46034</v>
      </c>
      <c r="AA96" s="172">
        <v>46041</v>
      </c>
      <c r="AB96" s="143" t="str">
        <f t="shared" ca="1" si="10"/>
        <v>Expired</v>
      </c>
      <c r="AC96" s="13"/>
      <c r="AD96" s="12">
        <v>45793</v>
      </c>
      <c r="AE96" s="12">
        <v>45796</v>
      </c>
      <c r="AF96" s="12"/>
      <c r="AG96" s="12"/>
      <c r="AH96" s="11"/>
      <c r="AI96" s="11"/>
      <c r="AJ96" s="11"/>
      <c r="AK96" s="11">
        <v>46040</v>
      </c>
      <c r="AL96" s="11">
        <v>46042</v>
      </c>
      <c r="AM96" s="11">
        <v>46048</v>
      </c>
      <c r="AN96" s="11"/>
      <c r="AO96" s="11" t="str">
        <f>+IF(AM96&lt;&gt;"","ATP App MS",IF(AL96&lt;&gt;"","OA/RFS",IF(AK96&lt;&gt;"","Install",IF(AH96&lt;&gt;"","Dismantle Perangkat",IF(AF96="Drop","Drop",IF(AE96&lt;&gt;"","Survey Report",IF(AD96&lt;&gt;"","Survey","NY Survey")))))))</f>
        <v>ATP App MS</v>
      </c>
      <c r="AP96" s="185" t="s">
        <v>3039</v>
      </c>
      <c r="AQ96" s="12">
        <v>45982</v>
      </c>
      <c r="AR96" s="12">
        <v>45996</v>
      </c>
      <c r="AS96" s="12">
        <v>45995</v>
      </c>
      <c r="AT96" s="12">
        <v>46118</v>
      </c>
      <c r="AU96" s="12">
        <v>45996</v>
      </c>
      <c r="AV96" s="12">
        <v>45996</v>
      </c>
      <c r="AW96" s="11" t="str">
        <f t="shared" si="11"/>
        <v>1st BOQ App on ISAAC</v>
      </c>
      <c r="AX96" s="12">
        <v>46059</v>
      </c>
      <c r="AY96" s="12"/>
      <c r="AZ96" s="12"/>
      <c r="BA96" s="12">
        <v>46126</v>
      </c>
      <c r="BB96" s="12">
        <v>46136</v>
      </c>
      <c r="BC96" s="12">
        <v>46136</v>
      </c>
      <c r="BD96" s="11" t="str">
        <f t="shared" si="12"/>
        <v>2nd BOQ App on ISAAC</v>
      </c>
      <c r="BE96" s="174"/>
      <c r="BF96" s="12">
        <v>45826</v>
      </c>
      <c r="BG96" s="12">
        <v>45832</v>
      </c>
      <c r="BH96" s="10" t="s">
        <v>3035</v>
      </c>
      <c r="BI96" s="12"/>
      <c r="BJ96" s="12"/>
      <c r="BK96" s="174"/>
      <c r="BL96" s="12" t="str">
        <f t="shared" si="13"/>
        <v>Approved</v>
      </c>
      <c r="BM96" s="12" t="str">
        <f t="shared" si="14"/>
        <v>NY Submit</v>
      </c>
      <c r="BN96" s="12">
        <v>46064</v>
      </c>
      <c r="BO96" s="12"/>
      <c r="BP96" s="155" t="s">
        <v>1768</v>
      </c>
      <c r="BQ96" s="12" t="s">
        <v>3040</v>
      </c>
      <c r="BR96" s="12">
        <v>46008</v>
      </c>
      <c r="BS96" s="143">
        <f t="shared" ca="1" si="15"/>
        <v>12</v>
      </c>
      <c r="BT96" s="176" t="s">
        <v>3041</v>
      </c>
      <c r="BU96" s="12">
        <v>46230</v>
      </c>
      <c r="BV96" s="143">
        <f t="shared" ca="1" si="16"/>
        <v>94</v>
      </c>
      <c r="BW96" s="12"/>
      <c r="BX96" s="12"/>
      <c r="BY96" s="143"/>
      <c r="BZ96" s="13" t="s">
        <v>3042</v>
      </c>
      <c r="CA96" s="13" t="s">
        <v>2555</v>
      </c>
      <c r="CB96" s="13" t="s">
        <v>2486</v>
      </c>
      <c r="CC96" s="13"/>
      <c r="CD96" s="13"/>
      <c r="CE96" s="198" t="s">
        <v>3043</v>
      </c>
      <c r="CF96" s="198" t="s">
        <v>3044</v>
      </c>
      <c r="CG96" s="273" t="s">
        <v>3045</v>
      </c>
      <c r="CH96" s="273" t="s">
        <v>3046</v>
      </c>
      <c r="CI96" s="198" t="s">
        <v>3047</v>
      </c>
      <c r="CJ96" s="198" t="s">
        <v>3048</v>
      </c>
      <c r="CK96" s="198"/>
      <c r="CL96" s="198"/>
    </row>
    <row r="97" spans="1:90">
      <c r="A97" s="187">
        <v>92</v>
      </c>
      <c r="B97" s="190" t="s">
        <v>2486</v>
      </c>
      <c r="C97" s="190" t="s">
        <v>2487</v>
      </c>
      <c r="D97" s="190" t="s">
        <v>135</v>
      </c>
      <c r="E97" s="8" t="e">
        <f ca="1">+_xlfn.CONCAT(G97,"-",B97,"_",C97,"_",_xlfn.XLOOKUP(BP97,Account!M:M,Account!N:N))</f>
        <v>#NAME?</v>
      </c>
      <c r="F97" s="12">
        <v>45804</v>
      </c>
      <c r="G97" s="190" t="s">
        <v>3049</v>
      </c>
      <c r="H97" s="190" t="s">
        <v>3050</v>
      </c>
      <c r="I97" s="10" t="s">
        <v>3051</v>
      </c>
      <c r="J97" s="190">
        <v>6</v>
      </c>
      <c r="K97" s="190" t="s">
        <v>2486</v>
      </c>
      <c r="L97" s="190" t="s">
        <v>3052</v>
      </c>
      <c r="M97" s="190" t="s">
        <v>3053</v>
      </c>
      <c r="N97" s="10" t="s">
        <v>3054</v>
      </c>
      <c r="O97" s="178" t="s">
        <v>3055</v>
      </c>
      <c r="P97" s="178" t="s">
        <v>3056</v>
      </c>
      <c r="Q97" s="327">
        <v>4839.8599999999997</v>
      </c>
      <c r="R97" s="190">
        <v>20</v>
      </c>
      <c r="S97" s="190"/>
      <c r="T97" s="190" t="s">
        <v>2494</v>
      </c>
      <c r="U97" s="190" t="s">
        <v>2931</v>
      </c>
      <c r="V97" s="8" t="s">
        <v>1760</v>
      </c>
      <c r="W97" s="10"/>
      <c r="X97" s="9"/>
      <c r="Y97" s="12" t="s">
        <v>2432</v>
      </c>
      <c r="Z97" s="172">
        <v>45806</v>
      </c>
      <c r="AA97" s="172">
        <v>45812</v>
      </c>
      <c r="AB97" s="143" t="str">
        <f t="shared" ca="1" si="10"/>
        <v>Expired</v>
      </c>
      <c r="AC97" s="13"/>
      <c r="AD97" s="12">
        <v>45811</v>
      </c>
      <c r="AE97" s="12">
        <v>45813</v>
      </c>
      <c r="AF97" s="12"/>
      <c r="AG97" s="12">
        <v>45826</v>
      </c>
      <c r="AH97" s="11"/>
      <c r="AI97" s="11">
        <v>45857</v>
      </c>
      <c r="AJ97" s="11"/>
      <c r="AK97" s="11"/>
      <c r="AL97" s="11"/>
      <c r="AM97" s="11">
        <v>45857</v>
      </c>
      <c r="AN97" s="11">
        <v>45861</v>
      </c>
      <c r="AO97" s="11" t="str">
        <f t="shared" ref="AO97:AO102" si="17">+IF(AN97&lt;&gt;"","BAST",IF(AI97&lt;&gt;"","Dismantle",IF(AG97&lt;&gt;"","RFD App",IF(AF97="Drop","Drop",IF(AE97&lt;&gt;"","Survey Report",IF(AD97&lt;&gt;"","Survey","NY Survey"))))))</f>
        <v>BAST</v>
      </c>
      <c r="AP97" s="173"/>
      <c r="AQ97" s="12">
        <v>45832</v>
      </c>
      <c r="AR97" s="12">
        <v>45882</v>
      </c>
      <c r="AS97" s="12">
        <v>45834</v>
      </c>
      <c r="AT97" s="12">
        <v>45883</v>
      </c>
      <c r="AU97" s="12">
        <v>45883</v>
      </c>
      <c r="AV97" s="12">
        <v>45883</v>
      </c>
      <c r="AW97" s="11" t="str">
        <f t="shared" si="11"/>
        <v>1st BOQ App on ISAAC</v>
      </c>
      <c r="AX97" s="12"/>
      <c r="AY97" s="12"/>
      <c r="AZ97" s="12"/>
      <c r="BA97" s="12"/>
      <c r="BB97" s="12"/>
      <c r="BC97" s="12"/>
      <c r="BD97" s="11" t="str">
        <f t="shared" si="12"/>
        <v>NY Submit</v>
      </c>
      <c r="BE97" s="174"/>
      <c r="BF97" s="12">
        <v>45820</v>
      </c>
      <c r="BG97" s="12">
        <v>45825</v>
      </c>
      <c r="BH97" s="10" t="s">
        <v>3057</v>
      </c>
      <c r="BI97" s="12">
        <v>45820</v>
      </c>
      <c r="BJ97" s="12">
        <v>45821</v>
      </c>
      <c r="BK97" s="174" t="s">
        <v>3058</v>
      </c>
      <c r="BL97" s="12" t="str">
        <f t="shared" si="13"/>
        <v>Approved</v>
      </c>
      <c r="BM97" s="12" t="str">
        <f t="shared" si="14"/>
        <v>Approved</v>
      </c>
      <c r="BN97" s="12">
        <v>45861</v>
      </c>
      <c r="BO97" s="12">
        <v>45861</v>
      </c>
      <c r="BP97" s="155" t="s">
        <v>1760</v>
      </c>
      <c r="BQ97" s="12" t="s">
        <v>3059</v>
      </c>
      <c r="BR97" s="12">
        <v>45897</v>
      </c>
      <c r="BS97" s="143">
        <f t="shared" ca="1" si="15"/>
        <v>14</v>
      </c>
      <c r="BT97" s="176"/>
      <c r="BU97" s="12"/>
      <c r="BV97" s="143">
        <f t="shared" ca="1" si="16"/>
        <v>0</v>
      </c>
      <c r="BW97" s="12"/>
      <c r="BX97" s="12"/>
      <c r="BY97" s="143"/>
      <c r="BZ97" s="13" t="s">
        <v>2500</v>
      </c>
      <c r="CA97" s="13"/>
      <c r="CB97" s="13"/>
      <c r="CC97" s="13"/>
      <c r="CD97" s="13"/>
      <c r="CE97" s="198"/>
      <c r="CF97" s="198"/>
      <c r="CG97" s="272"/>
      <c r="CH97" s="272"/>
      <c r="CI97" s="198"/>
      <c r="CJ97" s="198"/>
      <c r="CK97" s="198"/>
      <c r="CL97" s="198"/>
    </row>
    <row r="98" spans="1:90">
      <c r="A98" s="187">
        <v>93</v>
      </c>
      <c r="B98" s="190" t="s">
        <v>2486</v>
      </c>
      <c r="C98" s="190" t="s">
        <v>2487</v>
      </c>
      <c r="D98" s="190" t="s">
        <v>135</v>
      </c>
      <c r="E98" s="8" t="e">
        <f ca="1">+_xlfn.CONCAT(G98,"-",B98,"_",C98,"_",_xlfn.XLOOKUP(BP98,Account!M:M,Account!N:N))</f>
        <v>#NAME?</v>
      </c>
      <c r="F98" s="12">
        <v>45804</v>
      </c>
      <c r="G98" s="190" t="s">
        <v>3060</v>
      </c>
      <c r="H98" s="190" t="s">
        <v>3061</v>
      </c>
      <c r="I98" s="10" t="s">
        <v>3062</v>
      </c>
      <c r="J98" s="190">
        <v>6</v>
      </c>
      <c r="K98" s="190" t="s">
        <v>2486</v>
      </c>
      <c r="L98" s="190" t="s">
        <v>3052</v>
      </c>
      <c r="M98" s="190" t="s">
        <v>3053</v>
      </c>
      <c r="N98" s="10" t="s">
        <v>3063</v>
      </c>
      <c r="O98" s="178" t="s">
        <v>3064</v>
      </c>
      <c r="P98" s="178" t="s">
        <v>3065</v>
      </c>
      <c r="Q98" s="327">
        <v>402.81</v>
      </c>
      <c r="R98" s="190">
        <v>9</v>
      </c>
      <c r="S98" s="190"/>
      <c r="T98" s="190" t="s">
        <v>2518</v>
      </c>
      <c r="U98" s="190" t="s">
        <v>2565</v>
      </c>
      <c r="V98" s="8" t="s">
        <v>1760</v>
      </c>
      <c r="W98" s="10"/>
      <c r="X98" s="9"/>
      <c r="Y98" s="12" t="s">
        <v>2432</v>
      </c>
      <c r="Z98" s="172">
        <v>45806</v>
      </c>
      <c r="AA98" s="172">
        <v>45812</v>
      </c>
      <c r="AB98" s="143" t="str">
        <f t="shared" ca="1" si="10"/>
        <v>Expired</v>
      </c>
      <c r="AC98" s="13"/>
      <c r="AD98" s="12">
        <v>45811</v>
      </c>
      <c r="AE98" s="12">
        <v>45813</v>
      </c>
      <c r="AF98" s="12"/>
      <c r="AG98" s="12">
        <v>45860</v>
      </c>
      <c r="AH98" s="11"/>
      <c r="AI98" s="11">
        <v>45861</v>
      </c>
      <c r="AJ98" s="11"/>
      <c r="AK98" s="11"/>
      <c r="AL98" s="11"/>
      <c r="AM98" s="11">
        <v>45861</v>
      </c>
      <c r="AN98" s="11">
        <v>45863</v>
      </c>
      <c r="AO98" s="11" t="str">
        <f t="shared" si="17"/>
        <v>BAST</v>
      </c>
      <c r="AP98" s="173"/>
      <c r="AQ98" s="12">
        <v>45832</v>
      </c>
      <c r="AR98" s="12">
        <v>45834</v>
      </c>
      <c r="AS98" s="12">
        <v>45834</v>
      </c>
      <c r="AT98" s="12"/>
      <c r="AU98" s="12">
        <v>45834</v>
      </c>
      <c r="AV98" s="12">
        <v>45834</v>
      </c>
      <c r="AW98" s="11" t="str">
        <f t="shared" si="11"/>
        <v>1st BOQ App on ISAAC</v>
      </c>
      <c r="AX98" s="12"/>
      <c r="AY98" s="12"/>
      <c r="AZ98" s="12"/>
      <c r="BA98" s="12"/>
      <c r="BB98" s="12"/>
      <c r="BC98" s="12"/>
      <c r="BD98" s="11" t="str">
        <f t="shared" si="12"/>
        <v>NY Submit</v>
      </c>
      <c r="BE98" s="174"/>
      <c r="BF98" s="12">
        <v>45820</v>
      </c>
      <c r="BG98" s="12">
        <v>45825</v>
      </c>
      <c r="BH98" s="10" t="s">
        <v>3066</v>
      </c>
      <c r="BI98" s="12">
        <v>45820</v>
      </c>
      <c r="BJ98" s="12">
        <v>45821</v>
      </c>
      <c r="BK98" s="174" t="s">
        <v>3067</v>
      </c>
      <c r="BL98" s="12" t="str">
        <f t="shared" si="13"/>
        <v>Approved</v>
      </c>
      <c r="BM98" s="12" t="str">
        <f t="shared" si="14"/>
        <v>Approved</v>
      </c>
      <c r="BN98" s="12">
        <v>45863</v>
      </c>
      <c r="BO98" s="12"/>
      <c r="BP98" s="155" t="s">
        <v>1760</v>
      </c>
      <c r="BQ98" s="12" t="s">
        <v>3068</v>
      </c>
      <c r="BR98" s="12">
        <v>45854</v>
      </c>
      <c r="BS98" s="143">
        <f t="shared" ca="1" si="15"/>
        <v>20</v>
      </c>
      <c r="BT98" s="176"/>
      <c r="BU98" s="12"/>
      <c r="BV98" s="143">
        <f t="shared" ca="1" si="16"/>
        <v>0</v>
      </c>
      <c r="BW98" s="12"/>
      <c r="BX98" s="12"/>
      <c r="BY98" s="143"/>
      <c r="BZ98" s="13" t="s">
        <v>2500</v>
      </c>
      <c r="CA98" s="13"/>
      <c r="CB98" s="13"/>
      <c r="CC98" s="13"/>
      <c r="CD98" s="13"/>
      <c r="CE98" s="198"/>
      <c r="CF98" s="198"/>
      <c r="CG98" s="272"/>
      <c r="CH98" s="272"/>
      <c r="CI98" s="198"/>
      <c r="CJ98" s="198"/>
      <c r="CK98" s="198"/>
      <c r="CL98" s="198"/>
    </row>
    <row r="99" spans="1:90">
      <c r="A99" s="187">
        <v>94</v>
      </c>
      <c r="B99" s="190" t="s">
        <v>2486</v>
      </c>
      <c r="C99" s="190" t="s">
        <v>2487</v>
      </c>
      <c r="D99" s="190" t="s">
        <v>135</v>
      </c>
      <c r="E99" s="8" t="e">
        <f ca="1">+_xlfn.CONCAT(G99,"-",B99,"_",C99,"_",_xlfn.XLOOKUP(BP99,Account!M:M,Account!N:N))</f>
        <v>#NAME?</v>
      </c>
      <c r="F99" s="12">
        <v>45804</v>
      </c>
      <c r="G99" s="190" t="s">
        <v>3069</v>
      </c>
      <c r="H99" s="190" t="s">
        <v>3070</v>
      </c>
      <c r="I99" s="10" t="s">
        <v>3071</v>
      </c>
      <c r="J99" s="190">
        <v>15</v>
      </c>
      <c r="K99" s="190" t="s">
        <v>2038</v>
      </c>
      <c r="L99" s="190" t="s">
        <v>1279</v>
      </c>
      <c r="M99" s="190" t="s">
        <v>3072</v>
      </c>
      <c r="N99" s="10" t="s">
        <v>3073</v>
      </c>
      <c r="O99" s="178" t="s">
        <v>3074</v>
      </c>
      <c r="P99" s="178" t="s">
        <v>3075</v>
      </c>
      <c r="Q99" s="327">
        <v>461.03</v>
      </c>
      <c r="R99" s="190">
        <v>6</v>
      </c>
      <c r="S99" s="190"/>
      <c r="T99" s="190" t="s">
        <v>2518</v>
      </c>
      <c r="U99" s="190" t="s">
        <v>2565</v>
      </c>
      <c r="V99" s="8" t="s">
        <v>1760</v>
      </c>
      <c r="W99" s="10"/>
      <c r="X99" s="9"/>
      <c r="Y99" s="12" t="s">
        <v>2432</v>
      </c>
      <c r="Z99" s="172">
        <v>45806</v>
      </c>
      <c r="AA99" s="172">
        <v>45812</v>
      </c>
      <c r="AB99" s="143" t="str">
        <f t="shared" ca="1" si="10"/>
        <v>Expired</v>
      </c>
      <c r="AC99" s="13"/>
      <c r="AD99" s="12">
        <v>45807</v>
      </c>
      <c r="AE99" s="12">
        <v>45810</v>
      </c>
      <c r="AF99" s="12"/>
      <c r="AG99" s="12">
        <v>45826</v>
      </c>
      <c r="AH99" s="11"/>
      <c r="AI99" s="11">
        <v>45852</v>
      </c>
      <c r="AJ99" s="11"/>
      <c r="AK99" s="11"/>
      <c r="AL99" s="11"/>
      <c r="AM99" s="11">
        <v>45852</v>
      </c>
      <c r="AN99" s="11">
        <v>45854</v>
      </c>
      <c r="AO99" s="11" t="str">
        <f t="shared" si="17"/>
        <v>BAST</v>
      </c>
      <c r="AP99" s="173"/>
      <c r="AQ99" s="12">
        <v>45832</v>
      </c>
      <c r="AR99" s="12">
        <v>45834</v>
      </c>
      <c r="AS99" s="12">
        <v>45834</v>
      </c>
      <c r="AT99" s="12"/>
      <c r="AU99" s="12">
        <v>45841</v>
      </c>
      <c r="AV99" s="12">
        <v>45842</v>
      </c>
      <c r="AW99" s="11" t="str">
        <f t="shared" si="11"/>
        <v>1st BOQ App on ISAAC</v>
      </c>
      <c r="AX99" s="12"/>
      <c r="AY99" s="12"/>
      <c r="AZ99" s="12"/>
      <c r="BA99" s="12"/>
      <c r="BB99" s="12"/>
      <c r="BC99" s="12"/>
      <c r="BD99" s="11" t="str">
        <f t="shared" si="12"/>
        <v>NY Submit</v>
      </c>
      <c r="BE99" s="174"/>
      <c r="BF99" s="12">
        <v>45820</v>
      </c>
      <c r="BG99" s="12">
        <v>45825</v>
      </c>
      <c r="BH99" s="10" t="s">
        <v>3076</v>
      </c>
      <c r="BI99" s="12">
        <v>45812</v>
      </c>
      <c r="BJ99" s="12">
        <v>45817</v>
      </c>
      <c r="BK99" s="174" t="s">
        <v>3077</v>
      </c>
      <c r="BL99" s="12" t="str">
        <f t="shared" si="13"/>
        <v>Approved</v>
      </c>
      <c r="BM99" s="12" t="str">
        <f t="shared" si="14"/>
        <v>Approved</v>
      </c>
      <c r="BN99" s="12">
        <v>45852</v>
      </c>
      <c r="BO99" s="12">
        <v>45852</v>
      </c>
      <c r="BP99" s="155" t="s">
        <v>1760</v>
      </c>
      <c r="BQ99" s="12" t="s">
        <v>3078</v>
      </c>
      <c r="BR99" s="12">
        <v>45852</v>
      </c>
      <c r="BS99" s="143">
        <f t="shared" ca="1" si="15"/>
        <v>10</v>
      </c>
      <c r="BT99" s="176"/>
      <c r="BU99" s="12"/>
      <c r="BV99" s="143">
        <f t="shared" ca="1" si="16"/>
        <v>0</v>
      </c>
      <c r="BW99" s="12"/>
      <c r="BX99" s="12"/>
      <c r="BY99" s="143"/>
      <c r="BZ99" s="13" t="s">
        <v>2500</v>
      </c>
      <c r="CA99" s="13"/>
      <c r="CB99" s="13"/>
      <c r="CC99" s="13"/>
      <c r="CD99" s="13"/>
      <c r="CE99" s="198"/>
      <c r="CF99" s="198"/>
      <c r="CG99" s="272"/>
      <c r="CH99" s="272"/>
      <c r="CI99" s="198"/>
      <c r="CJ99" s="198"/>
      <c r="CK99" s="198"/>
      <c r="CL99" s="198"/>
    </row>
    <row r="100" spans="1:90">
      <c r="A100" s="187">
        <v>95</v>
      </c>
      <c r="B100" s="190" t="s">
        <v>2486</v>
      </c>
      <c r="C100" s="190" t="s">
        <v>2487</v>
      </c>
      <c r="D100" s="190" t="s">
        <v>135</v>
      </c>
      <c r="E100" s="8" t="e">
        <f ca="1">+_xlfn.CONCAT(G100,"-",B100,"_",C100,"_",_xlfn.XLOOKUP(BP100,Account!M:M,Account!N:N))</f>
        <v>#NAME?</v>
      </c>
      <c r="F100" s="12">
        <v>45804</v>
      </c>
      <c r="G100" s="190" t="s">
        <v>3079</v>
      </c>
      <c r="H100" s="190" t="s">
        <v>3080</v>
      </c>
      <c r="I100" s="10" t="s">
        <v>3081</v>
      </c>
      <c r="J100" s="190">
        <v>13</v>
      </c>
      <c r="K100" s="190" t="s">
        <v>2038</v>
      </c>
      <c r="L100" s="190" t="s">
        <v>1279</v>
      </c>
      <c r="M100" s="190" t="s">
        <v>2884</v>
      </c>
      <c r="N100" s="10" t="s">
        <v>3082</v>
      </c>
      <c r="O100" s="178" t="s">
        <v>3083</v>
      </c>
      <c r="P100" s="178" t="s">
        <v>3084</v>
      </c>
      <c r="Q100" s="327">
        <v>7151.7240000000002</v>
      </c>
      <c r="R100" s="190">
        <v>42.5</v>
      </c>
      <c r="S100" s="190"/>
      <c r="T100" s="190" t="s">
        <v>2494</v>
      </c>
      <c r="U100" s="190" t="s">
        <v>2495</v>
      </c>
      <c r="V100" s="8" t="s">
        <v>1760</v>
      </c>
      <c r="W100" s="10"/>
      <c r="X100" s="9"/>
      <c r="Y100" s="12" t="s">
        <v>2432</v>
      </c>
      <c r="Z100" s="172">
        <v>45806</v>
      </c>
      <c r="AA100" s="172">
        <v>45812</v>
      </c>
      <c r="AB100" s="143" t="str">
        <f t="shared" ca="1" si="10"/>
        <v>Expired</v>
      </c>
      <c r="AC100" s="13"/>
      <c r="AD100" s="12">
        <v>45810</v>
      </c>
      <c r="AE100" s="12">
        <v>45812</v>
      </c>
      <c r="AF100" s="12"/>
      <c r="AG100" s="12">
        <v>45826</v>
      </c>
      <c r="AH100" s="11"/>
      <c r="AI100" s="11">
        <v>45848</v>
      </c>
      <c r="AJ100" s="11"/>
      <c r="AK100" s="11"/>
      <c r="AL100" s="11"/>
      <c r="AM100" s="11">
        <v>45852</v>
      </c>
      <c r="AN100" s="11">
        <v>45854</v>
      </c>
      <c r="AO100" s="11" t="str">
        <f t="shared" si="17"/>
        <v>BAST</v>
      </c>
      <c r="AP100" s="173"/>
      <c r="AQ100" s="12">
        <v>45832</v>
      </c>
      <c r="AR100" s="12">
        <v>45840</v>
      </c>
      <c r="AS100" s="12">
        <v>45842</v>
      </c>
      <c r="AT100" s="12">
        <v>45860</v>
      </c>
      <c r="AU100" s="12">
        <v>45874</v>
      </c>
      <c r="AV100" s="12">
        <v>45875</v>
      </c>
      <c r="AW100" s="11" t="str">
        <f t="shared" si="11"/>
        <v>1st BOQ App on ISAAC</v>
      </c>
      <c r="AX100" s="12"/>
      <c r="AY100" s="12"/>
      <c r="AZ100" s="12"/>
      <c r="BA100" s="12"/>
      <c r="BB100" s="12"/>
      <c r="BC100" s="12"/>
      <c r="BD100" s="11" t="str">
        <f t="shared" si="12"/>
        <v>NY Submit</v>
      </c>
      <c r="BE100" s="174"/>
      <c r="BF100" s="12">
        <v>45820</v>
      </c>
      <c r="BG100" s="12">
        <v>45825</v>
      </c>
      <c r="BH100" s="10" t="s">
        <v>3085</v>
      </c>
      <c r="BI100" s="12">
        <v>45812</v>
      </c>
      <c r="BJ100" s="12">
        <v>45817</v>
      </c>
      <c r="BK100" s="174" t="s">
        <v>3086</v>
      </c>
      <c r="BL100" s="12" t="str">
        <f t="shared" si="13"/>
        <v>Approved</v>
      </c>
      <c r="BM100" s="12" t="str">
        <f t="shared" si="14"/>
        <v>Approved</v>
      </c>
      <c r="BN100" s="12">
        <v>45852</v>
      </c>
      <c r="BO100" s="12">
        <v>45854</v>
      </c>
      <c r="BP100" s="155" t="s">
        <v>1760</v>
      </c>
      <c r="BQ100" s="12" t="s">
        <v>3087</v>
      </c>
      <c r="BR100" s="12">
        <v>45882</v>
      </c>
      <c r="BS100" s="143">
        <f t="shared" ca="1" si="15"/>
        <v>7</v>
      </c>
      <c r="BT100" s="176"/>
      <c r="BU100" s="12"/>
      <c r="BV100" s="143">
        <f t="shared" ca="1" si="16"/>
        <v>0</v>
      </c>
      <c r="BW100" s="12"/>
      <c r="BX100" s="12"/>
      <c r="BY100" s="143"/>
      <c r="BZ100" s="13" t="s">
        <v>2500</v>
      </c>
      <c r="CA100" s="13"/>
      <c r="CB100" s="13"/>
      <c r="CC100" s="13"/>
      <c r="CD100" s="13"/>
      <c r="CE100" s="198"/>
      <c r="CF100" s="198"/>
      <c r="CG100" s="272"/>
      <c r="CH100" s="272"/>
      <c r="CI100" s="198"/>
      <c r="CJ100" s="198"/>
      <c r="CK100" s="198"/>
      <c r="CL100" s="198"/>
    </row>
    <row r="101" spans="1:90">
      <c r="A101" s="187">
        <v>96</v>
      </c>
      <c r="B101" s="190" t="s">
        <v>2486</v>
      </c>
      <c r="C101" s="190" t="s">
        <v>2487</v>
      </c>
      <c r="D101" s="190" t="s">
        <v>135</v>
      </c>
      <c r="E101" s="8" t="e">
        <f ca="1">+_xlfn.CONCAT(G101,"-",B101,"_",C101,"_",_xlfn.XLOOKUP(BP101,Account!M:M,Account!N:N))</f>
        <v>#NAME?</v>
      </c>
      <c r="F101" s="12">
        <v>45804</v>
      </c>
      <c r="G101" s="190" t="s">
        <v>3088</v>
      </c>
      <c r="H101" s="190" t="s">
        <v>3089</v>
      </c>
      <c r="I101" s="10" t="s">
        <v>3090</v>
      </c>
      <c r="J101" s="190">
        <v>7</v>
      </c>
      <c r="K101" s="190" t="s">
        <v>2038</v>
      </c>
      <c r="L101" s="190" t="s">
        <v>2894</v>
      </c>
      <c r="M101" s="190" t="s">
        <v>2895</v>
      </c>
      <c r="N101" s="10" t="s">
        <v>3091</v>
      </c>
      <c r="O101" s="178" t="s">
        <v>3092</v>
      </c>
      <c r="P101" s="178" t="s">
        <v>3093</v>
      </c>
      <c r="Q101" s="327">
        <v>386.97</v>
      </c>
      <c r="R101" s="190">
        <v>6</v>
      </c>
      <c r="S101" s="190"/>
      <c r="T101" s="190" t="s">
        <v>2518</v>
      </c>
      <c r="U101" s="190" t="s">
        <v>2565</v>
      </c>
      <c r="V101" s="8" t="s">
        <v>1760</v>
      </c>
      <c r="W101" s="10"/>
      <c r="X101" s="9"/>
      <c r="Y101" s="12" t="s">
        <v>2432</v>
      </c>
      <c r="Z101" s="172">
        <v>45806</v>
      </c>
      <c r="AA101" s="172">
        <v>45812</v>
      </c>
      <c r="AB101" s="143" t="str">
        <f t="shared" ca="1" si="10"/>
        <v>Expired</v>
      </c>
      <c r="AC101" s="13"/>
      <c r="AD101" s="12">
        <v>45810</v>
      </c>
      <c r="AE101" s="12">
        <v>45813</v>
      </c>
      <c r="AF101" s="12"/>
      <c r="AG101" s="12">
        <v>45826</v>
      </c>
      <c r="AH101" s="11"/>
      <c r="AI101" s="11">
        <v>45842</v>
      </c>
      <c r="AJ101" s="11"/>
      <c r="AK101" s="11"/>
      <c r="AL101" s="11"/>
      <c r="AM101" s="11">
        <v>45849</v>
      </c>
      <c r="AN101" s="11">
        <v>45849</v>
      </c>
      <c r="AO101" s="11" t="str">
        <f t="shared" si="17"/>
        <v>BAST</v>
      </c>
      <c r="AP101" s="173"/>
      <c r="AQ101" s="12">
        <v>45832</v>
      </c>
      <c r="AR101" s="12">
        <v>45838</v>
      </c>
      <c r="AS101" s="12">
        <v>45838</v>
      </c>
      <c r="AT101" s="12"/>
      <c r="AU101" s="12">
        <v>45838</v>
      </c>
      <c r="AV101" s="12">
        <v>45854</v>
      </c>
      <c r="AW101" s="11" t="str">
        <f t="shared" si="11"/>
        <v>1st BOQ App on ISAAC</v>
      </c>
      <c r="AX101" s="12"/>
      <c r="AY101" s="12"/>
      <c r="AZ101" s="12"/>
      <c r="BA101" s="12"/>
      <c r="BB101" s="12"/>
      <c r="BC101" s="12"/>
      <c r="BD101" s="11" t="str">
        <f t="shared" si="12"/>
        <v>NY Submit</v>
      </c>
      <c r="BE101" s="174"/>
      <c r="BF101" s="12">
        <v>45820</v>
      </c>
      <c r="BG101" s="12">
        <v>45825</v>
      </c>
      <c r="BH101" s="10" t="s">
        <v>3094</v>
      </c>
      <c r="BI101" s="12">
        <v>45813</v>
      </c>
      <c r="BJ101" s="12">
        <v>45817</v>
      </c>
      <c r="BK101" s="174" t="s">
        <v>3095</v>
      </c>
      <c r="BL101" s="12" t="str">
        <f t="shared" si="13"/>
        <v>Approved</v>
      </c>
      <c r="BM101" s="12" t="str">
        <f t="shared" si="14"/>
        <v>Approved</v>
      </c>
      <c r="BN101" s="12">
        <v>45849</v>
      </c>
      <c r="BO101" s="12"/>
      <c r="BP101" s="155" t="s">
        <v>1760</v>
      </c>
      <c r="BQ101" s="12" t="s">
        <v>3096</v>
      </c>
      <c r="BR101" s="12">
        <v>45852</v>
      </c>
      <c r="BS101" s="143" t="e">
        <f t="shared" ca="1" si="15"/>
        <v>#NUM!</v>
      </c>
      <c r="BT101" s="176"/>
      <c r="BU101" s="12"/>
      <c r="BV101" s="143">
        <f t="shared" ca="1" si="16"/>
        <v>0</v>
      </c>
      <c r="BW101" s="12"/>
      <c r="BX101" s="12"/>
      <c r="BY101" s="143"/>
      <c r="BZ101" s="13" t="s">
        <v>2500</v>
      </c>
      <c r="CA101" s="13"/>
      <c r="CB101" s="13"/>
      <c r="CC101" s="13"/>
      <c r="CD101" s="13"/>
      <c r="CE101" s="198"/>
      <c r="CF101" s="198"/>
      <c r="CG101" s="272"/>
      <c r="CH101" s="272"/>
      <c r="CI101" s="198"/>
      <c r="CJ101" s="198"/>
      <c r="CK101" s="198"/>
      <c r="CL101" s="198"/>
    </row>
    <row r="102" spans="1:90">
      <c r="A102" s="181">
        <v>97</v>
      </c>
      <c r="B102" s="190" t="s">
        <v>2486</v>
      </c>
      <c r="C102" s="190" t="s">
        <v>2487</v>
      </c>
      <c r="D102" s="190" t="s">
        <v>135</v>
      </c>
      <c r="E102" s="8" t="e">
        <f ca="1">+_xlfn.CONCAT(G102,"-",B102,"_",C102,"_",_xlfn.XLOOKUP(BP102,Account!M:M,Account!N:N))</f>
        <v>#NAME?</v>
      </c>
      <c r="F102" s="12">
        <v>45804</v>
      </c>
      <c r="G102" s="190" t="s">
        <v>3097</v>
      </c>
      <c r="H102" s="190" t="s">
        <v>3098</v>
      </c>
      <c r="I102" s="10" t="s">
        <v>3099</v>
      </c>
      <c r="J102" s="190">
        <v>18</v>
      </c>
      <c r="K102" s="190" t="s">
        <v>2038</v>
      </c>
      <c r="L102" s="6" t="s">
        <v>1293</v>
      </c>
      <c r="M102" s="190" t="s">
        <v>3100</v>
      </c>
      <c r="N102" s="10" t="s">
        <v>3101</v>
      </c>
      <c r="O102" s="178" t="s">
        <v>3102</v>
      </c>
      <c r="P102" s="178" t="s">
        <v>3103</v>
      </c>
      <c r="Q102" s="327">
        <v>18868.812000000002</v>
      </c>
      <c r="R102" s="190">
        <v>70</v>
      </c>
      <c r="S102" s="190"/>
      <c r="T102" s="190" t="s">
        <v>2494</v>
      </c>
      <c r="U102" s="190" t="s">
        <v>2495</v>
      </c>
      <c r="V102" s="8" t="s">
        <v>1760</v>
      </c>
      <c r="W102" s="10"/>
      <c r="X102" s="9"/>
      <c r="Y102" s="12" t="s">
        <v>2432</v>
      </c>
      <c r="Z102" s="172">
        <v>45806</v>
      </c>
      <c r="AA102" s="172">
        <v>45812</v>
      </c>
      <c r="AB102" s="143" t="str">
        <f t="shared" ca="1" si="10"/>
        <v>Expired</v>
      </c>
      <c r="AC102" s="13"/>
      <c r="AD102" s="12">
        <v>45811</v>
      </c>
      <c r="AE102" s="12">
        <v>45813</v>
      </c>
      <c r="AF102" s="12" t="s">
        <v>2526</v>
      </c>
      <c r="AG102" s="12"/>
      <c r="AH102" s="11"/>
      <c r="AI102" s="11"/>
      <c r="AJ102" s="11"/>
      <c r="AK102" s="11"/>
      <c r="AL102" s="11"/>
      <c r="AM102" s="11"/>
      <c r="AN102" s="11"/>
      <c r="AO102" s="11" t="str">
        <f t="shared" si="17"/>
        <v>Drop</v>
      </c>
      <c r="AP102" s="173" t="s">
        <v>2743</v>
      </c>
      <c r="AQ102" s="12">
        <v>46125</v>
      </c>
      <c r="AR102" s="12">
        <v>46126</v>
      </c>
      <c r="AS102" s="12"/>
      <c r="AT102" s="12"/>
      <c r="AU102" s="12"/>
      <c r="AV102" s="12"/>
      <c r="AW102" s="11" t="str">
        <f t="shared" si="11"/>
        <v>1st BOQ Pass TI</v>
      </c>
      <c r="AX102" s="12"/>
      <c r="AY102" s="12"/>
      <c r="AZ102" s="12"/>
      <c r="BA102" s="12"/>
      <c r="BB102" s="12"/>
      <c r="BC102" s="12"/>
      <c r="BD102" s="11" t="str">
        <f t="shared" si="12"/>
        <v>NY Submit</v>
      </c>
      <c r="BE102" s="174"/>
      <c r="BF102" s="12">
        <v>45826</v>
      </c>
      <c r="BG102" s="12">
        <v>45832</v>
      </c>
      <c r="BH102" s="10" t="s">
        <v>3104</v>
      </c>
      <c r="BI102" s="12">
        <v>45827</v>
      </c>
      <c r="BJ102" s="12">
        <v>45832</v>
      </c>
      <c r="BK102" s="174" t="s">
        <v>3105</v>
      </c>
      <c r="BL102" s="12" t="str">
        <f t="shared" si="13"/>
        <v>Approved</v>
      </c>
      <c r="BM102" s="12" t="str">
        <f t="shared" si="14"/>
        <v>Approved</v>
      </c>
      <c r="BN102" s="12"/>
      <c r="BO102" s="12"/>
      <c r="BP102" s="155" t="s">
        <v>1760</v>
      </c>
      <c r="BQ102" s="12" t="s">
        <v>3106</v>
      </c>
      <c r="BR102" s="12"/>
      <c r="BS102" s="143" t="str">
        <f t="shared" ca="1" si="15"/>
        <v>Drop</v>
      </c>
      <c r="BT102" s="176"/>
      <c r="BU102" s="12"/>
      <c r="BV102" s="143" t="str">
        <f t="shared" ca="1" si="16"/>
        <v>Drop</v>
      </c>
      <c r="BW102" s="12"/>
      <c r="BX102" s="12"/>
      <c r="BY102" s="143"/>
      <c r="BZ102" s="13" t="s">
        <v>3107</v>
      </c>
      <c r="CA102" s="13" t="s">
        <v>2555</v>
      </c>
      <c r="CB102" s="13"/>
      <c r="CC102" s="13"/>
      <c r="CD102" s="13"/>
      <c r="CE102" s="198"/>
      <c r="CF102" s="198"/>
      <c r="CG102" s="272"/>
      <c r="CH102" s="272"/>
      <c r="CI102" s="198"/>
      <c r="CJ102" s="198"/>
      <c r="CK102" s="198"/>
      <c r="CL102" s="198"/>
    </row>
    <row r="103" spans="1:90">
      <c r="A103" s="187">
        <v>98</v>
      </c>
      <c r="B103" s="190" t="s">
        <v>2486</v>
      </c>
      <c r="C103" s="190" t="s">
        <v>2487</v>
      </c>
      <c r="D103" s="190" t="s">
        <v>135</v>
      </c>
      <c r="E103" s="8" t="e">
        <f ca="1">+_xlfn.CONCAT(G103,"-",B103,"_",C103,"_",_xlfn.XLOOKUP(BP103,Account!M:M,Account!N:N))</f>
        <v>#NAME?</v>
      </c>
      <c r="F103" s="12">
        <v>45804</v>
      </c>
      <c r="G103" s="190" t="s">
        <v>3097</v>
      </c>
      <c r="H103" s="190" t="s">
        <v>3098</v>
      </c>
      <c r="I103" s="10" t="s">
        <v>3099</v>
      </c>
      <c r="J103" s="190">
        <v>18</v>
      </c>
      <c r="K103" s="190" t="s">
        <v>2038</v>
      </c>
      <c r="L103" s="6" t="s">
        <v>1293</v>
      </c>
      <c r="M103" s="190" t="s">
        <v>3100</v>
      </c>
      <c r="N103" s="10" t="s">
        <v>3101</v>
      </c>
      <c r="O103" s="178" t="s">
        <v>3102</v>
      </c>
      <c r="P103" s="178" t="s">
        <v>3103</v>
      </c>
      <c r="Q103" s="327">
        <v>18868.812000000002</v>
      </c>
      <c r="R103" s="190">
        <v>70</v>
      </c>
      <c r="S103" s="190"/>
      <c r="T103" s="190" t="s">
        <v>2494</v>
      </c>
      <c r="U103" s="190" t="s">
        <v>2495</v>
      </c>
      <c r="V103" s="8" t="s">
        <v>2011</v>
      </c>
      <c r="W103" s="10"/>
      <c r="X103" s="9"/>
      <c r="Y103" s="12" t="s">
        <v>2432</v>
      </c>
      <c r="Z103" s="172">
        <v>45806</v>
      </c>
      <c r="AA103" s="172">
        <v>45812</v>
      </c>
      <c r="AB103" s="143" t="str">
        <f t="shared" ca="1" si="10"/>
        <v>Expired</v>
      </c>
      <c r="AC103" s="13"/>
      <c r="AD103" s="12">
        <v>45811</v>
      </c>
      <c r="AE103" s="12">
        <v>45813</v>
      </c>
      <c r="AF103" s="12" t="s">
        <v>2526</v>
      </c>
      <c r="AG103" s="12"/>
      <c r="AH103" s="11"/>
      <c r="AI103" s="11"/>
      <c r="AJ103" s="11"/>
      <c r="AK103" s="11"/>
      <c r="AL103" s="11"/>
      <c r="AM103" s="11"/>
      <c r="AN103" s="11"/>
      <c r="AO103" s="11" t="str">
        <f>+IF(AM103&lt;&gt;"","ATP App MS",IF(AJ103&lt;&gt;"","Inbound",IF(AH103&lt;&gt;"","Dismantle Perangkat",IF(AF103="Drop","Drop",IF(AE103&lt;&gt;"","Survey Report",IF(AD103&lt;&gt;"","Survey","NY Survey"))))))</f>
        <v>Drop</v>
      </c>
      <c r="AP103" s="173"/>
      <c r="AQ103" s="12"/>
      <c r="AR103" s="12"/>
      <c r="AS103" s="12"/>
      <c r="AT103" s="12"/>
      <c r="AU103" s="12"/>
      <c r="AV103" s="12"/>
      <c r="AW103" s="11" t="str">
        <f t="shared" si="11"/>
        <v>NY Submit</v>
      </c>
      <c r="AX103" s="12"/>
      <c r="AY103" s="12"/>
      <c r="AZ103" s="12"/>
      <c r="BA103" s="12"/>
      <c r="BB103" s="12"/>
      <c r="BC103" s="12"/>
      <c r="BD103" s="11" t="str">
        <f t="shared" si="12"/>
        <v>NY Submit</v>
      </c>
      <c r="BE103" s="174"/>
      <c r="BF103" s="12">
        <v>45826</v>
      </c>
      <c r="BG103" s="12">
        <v>45832</v>
      </c>
      <c r="BH103" s="10" t="s">
        <v>3104</v>
      </c>
      <c r="BI103" s="12">
        <v>45827</v>
      </c>
      <c r="BJ103" s="12">
        <v>45832</v>
      </c>
      <c r="BK103" s="174"/>
      <c r="BL103" s="12" t="str">
        <f t="shared" si="13"/>
        <v>Approved</v>
      </c>
      <c r="BM103" s="12" t="str">
        <f t="shared" si="14"/>
        <v>Approved</v>
      </c>
      <c r="BN103" s="12"/>
      <c r="BO103" s="12"/>
      <c r="BP103" s="155" t="s">
        <v>2011</v>
      </c>
      <c r="BQ103" s="12" t="s">
        <v>2526</v>
      </c>
      <c r="BR103" s="12"/>
      <c r="BS103" s="143" t="str">
        <f t="shared" ref="BS103:BS134" ca="1" si="18">IF(AO103="Drop",
"Drop",
IF(ISBLANK(AV103),
0,
IF(ISBLANK(BR103),
DATEDIF(AV103,TODAY(),"d"),
DATEDIF(AV103,BR103,"d")
)
)
)</f>
        <v>Drop</v>
      </c>
      <c r="BT103" s="176"/>
      <c r="BU103" s="12"/>
      <c r="BV103" s="143" t="str">
        <f t="shared" ref="BV103:BV134" ca="1" si="19">IF(AO103="Drop",
"Drop",
IF(ISBLANK(BC103),
0,
IF(ISBLANK(BU103),
DATEDIF(BC103,TODAY(),"d"),
DATEDIF(BC103,BU103,"d")
)
)
)</f>
        <v>Drop</v>
      </c>
      <c r="BW103" s="12"/>
      <c r="BX103" s="12"/>
      <c r="BY103" s="143"/>
      <c r="BZ103" s="13" t="s">
        <v>2526</v>
      </c>
      <c r="CA103" s="13"/>
      <c r="CB103" s="13"/>
      <c r="CC103" s="13"/>
      <c r="CD103" s="13"/>
      <c r="CE103" s="198"/>
      <c r="CF103" s="198"/>
      <c r="CG103" s="272"/>
      <c r="CH103" s="272"/>
      <c r="CI103" s="198"/>
      <c r="CJ103" s="198"/>
      <c r="CK103" s="198"/>
      <c r="CL103" s="198"/>
    </row>
    <row r="104" spans="1:90">
      <c r="A104" s="187">
        <v>99</v>
      </c>
      <c r="B104" s="190" t="s">
        <v>2486</v>
      </c>
      <c r="C104" s="190" t="s">
        <v>2487</v>
      </c>
      <c r="D104" s="190" t="s">
        <v>135</v>
      </c>
      <c r="E104" s="8" t="e">
        <f ca="1">+_xlfn.CONCAT(G104,"-",B104,"_",C104,"_",_xlfn.XLOOKUP(BP104,Account!M:M,Account!N:N))</f>
        <v>#NAME?</v>
      </c>
      <c r="F104" s="12">
        <v>45804</v>
      </c>
      <c r="G104" s="190" t="s">
        <v>3097</v>
      </c>
      <c r="H104" s="190" t="s">
        <v>3098</v>
      </c>
      <c r="I104" s="10" t="s">
        <v>3099</v>
      </c>
      <c r="J104" s="190">
        <v>18</v>
      </c>
      <c r="K104" s="190" t="s">
        <v>2038</v>
      </c>
      <c r="L104" s="6" t="s">
        <v>1293</v>
      </c>
      <c r="M104" s="190" t="s">
        <v>3100</v>
      </c>
      <c r="N104" s="10" t="s">
        <v>3101</v>
      </c>
      <c r="O104" s="178" t="s">
        <v>3102</v>
      </c>
      <c r="P104" s="178" t="s">
        <v>3103</v>
      </c>
      <c r="Q104" s="327">
        <v>18868.812000000002</v>
      </c>
      <c r="R104" s="190">
        <v>70</v>
      </c>
      <c r="S104" s="190"/>
      <c r="T104" s="190" t="s">
        <v>2494</v>
      </c>
      <c r="U104" s="190" t="s">
        <v>2495</v>
      </c>
      <c r="V104" s="8" t="s">
        <v>1768</v>
      </c>
      <c r="W104" s="10"/>
      <c r="X104" s="9"/>
      <c r="Y104" s="12" t="s">
        <v>2432</v>
      </c>
      <c r="Z104" s="172">
        <v>45806</v>
      </c>
      <c r="AA104" s="172">
        <v>45812</v>
      </c>
      <c r="AB104" s="143" t="str">
        <f t="shared" ca="1" si="10"/>
        <v>Expired</v>
      </c>
      <c r="AC104" s="13"/>
      <c r="AD104" s="12">
        <v>45811</v>
      </c>
      <c r="AE104" s="12">
        <v>45813</v>
      </c>
      <c r="AF104" s="12" t="s">
        <v>2526</v>
      </c>
      <c r="AG104" s="12"/>
      <c r="AH104" s="11"/>
      <c r="AI104" s="11"/>
      <c r="AJ104" s="11"/>
      <c r="AK104" s="11"/>
      <c r="AL104" s="11"/>
      <c r="AM104" s="11"/>
      <c r="AN104" s="11"/>
      <c r="AO104" s="11" t="str">
        <f>+IF(AM104&lt;&gt;"","ATP App MS",IF(AL104&lt;&gt;"","OA/RFS",IF(AK104&lt;&gt;"","Install",IF(AH104&lt;&gt;"","Dismantle Perangkat",IF(AF104="Drop","Drop",IF(AE104&lt;&gt;"","Survey Report",IF(AD104&lt;&gt;"","Survey","NY Survey")))))))</f>
        <v>Drop</v>
      </c>
      <c r="AP104" s="173"/>
      <c r="AQ104" s="12"/>
      <c r="AR104" s="12"/>
      <c r="AS104" s="12"/>
      <c r="AT104" s="12"/>
      <c r="AU104" s="12"/>
      <c r="AV104" s="12"/>
      <c r="AW104" s="11" t="str">
        <f t="shared" si="11"/>
        <v>NY Submit</v>
      </c>
      <c r="AX104" s="12"/>
      <c r="AY104" s="12"/>
      <c r="AZ104" s="12"/>
      <c r="BA104" s="12"/>
      <c r="BB104" s="12"/>
      <c r="BC104" s="12"/>
      <c r="BD104" s="11" t="str">
        <f t="shared" si="12"/>
        <v>NY Submit</v>
      </c>
      <c r="BE104" s="174"/>
      <c r="BF104" s="12">
        <v>45826</v>
      </c>
      <c r="BG104" s="12">
        <v>45832</v>
      </c>
      <c r="BH104" s="10" t="s">
        <v>3104</v>
      </c>
      <c r="BI104" s="12">
        <v>45827</v>
      </c>
      <c r="BJ104" s="12">
        <v>45832</v>
      </c>
      <c r="BK104" s="174"/>
      <c r="BL104" s="12" t="str">
        <f t="shared" si="13"/>
        <v>Approved</v>
      </c>
      <c r="BM104" s="12" t="str">
        <f t="shared" si="14"/>
        <v>Approved</v>
      </c>
      <c r="BN104" s="12"/>
      <c r="BO104" s="12"/>
      <c r="BP104" s="155" t="s">
        <v>1768</v>
      </c>
      <c r="BQ104" s="12" t="s">
        <v>2526</v>
      </c>
      <c r="BR104" s="12"/>
      <c r="BS104" s="143" t="str">
        <f t="shared" ca="1" si="18"/>
        <v>Drop</v>
      </c>
      <c r="BT104" s="176"/>
      <c r="BU104" s="12"/>
      <c r="BV104" s="143" t="str">
        <f t="shared" ca="1" si="19"/>
        <v>Drop</v>
      </c>
      <c r="BW104" s="12"/>
      <c r="BX104" s="12"/>
      <c r="BY104" s="143"/>
      <c r="BZ104" s="13" t="s">
        <v>2526</v>
      </c>
      <c r="CA104" s="13"/>
      <c r="CB104" s="13"/>
      <c r="CC104" s="13"/>
      <c r="CD104" s="13"/>
      <c r="CE104" s="198"/>
      <c r="CF104" s="198"/>
      <c r="CG104" s="272"/>
      <c r="CH104" s="272"/>
      <c r="CI104" s="198"/>
      <c r="CJ104" s="198"/>
      <c r="CK104" s="198"/>
      <c r="CL104" s="198"/>
    </row>
    <row r="105" spans="1:90">
      <c r="A105" s="187">
        <v>100</v>
      </c>
      <c r="B105" s="190" t="s">
        <v>2486</v>
      </c>
      <c r="C105" s="190" t="s">
        <v>2487</v>
      </c>
      <c r="D105" s="190" t="s">
        <v>135</v>
      </c>
      <c r="E105" s="8" t="e">
        <f ca="1">+_xlfn.CONCAT(G105,"-",B105,"_",C105,"_",_xlfn.XLOOKUP(BP105,Account!M:M,Account!N:N))</f>
        <v>#NAME?</v>
      </c>
      <c r="F105" s="12">
        <v>45819</v>
      </c>
      <c r="G105" s="190" t="s">
        <v>1841</v>
      </c>
      <c r="H105" s="190" t="s">
        <v>3108</v>
      </c>
      <c r="I105" s="10" t="s">
        <v>1842</v>
      </c>
      <c r="J105" s="190">
        <v>2</v>
      </c>
      <c r="K105" s="190" t="s">
        <v>2038</v>
      </c>
      <c r="L105" s="190" t="s">
        <v>2780</v>
      </c>
      <c r="M105" s="190" t="s">
        <v>3014</v>
      </c>
      <c r="N105" s="10" t="s">
        <v>3109</v>
      </c>
      <c r="O105" s="178" t="s">
        <v>3110</v>
      </c>
      <c r="P105" s="178" t="s">
        <v>3111</v>
      </c>
      <c r="Q105" s="327">
        <v>8236.6560000000009</v>
      </c>
      <c r="R105" s="190">
        <v>40</v>
      </c>
      <c r="S105" s="190" t="s">
        <v>3112</v>
      </c>
      <c r="T105" s="190" t="s">
        <v>2494</v>
      </c>
      <c r="U105" s="190" t="s">
        <v>2495</v>
      </c>
      <c r="V105" s="8" t="s">
        <v>1760</v>
      </c>
      <c r="W105" s="10" t="s">
        <v>2556</v>
      </c>
      <c r="X105" s="9"/>
      <c r="Y105" s="12" t="s">
        <v>2432</v>
      </c>
      <c r="Z105" s="172">
        <v>45820</v>
      </c>
      <c r="AA105" s="172">
        <v>45827</v>
      </c>
      <c r="AB105" s="143" t="str">
        <f t="shared" ca="1" si="10"/>
        <v>Expired</v>
      </c>
      <c r="AC105" s="13"/>
      <c r="AD105" s="12">
        <v>45829</v>
      </c>
      <c r="AE105" s="12">
        <v>45834</v>
      </c>
      <c r="AF105" s="12"/>
      <c r="AG105" s="12">
        <v>46003</v>
      </c>
      <c r="AH105" s="11"/>
      <c r="AI105" s="11">
        <v>46020</v>
      </c>
      <c r="AJ105" s="11"/>
      <c r="AK105" s="11"/>
      <c r="AL105" s="11"/>
      <c r="AM105" s="11">
        <v>46021</v>
      </c>
      <c r="AN105" s="11">
        <v>46021</v>
      </c>
      <c r="AO105" s="11" t="str">
        <f>+IF(AN105&lt;&gt;"","BAST",IF(AI105&lt;&gt;"","Dismantle",IF(AG105&lt;&gt;"","RFD App",IF(AF105="Drop","Drop",IF(AE105&lt;&gt;"","Survey Report",IF(AD105&lt;&gt;"","Survey","NY Survey"))))))</f>
        <v>BAST</v>
      </c>
      <c r="AP105" s="173"/>
      <c r="AQ105" s="12">
        <v>45985</v>
      </c>
      <c r="AR105" s="12"/>
      <c r="AS105" s="12">
        <v>45994</v>
      </c>
      <c r="AT105" s="12"/>
      <c r="AU105" s="12">
        <v>46055</v>
      </c>
      <c r="AV105" s="12">
        <v>46055</v>
      </c>
      <c r="AW105" s="11" t="str">
        <f t="shared" si="11"/>
        <v>1st BOQ App on ISAAC</v>
      </c>
      <c r="AX105" s="12"/>
      <c r="AY105" s="12"/>
      <c r="AZ105" s="12"/>
      <c r="BA105" s="12"/>
      <c r="BB105" s="12"/>
      <c r="BC105" s="12"/>
      <c r="BD105" s="11" t="str">
        <f t="shared" si="12"/>
        <v>NY Submit</v>
      </c>
      <c r="BE105" s="171" t="s">
        <v>3113</v>
      </c>
      <c r="BF105" s="12">
        <v>45841</v>
      </c>
      <c r="BG105" s="12">
        <v>45845</v>
      </c>
      <c r="BH105" s="10" t="s">
        <v>3114</v>
      </c>
      <c r="BI105" s="12">
        <v>45841</v>
      </c>
      <c r="BJ105" s="12">
        <v>45842</v>
      </c>
      <c r="BK105" s="174" t="s">
        <v>3115</v>
      </c>
      <c r="BL105" s="12" t="str">
        <f t="shared" si="13"/>
        <v>Approved</v>
      </c>
      <c r="BM105" s="12" t="str">
        <f t="shared" si="14"/>
        <v>Approved</v>
      </c>
      <c r="BN105" s="12">
        <v>46022</v>
      </c>
      <c r="BO105" s="12">
        <v>46022</v>
      </c>
      <c r="BP105" s="155" t="s">
        <v>1760</v>
      </c>
      <c r="BQ105" s="12" t="s">
        <v>3116</v>
      </c>
      <c r="BR105" s="12">
        <v>46063</v>
      </c>
      <c r="BS105" s="143">
        <f t="shared" ca="1" si="18"/>
        <v>8</v>
      </c>
      <c r="BT105" s="176"/>
      <c r="BU105" s="12"/>
      <c r="BV105" s="143">
        <f t="shared" ca="1" si="19"/>
        <v>0</v>
      </c>
      <c r="BW105" s="12"/>
      <c r="BX105" s="12"/>
      <c r="BY105" s="143"/>
      <c r="BZ105" s="13" t="s">
        <v>2500</v>
      </c>
      <c r="CA105" s="13"/>
      <c r="CB105" s="13"/>
      <c r="CC105" s="13"/>
      <c r="CD105" s="13"/>
      <c r="CE105" s="198"/>
      <c r="CF105" s="198"/>
      <c r="CG105" s="272"/>
      <c r="CH105" s="272"/>
      <c r="CI105" s="198"/>
      <c r="CJ105" s="198"/>
      <c r="CK105" s="198"/>
      <c r="CL105" s="198"/>
    </row>
    <row r="106" spans="1:90">
      <c r="A106" s="187">
        <v>101</v>
      </c>
      <c r="B106" s="190" t="s">
        <v>2486</v>
      </c>
      <c r="C106" s="190" t="s">
        <v>2487</v>
      </c>
      <c r="D106" s="190" t="s">
        <v>135</v>
      </c>
      <c r="E106" s="8" t="e">
        <f ca="1">+_xlfn.CONCAT(G106,"-",B106,"_",C106,"_",_xlfn.XLOOKUP(BP106,Account!M:M,Account!N:N))</f>
        <v>#NAME?</v>
      </c>
      <c r="F106" s="12">
        <v>45819</v>
      </c>
      <c r="G106" s="190" t="s">
        <v>1841</v>
      </c>
      <c r="H106" s="190" t="s">
        <v>3108</v>
      </c>
      <c r="I106" s="10" t="s">
        <v>1842</v>
      </c>
      <c r="J106" s="190">
        <v>2</v>
      </c>
      <c r="K106" s="190" t="s">
        <v>2038</v>
      </c>
      <c r="L106" s="190" t="s">
        <v>2780</v>
      </c>
      <c r="M106" s="190" t="s">
        <v>3014</v>
      </c>
      <c r="N106" s="10" t="s">
        <v>3109</v>
      </c>
      <c r="O106" s="178" t="s">
        <v>3110</v>
      </c>
      <c r="P106" s="178" t="s">
        <v>3111</v>
      </c>
      <c r="Q106" s="327">
        <v>8236.6560000000009</v>
      </c>
      <c r="R106" s="190">
        <v>40</v>
      </c>
      <c r="S106" s="190" t="s">
        <v>3112</v>
      </c>
      <c r="T106" s="190" t="s">
        <v>2494</v>
      </c>
      <c r="U106" s="190" t="s">
        <v>2495</v>
      </c>
      <c r="V106" s="8" t="s">
        <v>2011</v>
      </c>
      <c r="W106" s="10" t="s">
        <v>2556</v>
      </c>
      <c r="X106" s="9"/>
      <c r="Y106" s="12" t="s">
        <v>2432</v>
      </c>
      <c r="Z106" s="172">
        <v>45820</v>
      </c>
      <c r="AA106" s="172">
        <v>45827</v>
      </c>
      <c r="AB106" s="143" t="str">
        <f t="shared" ca="1" si="10"/>
        <v>Expired</v>
      </c>
      <c r="AC106" s="13"/>
      <c r="AD106" s="12">
        <v>45829</v>
      </c>
      <c r="AE106" s="12">
        <v>45834</v>
      </c>
      <c r="AF106" s="12"/>
      <c r="AG106" s="12">
        <v>46003</v>
      </c>
      <c r="AH106" s="11">
        <v>46007</v>
      </c>
      <c r="AI106" s="11"/>
      <c r="AJ106" s="11"/>
      <c r="AK106" s="11"/>
      <c r="AL106" s="11"/>
      <c r="AM106" s="11">
        <v>46018</v>
      </c>
      <c r="AN106" s="11"/>
      <c r="AO106" s="11" t="str">
        <f>+IF(AM106&lt;&gt;"","ATP App MS",IF(AJ106&lt;&gt;"","Inbound",IF(AH106&lt;&gt;"","Dismantle Perangkat",IF(AF106="Drop","Drop",IF(AE106&lt;&gt;"","Survey Report",IF(AD106&lt;&gt;"","Survey","NY Survey"))))))</f>
        <v>ATP App MS</v>
      </c>
      <c r="AP106" s="173" t="s">
        <v>3117</v>
      </c>
      <c r="AQ106" s="12">
        <v>45985</v>
      </c>
      <c r="AR106" s="12"/>
      <c r="AS106" s="12">
        <v>45994</v>
      </c>
      <c r="AT106" s="12"/>
      <c r="AU106" s="12">
        <v>46055</v>
      </c>
      <c r="AV106" s="12">
        <v>46055</v>
      </c>
      <c r="AW106" s="11" t="str">
        <f t="shared" si="11"/>
        <v>1st BOQ App on ISAAC</v>
      </c>
      <c r="AX106" s="12"/>
      <c r="AY106" s="12"/>
      <c r="AZ106" s="12"/>
      <c r="BA106" s="12"/>
      <c r="BB106" s="12"/>
      <c r="BC106" s="12"/>
      <c r="BD106" s="11" t="str">
        <f t="shared" si="12"/>
        <v>NY Submit</v>
      </c>
      <c r="BE106" s="174"/>
      <c r="BF106" s="12">
        <v>45841</v>
      </c>
      <c r="BG106" s="12">
        <v>45845</v>
      </c>
      <c r="BH106" s="10" t="s">
        <v>3114</v>
      </c>
      <c r="BI106" s="12">
        <v>45841</v>
      </c>
      <c r="BJ106" s="12">
        <v>45842</v>
      </c>
      <c r="BK106" s="174"/>
      <c r="BL106" s="12" t="str">
        <f t="shared" si="13"/>
        <v>Approved</v>
      </c>
      <c r="BM106" s="12" t="str">
        <f t="shared" si="14"/>
        <v>Approved</v>
      </c>
      <c r="BN106" s="12">
        <v>46052</v>
      </c>
      <c r="BO106" s="12"/>
      <c r="BP106" s="155" t="s">
        <v>2011</v>
      </c>
      <c r="BQ106" s="12" t="s">
        <v>2718</v>
      </c>
      <c r="BR106" s="12">
        <v>46063</v>
      </c>
      <c r="BS106" s="143">
        <f t="shared" ca="1" si="18"/>
        <v>8</v>
      </c>
      <c r="BT106" s="176"/>
      <c r="BU106" s="12"/>
      <c r="BV106" s="143">
        <f t="shared" ca="1" si="19"/>
        <v>0</v>
      </c>
      <c r="BW106" s="12"/>
      <c r="BX106" s="12"/>
      <c r="BY106" s="143"/>
      <c r="BZ106" s="13" t="s">
        <v>2500</v>
      </c>
      <c r="CA106" s="13"/>
      <c r="CB106" s="13"/>
      <c r="CC106" s="13"/>
      <c r="CD106" s="13"/>
      <c r="CE106" s="198"/>
      <c r="CF106" s="198"/>
      <c r="CG106" s="272"/>
      <c r="CH106" s="272"/>
      <c r="CI106" s="198"/>
      <c r="CJ106" s="198"/>
      <c r="CK106" s="198"/>
      <c r="CL106" s="198"/>
    </row>
    <row r="107" spans="1:90" ht="45" customHeight="1">
      <c r="A107" s="187">
        <v>102</v>
      </c>
      <c r="B107" s="190" t="s">
        <v>2486</v>
      </c>
      <c r="C107" s="190" t="s">
        <v>2487</v>
      </c>
      <c r="D107" s="190" t="s">
        <v>135</v>
      </c>
      <c r="E107" s="8" t="e">
        <f ca="1">+_xlfn.CONCAT(G107,"-",B107,"_",C107,"_",_xlfn.XLOOKUP(BP107,Account!M:M,Account!N:N))</f>
        <v>#NAME?</v>
      </c>
      <c r="F107" s="12">
        <v>45819</v>
      </c>
      <c r="G107" s="190" t="s">
        <v>1841</v>
      </c>
      <c r="H107" s="190" t="s">
        <v>3108</v>
      </c>
      <c r="I107" s="10" t="s">
        <v>1842</v>
      </c>
      <c r="J107" s="190">
        <v>2</v>
      </c>
      <c r="K107" s="190" t="s">
        <v>2038</v>
      </c>
      <c r="L107" s="190" t="s">
        <v>2780</v>
      </c>
      <c r="M107" s="190" t="s">
        <v>3014</v>
      </c>
      <c r="N107" s="10" t="s">
        <v>3109</v>
      </c>
      <c r="O107" s="178" t="s">
        <v>3110</v>
      </c>
      <c r="P107" s="178" t="s">
        <v>3111</v>
      </c>
      <c r="Q107" s="327">
        <v>8236.6560000000009</v>
      </c>
      <c r="R107" s="190">
        <v>40</v>
      </c>
      <c r="S107" s="190" t="s">
        <v>3112</v>
      </c>
      <c r="T107" s="190" t="s">
        <v>2494</v>
      </c>
      <c r="U107" s="190" t="s">
        <v>2495</v>
      </c>
      <c r="V107" s="8" t="s">
        <v>1768</v>
      </c>
      <c r="W107" s="10" t="s">
        <v>2556</v>
      </c>
      <c r="X107" s="9"/>
      <c r="Y107" s="12" t="s">
        <v>2432</v>
      </c>
      <c r="Z107" s="172">
        <v>45820</v>
      </c>
      <c r="AA107" s="172">
        <v>45827</v>
      </c>
      <c r="AB107" s="143" t="str">
        <f t="shared" ca="1" si="10"/>
        <v>Expired</v>
      </c>
      <c r="AC107" s="13"/>
      <c r="AD107" s="12">
        <v>45829</v>
      </c>
      <c r="AE107" s="12">
        <v>45834</v>
      </c>
      <c r="AF107" s="12"/>
      <c r="AG107" s="12">
        <v>46003</v>
      </c>
      <c r="AH107" s="11"/>
      <c r="AI107" s="11"/>
      <c r="AJ107" s="11"/>
      <c r="AK107" s="11"/>
      <c r="AL107" s="11">
        <v>46015</v>
      </c>
      <c r="AM107" s="11">
        <v>46018</v>
      </c>
      <c r="AN107" s="11"/>
      <c r="AO107" s="11" t="str">
        <f>+IF(AM107&lt;&gt;"","ATP App MS",IF(AL107&lt;&gt;"","OA/RFS",IF(AK107&lt;&gt;"","Install",IF(AH107&lt;&gt;"","Dismantle Perangkat",IF(AF107="Drop","Drop",IF(AE107&lt;&gt;"","Survey Report",IF(AD107&lt;&gt;"","Survey","NY Survey")))))))</f>
        <v>ATP App MS</v>
      </c>
      <c r="AP107" s="207" t="s">
        <v>3118</v>
      </c>
      <c r="AQ107" s="12">
        <v>45985</v>
      </c>
      <c r="AR107" s="12"/>
      <c r="AS107" s="12">
        <v>45994</v>
      </c>
      <c r="AT107" s="12"/>
      <c r="AU107" s="12">
        <v>46055</v>
      </c>
      <c r="AV107" s="12">
        <v>46055</v>
      </c>
      <c r="AW107" s="11" t="str">
        <f t="shared" si="11"/>
        <v>1st BOQ App on ISAAC</v>
      </c>
      <c r="AX107" s="12"/>
      <c r="AY107" s="12"/>
      <c r="AZ107" s="12"/>
      <c r="BA107" s="12"/>
      <c r="BB107" s="12"/>
      <c r="BC107" s="12"/>
      <c r="BD107" s="11" t="str">
        <f t="shared" si="12"/>
        <v>NY Submit</v>
      </c>
      <c r="BE107" s="174"/>
      <c r="BF107" s="12">
        <v>45841</v>
      </c>
      <c r="BG107" s="12">
        <v>45845</v>
      </c>
      <c r="BH107" s="10" t="s">
        <v>3114</v>
      </c>
      <c r="BI107" s="12">
        <v>45841</v>
      </c>
      <c r="BJ107" s="12">
        <v>45842</v>
      </c>
      <c r="BK107" s="174"/>
      <c r="BL107" s="12" t="str">
        <f t="shared" si="13"/>
        <v>Approved</v>
      </c>
      <c r="BM107" s="12" t="str">
        <f t="shared" si="14"/>
        <v>Approved</v>
      </c>
      <c r="BN107" s="12">
        <v>46052</v>
      </c>
      <c r="BO107" s="12"/>
      <c r="BP107" s="155" t="s">
        <v>1768</v>
      </c>
      <c r="BQ107" s="12" t="s">
        <v>3119</v>
      </c>
      <c r="BR107" s="12">
        <v>46063</v>
      </c>
      <c r="BS107" s="143">
        <f t="shared" ca="1" si="18"/>
        <v>8</v>
      </c>
      <c r="BT107" s="176"/>
      <c r="BU107" s="12"/>
      <c r="BV107" s="143">
        <f t="shared" ca="1" si="19"/>
        <v>0</v>
      </c>
      <c r="BW107" s="12"/>
      <c r="BX107" s="12"/>
      <c r="BY107" s="143"/>
      <c r="BZ107" s="13" t="s">
        <v>2500</v>
      </c>
      <c r="CA107" s="13"/>
      <c r="CB107" s="13"/>
      <c r="CC107" s="13"/>
      <c r="CD107" s="13"/>
      <c r="CE107" s="198" t="s">
        <v>3120</v>
      </c>
      <c r="CF107" s="198" t="s">
        <v>3121</v>
      </c>
      <c r="CG107" s="272"/>
      <c r="CH107" s="272"/>
      <c r="CI107" s="198"/>
      <c r="CJ107" s="198" t="s">
        <v>3122</v>
      </c>
      <c r="CK107" s="198" t="s">
        <v>3123</v>
      </c>
      <c r="CL107" s="198"/>
    </row>
    <row r="108" spans="1:90">
      <c r="A108" s="187">
        <v>103</v>
      </c>
      <c r="B108" s="190" t="s">
        <v>2486</v>
      </c>
      <c r="C108" s="190" t="s">
        <v>2487</v>
      </c>
      <c r="D108" s="190" t="s">
        <v>135</v>
      </c>
      <c r="E108" s="8" t="e">
        <f ca="1">+_xlfn.CONCAT(G108,"-",B108,"_",C108,"_",_xlfn.XLOOKUP(BP108,Account!M:M,Account!N:N))</f>
        <v>#NAME?</v>
      </c>
      <c r="F108" s="12">
        <v>45669</v>
      </c>
      <c r="G108" s="190" t="s">
        <v>3124</v>
      </c>
      <c r="H108" s="190" t="s">
        <v>3125</v>
      </c>
      <c r="I108" s="10" t="s">
        <v>3126</v>
      </c>
      <c r="J108" s="190">
        <v>13</v>
      </c>
      <c r="K108" s="190" t="s">
        <v>2486</v>
      </c>
      <c r="L108" s="190" t="s">
        <v>1279</v>
      </c>
      <c r="M108" s="190" t="s">
        <v>2884</v>
      </c>
      <c r="N108" s="10"/>
      <c r="O108" s="178" t="s">
        <v>3127</v>
      </c>
      <c r="P108" s="178" t="s">
        <v>3128</v>
      </c>
      <c r="Q108" s="327"/>
      <c r="R108" s="190">
        <v>12</v>
      </c>
      <c r="S108" s="190" t="s">
        <v>3129</v>
      </c>
      <c r="T108" s="190" t="s">
        <v>2518</v>
      </c>
      <c r="U108" s="190" t="s">
        <v>2565</v>
      </c>
      <c r="V108" s="8" t="s">
        <v>2011</v>
      </c>
      <c r="W108" s="10" t="s">
        <v>1273</v>
      </c>
      <c r="X108" s="9">
        <v>89677996532</v>
      </c>
      <c r="Y108" s="12" t="s">
        <v>2956</v>
      </c>
      <c r="Z108" s="172">
        <v>45679</v>
      </c>
      <c r="AA108" s="172">
        <v>45709</v>
      </c>
      <c r="AB108" s="143" t="str">
        <f t="shared" ca="1" si="10"/>
        <v>Expired</v>
      </c>
      <c r="AC108" s="13"/>
      <c r="AD108" s="12">
        <v>45669</v>
      </c>
      <c r="AE108" s="12">
        <v>45680</v>
      </c>
      <c r="AF108" s="12"/>
      <c r="AG108" s="12"/>
      <c r="AH108" s="11">
        <v>45678</v>
      </c>
      <c r="AI108" s="11"/>
      <c r="AJ108" s="11"/>
      <c r="AK108" s="11">
        <v>45678</v>
      </c>
      <c r="AL108" s="11">
        <v>45679</v>
      </c>
      <c r="AM108" s="11">
        <v>45680</v>
      </c>
      <c r="AN108" s="11"/>
      <c r="AO108" s="11" t="str">
        <f>+IF(AM108&lt;&gt;"","ATP App MS",IF(AJ108&lt;&gt;"","Inbound",IF(AH108&lt;&gt;"","Dismantle Perangkat",IF(AF108="Drop","Drop",IF(AE108&lt;&gt;"","Survey Report",IF(AD108&lt;&gt;"","Survey","NY Survey"))))))</f>
        <v>ATP App MS</v>
      </c>
      <c r="AP108" s="173"/>
      <c r="AQ108" s="12">
        <v>45677</v>
      </c>
      <c r="AR108" s="12">
        <v>45677</v>
      </c>
      <c r="AS108" s="12">
        <v>45677</v>
      </c>
      <c r="AT108" s="12">
        <v>45714</v>
      </c>
      <c r="AU108" s="12">
        <v>45692</v>
      </c>
      <c r="AV108" s="12">
        <v>45825</v>
      </c>
      <c r="AW108" s="11" t="str">
        <f t="shared" si="11"/>
        <v>1st BOQ App on ISAAC</v>
      </c>
      <c r="AX108" s="12"/>
      <c r="AY108" s="12"/>
      <c r="AZ108" s="12"/>
      <c r="BA108" s="12"/>
      <c r="BB108" s="12"/>
      <c r="BC108" s="12"/>
      <c r="BD108" s="11" t="str">
        <f t="shared" si="12"/>
        <v>NY Submit</v>
      </c>
      <c r="BE108" s="174"/>
      <c r="BF108" s="12">
        <v>45680</v>
      </c>
      <c r="BG108" s="12">
        <v>45680</v>
      </c>
      <c r="BH108" s="10" t="s">
        <v>3130</v>
      </c>
      <c r="BI108" s="12">
        <v>45680</v>
      </c>
      <c r="BJ108" s="12">
        <v>45680</v>
      </c>
      <c r="BK108" s="174" t="s">
        <v>3131</v>
      </c>
      <c r="BL108" s="12" t="str">
        <f t="shared" si="13"/>
        <v>Approved</v>
      </c>
      <c r="BM108" s="12" t="str">
        <f t="shared" si="14"/>
        <v>Approved</v>
      </c>
      <c r="BN108" s="12">
        <v>45731</v>
      </c>
      <c r="BO108" s="12">
        <v>45731</v>
      </c>
      <c r="BP108" s="155" t="s">
        <v>2011</v>
      </c>
      <c r="BQ108" s="176" t="s">
        <v>3132</v>
      </c>
      <c r="BR108" s="12">
        <v>45821</v>
      </c>
      <c r="BS108" s="143" t="e">
        <f t="shared" ca="1" si="18"/>
        <v>#NUM!</v>
      </c>
      <c r="BT108" s="176" t="s">
        <v>3133</v>
      </c>
      <c r="BU108" s="12">
        <v>45821</v>
      </c>
      <c r="BV108" s="143">
        <f t="shared" ca="1" si="19"/>
        <v>0</v>
      </c>
      <c r="BW108" s="12"/>
      <c r="BX108" s="12"/>
      <c r="BY108" s="143"/>
      <c r="BZ108" s="13" t="s">
        <v>2500</v>
      </c>
      <c r="CA108" s="13"/>
      <c r="CB108" s="13"/>
      <c r="CC108" s="13"/>
      <c r="CD108" s="13"/>
      <c r="CE108" s="198"/>
      <c r="CF108" s="198"/>
      <c r="CG108" s="272"/>
      <c r="CH108" s="272"/>
      <c r="CI108" s="198"/>
      <c r="CJ108" s="198"/>
      <c r="CK108" s="198"/>
      <c r="CL108" s="198"/>
    </row>
    <row r="109" spans="1:90">
      <c r="A109" s="187">
        <v>104</v>
      </c>
      <c r="B109" s="190" t="s">
        <v>2486</v>
      </c>
      <c r="C109" s="190" t="s">
        <v>2487</v>
      </c>
      <c r="D109" s="190" t="s">
        <v>135</v>
      </c>
      <c r="E109" s="8" t="e">
        <f ca="1">+_xlfn.CONCAT(G109,"-",B109,"_",C109,"_",_xlfn.XLOOKUP(BP109,Account!M:M,Account!N:N))</f>
        <v>#NAME?</v>
      </c>
      <c r="F109" s="12">
        <v>45669</v>
      </c>
      <c r="G109" s="190" t="s">
        <v>3124</v>
      </c>
      <c r="H109" s="190" t="s">
        <v>3125</v>
      </c>
      <c r="I109" s="10" t="s">
        <v>3126</v>
      </c>
      <c r="J109" s="190">
        <v>13</v>
      </c>
      <c r="K109" s="190" t="s">
        <v>2486</v>
      </c>
      <c r="L109" s="190" t="s">
        <v>1279</v>
      </c>
      <c r="M109" s="190" t="s">
        <v>2884</v>
      </c>
      <c r="N109" s="10"/>
      <c r="O109" s="178" t="s">
        <v>3127</v>
      </c>
      <c r="P109" s="178" t="s">
        <v>3128</v>
      </c>
      <c r="Q109" s="327"/>
      <c r="R109" s="190">
        <v>12</v>
      </c>
      <c r="S109" s="190" t="s">
        <v>3129</v>
      </c>
      <c r="T109" s="190" t="s">
        <v>2518</v>
      </c>
      <c r="U109" s="190" t="s">
        <v>2565</v>
      </c>
      <c r="V109" s="8" t="s">
        <v>1768</v>
      </c>
      <c r="W109" s="10" t="s">
        <v>1273</v>
      </c>
      <c r="X109" s="9">
        <v>89677996532</v>
      </c>
      <c r="Y109" s="12" t="s">
        <v>2956</v>
      </c>
      <c r="Z109" s="172">
        <v>45679</v>
      </c>
      <c r="AA109" s="172">
        <v>45709</v>
      </c>
      <c r="AB109" s="143" t="str">
        <f t="shared" ca="1" si="10"/>
        <v>Expired</v>
      </c>
      <c r="AC109" s="13"/>
      <c r="AD109" s="12">
        <v>45669</v>
      </c>
      <c r="AE109" s="12">
        <v>45680</v>
      </c>
      <c r="AF109" s="12"/>
      <c r="AG109" s="12"/>
      <c r="AH109" s="11"/>
      <c r="AI109" s="11"/>
      <c r="AJ109" s="11"/>
      <c r="AK109" s="11">
        <v>45678</v>
      </c>
      <c r="AL109" s="11">
        <v>45679</v>
      </c>
      <c r="AM109" s="11">
        <v>45680</v>
      </c>
      <c r="AN109" s="11"/>
      <c r="AO109" s="11" t="str">
        <f>+IF(AM109&lt;&gt;"","ATP App MS",IF(AL109&lt;&gt;"","OA/RFS",IF(AK109&lt;&gt;"","Install",IF(AH109&lt;&gt;"","Dismantle Perangkat",IF(AF109="Drop","Drop",IF(AE109&lt;&gt;"","Survey Report",IF(AD109&lt;&gt;"","Survey","NY Survey")))))))</f>
        <v>ATP App MS</v>
      </c>
      <c r="AP109" s="173"/>
      <c r="AQ109" s="12">
        <v>45677</v>
      </c>
      <c r="AR109" s="12">
        <v>45677</v>
      </c>
      <c r="AS109" s="12">
        <v>45677</v>
      </c>
      <c r="AT109" s="12">
        <v>45714</v>
      </c>
      <c r="AU109" s="12">
        <v>45692</v>
      </c>
      <c r="AV109" s="12">
        <v>45825</v>
      </c>
      <c r="AW109" s="11" t="str">
        <f t="shared" si="11"/>
        <v>1st BOQ App on ISAAC</v>
      </c>
      <c r="AX109" s="12"/>
      <c r="AY109" s="12"/>
      <c r="AZ109" s="12"/>
      <c r="BA109" s="12"/>
      <c r="BB109" s="12"/>
      <c r="BC109" s="12"/>
      <c r="BD109" s="11" t="str">
        <f t="shared" si="12"/>
        <v>NY Submit</v>
      </c>
      <c r="BE109" s="174"/>
      <c r="BF109" s="12">
        <v>45680</v>
      </c>
      <c r="BG109" s="12">
        <v>45680</v>
      </c>
      <c r="BH109" s="10" t="s">
        <v>3130</v>
      </c>
      <c r="BI109" s="12">
        <v>45680</v>
      </c>
      <c r="BJ109" s="12">
        <v>45680</v>
      </c>
      <c r="BK109" s="174"/>
      <c r="BL109" s="12" t="str">
        <f t="shared" si="13"/>
        <v>Approved</v>
      </c>
      <c r="BM109" s="12" t="str">
        <f t="shared" si="14"/>
        <v>Approved</v>
      </c>
      <c r="BN109" s="12">
        <v>45731</v>
      </c>
      <c r="BO109" s="12">
        <v>45731</v>
      </c>
      <c r="BP109" s="155" t="s">
        <v>1768</v>
      </c>
      <c r="BQ109" s="12" t="s">
        <v>3134</v>
      </c>
      <c r="BR109" s="12">
        <v>45821</v>
      </c>
      <c r="BS109" s="143" t="e">
        <f t="shared" ca="1" si="18"/>
        <v>#NUM!</v>
      </c>
      <c r="BT109" s="176"/>
      <c r="BU109" s="12"/>
      <c r="BV109" s="143">
        <f t="shared" ca="1" si="19"/>
        <v>0</v>
      </c>
      <c r="BW109" s="12"/>
      <c r="BX109" s="12"/>
      <c r="BY109" s="143"/>
      <c r="BZ109" s="13" t="s">
        <v>2500</v>
      </c>
      <c r="CA109" s="13"/>
      <c r="CB109" s="13"/>
      <c r="CC109" s="13"/>
      <c r="CD109" s="13"/>
      <c r="CE109" s="198"/>
      <c r="CF109" s="198"/>
      <c r="CG109" s="272"/>
      <c r="CH109" s="272"/>
      <c r="CI109" s="198"/>
      <c r="CJ109" s="198"/>
      <c r="CK109" s="198"/>
      <c r="CL109" s="198"/>
    </row>
    <row r="110" spans="1:90">
      <c r="A110" s="187">
        <v>105</v>
      </c>
      <c r="B110" s="190" t="s">
        <v>2486</v>
      </c>
      <c r="C110" s="190" t="s">
        <v>2487</v>
      </c>
      <c r="D110" s="190" t="s">
        <v>135</v>
      </c>
      <c r="E110" s="8" t="e">
        <f ca="1">+_xlfn.CONCAT(G110,"-",B110,"_",C110,"_",_xlfn.XLOOKUP(BP110,Account!M:M,Account!N:N))</f>
        <v>#NAME?</v>
      </c>
      <c r="F110" s="12">
        <v>45669</v>
      </c>
      <c r="G110" s="190" t="s">
        <v>3124</v>
      </c>
      <c r="H110" s="190" t="s">
        <v>3125</v>
      </c>
      <c r="I110" s="10" t="s">
        <v>3126</v>
      </c>
      <c r="J110" s="190">
        <v>13</v>
      </c>
      <c r="K110" s="190" t="s">
        <v>2486</v>
      </c>
      <c r="L110" s="190" t="s">
        <v>1279</v>
      </c>
      <c r="M110" s="190" t="s">
        <v>2884</v>
      </c>
      <c r="N110" s="10"/>
      <c r="O110" s="178" t="s">
        <v>3127</v>
      </c>
      <c r="P110" s="178" t="s">
        <v>3128</v>
      </c>
      <c r="Q110" s="327"/>
      <c r="R110" s="190">
        <v>12</v>
      </c>
      <c r="S110" s="190" t="s">
        <v>3129</v>
      </c>
      <c r="T110" s="190" t="s">
        <v>2518</v>
      </c>
      <c r="U110" s="190" t="s">
        <v>2565</v>
      </c>
      <c r="V110" s="8" t="s">
        <v>1760</v>
      </c>
      <c r="W110" s="10" t="s">
        <v>1273</v>
      </c>
      <c r="X110" s="9">
        <v>89677996532</v>
      </c>
      <c r="Y110" s="12" t="s">
        <v>2956</v>
      </c>
      <c r="Z110" s="172">
        <v>45679</v>
      </c>
      <c r="AA110" s="172">
        <v>45709</v>
      </c>
      <c r="AB110" s="143" t="str">
        <f t="shared" ca="1" si="10"/>
        <v>Expired</v>
      </c>
      <c r="AC110" s="13"/>
      <c r="AD110" s="12">
        <v>45669</v>
      </c>
      <c r="AE110" s="12">
        <v>45680</v>
      </c>
      <c r="AF110" s="12"/>
      <c r="AG110" s="12"/>
      <c r="AH110" s="11"/>
      <c r="AI110" s="11"/>
      <c r="AJ110" s="11"/>
      <c r="AK110" s="11">
        <v>45883</v>
      </c>
      <c r="AL110" s="11">
        <v>45883</v>
      </c>
      <c r="AM110" s="11">
        <v>45883</v>
      </c>
      <c r="AN110" s="11"/>
      <c r="AO110" s="11" t="str">
        <f>+IF(AN110&lt;&gt;"","BAST",IF(AI110&lt;&gt;"","Dismantle",IF(AG110&lt;&gt;"","RFD App",IF(AF110="Drop","Drop",IF(AE110&lt;&gt;"","Survey Report",IF(AD110&lt;&gt;"","Survey","NY Survey"))))))</f>
        <v>Survey Report</v>
      </c>
      <c r="AP110" s="173"/>
      <c r="AQ110" s="12">
        <v>45677</v>
      </c>
      <c r="AR110" s="12">
        <v>45677</v>
      </c>
      <c r="AS110" s="12">
        <v>45677</v>
      </c>
      <c r="AT110" s="12">
        <v>45714</v>
      </c>
      <c r="AU110" s="12">
        <v>45692</v>
      </c>
      <c r="AV110" s="12">
        <v>45825</v>
      </c>
      <c r="AW110" s="11" t="str">
        <f t="shared" si="11"/>
        <v>1st BOQ App on ISAAC</v>
      </c>
      <c r="AX110" s="12"/>
      <c r="AY110" s="12"/>
      <c r="AZ110" s="12"/>
      <c r="BA110" s="12"/>
      <c r="BB110" s="12"/>
      <c r="BC110" s="12"/>
      <c r="BD110" s="11" t="str">
        <f t="shared" si="12"/>
        <v>NY Submit</v>
      </c>
      <c r="BE110" s="174"/>
      <c r="BF110" s="12">
        <v>45680</v>
      </c>
      <c r="BG110" s="12">
        <v>45680</v>
      </c>
      <c r="BH110" s="10" t="s">
        <v>3130</v>
      </c>
      <c r="BI110" s="12">
        <v>45680</v>
      </c>
      <c r="BJ110" s="12">
        <v>45680</v>
      </c>
      <c r="BK110" s="174"/>
      <c r="BL110" s="12" t="str">
        <f t="shared" si="13"/>
        <v>Approved</v>
      </c>
      <c r="BM110" s="12" t="str">
        <f t="shared" si="14"/>
        <v>Approved</v>
      </c>
      <c r="BN110" s="12">
        <v>45731</v>
      </c>
      <c r="BO110" s="12">
        <v>45731</v>
      </c>
      <c r="BP110" s="155" t="s">
        <v>1760</v>
      </c>
      <c r="BQ110" s="12" t="s">
        <v>3135</v>
      </c>
      <c r="BR110" s="12">
        <v>46001</v>
      </c>
      <c r="BS110" s="143">
        <f t="shared" ca="1" si="18"/>
        <v>176</v>
      </c>
      <c r="BT110" s="176"/>
      <c r="BU110" s="12"/>
      <c r="BV110" s="143">
        <f t="shared" ca="1" si="19"/>
        <v>0</v>
      </c>
      <c r="BW110" s="12"/>
      <c r="BX110" s="12"/>
      <c r="BY110" s="143"/>
      <c r="BZ110" s="13" t="s">
        <v>2500</v>
      </c>
      <c r="CA110" s="13"/>
      <c r="CB110" s="13"/>
      <c r="CC110" s="13"/>
      <c r="CD110" s="13"/>
      <c r="CE110" s="198"/>
      <c r="CF110" s="198"/>
      <c r="CG110" s="272"/>
      <c r="CH110" s="272"/>
      <c r="CI110" s="198"/>
      <c r="CJ110" s="198"/>
      <c r="CK110" s="198"/>
      <c r="CL110" s="198"/>
    </row>
    <row r="111" spans="1:90">
      <c r="A111" s="187">
        <v>106</v>
      </c>
      <c r="B111" s="190" t="s">
        <v>2486</v>
      </c>
      <c r="C111" s="190" t="s">
        <v>2487</v>
      </c>
      <c r="D111" s="190" t="s">
        <v>135</v>
      </c>
      <c r="E111" s="8" t="e">
        <f ca="1">+_xlfn.CONCAT(G111,"-",B111,"_",C111,"_",_xlfn.XLOOKUP(BP111,Account!M:M,Account!N:N))</f>
        <v>#NAME?</v>
      </c>
      <c r="F111" s="12">
        <v>45831</v>
      </c>
      <c r="G111" s="190" t="s">
        <v>1859</v>
      </c>
      <c r="H111" s="190" t="s">
        <v>3136</v>
      </c>
      <c r="I111" s="10" t="s">
        <v>1860</v>
      </c>
      <c r="J111" s="190">
        <v>6</v>
      </c>
      <c r="K111" s="190" t="s">
        <v>2038</v>
      </c>
      <c r="L111" s="190" t="s">
        <v>3052</v>
      </c>
      <c r="M111" s="190" t="s">
        <v>3137</v>
      </c>
      <c r="N111" s="10" t="s">
        <v>3138</v>
      </c>
      <c r="O111" s="178" t="s">
        <v>3139</v>
      </c>
      <c r="P111" s="178" t="s">
        <v>3140</v>
      </c>
      <c r="Q111" s="327">
        <v>22120.78</v>
      </c>
      <c r="R111" s="190">
        <v>70</v>
      </c>
      <c r="S111" s="190" t="s">
        <v>2930</v>
      </c>
      <c r="T111" s="190" t="s">
        <v>2494</v>
      </c>
      <c r="U111" s="190" t="s">
        <v>2495</v>
      </c>
      <c r="V111" s="8" t="s">
        <v>1760</v>
      </c>
      <c r="W111" s="10" t="s">
        <v>3141</v>
      </c>
      <c r="X111" s="9">
        <v>85778921471</v>
      </c>
      <c r="Y111" s="12" t="s">
        <v>2429</v>
      </c>
      <c r="Z111" s="172">
        <v>45832</v>
      </c>
      <c r="AA111" s="172">
        <v>45839</v>
      </c>
      <c r="AB111" s="143" t="str">
        <f t="shared" ca="1" si="10"/>
        <v>Expired</v>
      </c>
      <c r="AC111" s="13"/>
      <c r="AD111" s="12">
        <v>45866</v>
      </c>
      <c r="AE111" s="12">
        <v>45866</v>
      </c>
      <c r="AF111" s="12"/>
      <c r="AG111" s="12">
        <v>45896</v>
      </c>
      <c r="AH111" s="11"/>
      <c r="AI111" s="11">
        <v>45910</v>
      </c>
      <c r="AJ111" s="11"/>
      <c r="AK111" s="11"/>
      <c r="AL111" s="11"/>
      <c r="AM111" s="11">
        <v>45910</v>
      </c>
      <c r="AN111" s="11">
        <v>45912</v>
      </c>
      <c r="AO111" s="11" t="str">
        <f>+IF(AN111&lt;&gt;"","BAST",IF(AI111&lt;&gt;"","Dismantle",IF(AG111&lt;&gt;"","RFD App",IF(AF111="Drop","Drop",IF(AE111&lt;&gt;"","Survey Report",IF(AD111&lt;&gt;"","Survey","NY Survey"))))))</f>
        <v>BAST</v>
      </c>
      <c r="AP111" s="173"/>
      <c r="AQ111" s="12">
        <v>45903</v>
      </c>
      <c r="AR111" s="12">
        <v>45967</v>
      </c>
      <c r="AS111" s="12">
        <v>45904</v>
      </c>
      <c r="AT111" s="12">
        <v>45972</v>
      </c>
      <c r="AU111" s="12">
        <v>45967</v>
      </c>
      <c r="AV111" s="12"/>
      <c r="AW111" s="11" t="str">
        <f t="shared" si="11"/>
        <v>Upload 1st BOQ &amp; BAN Isaac</v>
      </c>
      <c r="AX111" s="12"/>
      <c r="AY111" s="12"/>
      <c r="AZ111" s="12"/>
      <c r="BA111" s="12"/>
      <c r="BB111" s="12"/>
      <c r="BC111" s="12"/>
      <c r="BD111" s="11" t="str">
        <f t="shared" si="12"/>
        <v>NY Submit</v>
      </c>
      <c r="BE111" s="174"/>
      <c r="BF111" s="12">
        <v>45866</v>
      </c>
      <c r="BG111" s="12">
        <v>45869</v>
      </c>
      <c r="BH111" s="10" t="s">
        <v>3142</v>
      </c>
      <c r="BI111" s="12">
        <v>45866</v>
      </c>
      <c r="BJ111" s="12">
        <v>45869</v>
      </c>
      <c r="BK111" s="174" t="s">
        <v>3143</v>
      </c>
      <c r="BL111" s="12" t="str">
        <f t="shared" si="13"/>
        <v>Approved</v>
      </c>
      <c r="BM111" s="12" t="str">
        <f t="shared" si="14"/>
        <v>Approved</v>
      </c>
      <c r="BN111" s="12">
        <v>45912</v>
      </c>
      <c r="BO111" s="12"/>
      <c r="BP111" s="155" t="s">
        <v>1760</v>
      </c>
      <c r="BQ111" s="12" t="s">
        <v>3144</v>
      </c>
      <c r="BR111" s="12">
        <v>45982</v>
      </c>
      <c r="BS111" s="143">
        <f t="shared" ca="1" si="18"/>
        <v>0</v>
      </c>
      <c r="BT111" s="176"/>
      <c r="BU111" s="12"/>
      <c r="BV111" s="143">
        <f t="shared" ca="1" si="19"/>
        <v>0</v>
      </c>
      <c r="BW111" s="12"/>
      <c r="BX111" s="12"/>
      <c r="BY111" s="143"/>
      <c r="BZ111" s="13" t="s">
        <v>2500</v>
      </c>
      <c r="CA111" s="13"/>
      <c r="CB111" s="13"/>
      <c r="CC111" s="13"/>
      <c r="CD111" s="13"/>
      <c r="CE111" s="198"/>
      <c r="CF111" s="198"/>
      <c r="CG111" s="274" t="s">
        <v>3145</v>
      </c>
      <c r="CH111" s="273" t="s">
        <v>3146</v>
      </c>
      <c r="CI111" s="198"/>
      <c r="CJ111" s="198"/>
      <c r="CK111" s="198"/>
      <c r="CL111" s="198"/>
    </row>
    <row r="112" spans="1:90">
      <c r="A112" s="187">
        <v>107</v>
      </c>
      <c r="B112" s="190" t="s">
        <v>2486</v>
      </c>
      <c r="C112" s="190" t="s">
        <v>2487</v>
      </c>
      <c r="D112" s="190" t="s">
        <v>135</v>
      </c>
      <c r="E112" s="8" t="e">
        <f ca="1">+_xlfn.CONCAT(G112,"-",B112,"_",C112,"_",_xlfn.XLOOKUP(BP112,Account!M:M,Account!N:N))</f>
        <v>#NAME?</v>
      </c>
      <c r="F112" s="12">
        <v>45831</v>
      </c>
      <c r="G112" s="190" t="s">
        <v>1859</v>
      </c>
      <c r="H112" s="190" t="s">
        <v>3136</v>
      </c>
      <c r="I112" s="10" t="s">
        <v>1860</v>
      </c>
      <c r="J112" s="190">
        <v>6</v>
      </c>
      <c r="K112" s="190" t="s">
        <v>2038</v>
      </c>
      <c r="L112" s="190" t="s">
        <v>3052</v>
      </c>
      <c r="M112" s="190" t="s">
        <v>3137</v>
      </c>
      <c r="N112" s="10" t="s">
        <v>3138</v>
      </c>
      <c r="O112" s="178" t="s">
        <v>3139</v>
      </c>
      <c r="P112" s="178" t="s">
        <v>3140</v>
      </c>
      <c r="Q112" s="327">
        <v>22120.78</v>
      </c>
      <c r="R112" s="190">
        <v>70</v>
      </c>
      <c r="S112" s="190" t="s">
        <v>2930</v>
      </c>
      <c r="T112" s="190" t="s">
        <v>2494</v>
      </c>
      <c r="U112" s="190" t="s">
        <v>2495</v>
      </c>
      <c r="V112" s="8" t="s">
        <v>2011</v>
      </c>
      <c r="W112" s="10"/>
      <c r="X112" s="9"/>
      <c r="Y112" s="12"/>
      <c r="Z112" s="172"/>
      <c r="AA112" s="172"/>
      <c r="AB112" s="143" t="str">
        <f t="shared" ca="1" si="10"/>
        <v>NY Submit</v>
      </c>
      <c r="AC112" s="13"/>
      <c r="AD112" s="12">
        <v>45866</v>
      </c>
      <c r="AE112" s="12">
        <v>45866</v>
      </c>
      <c r="AF112" s="12"/>
      <c r="AG112" s="12"/>
      <c r="AH112" s="11">
        <v>45904</v>
      </c>
      <c r="AI112" s="11"/>
      <c r="AJ112" s="11"/>
      <c r="AK112" s="11"/>
      <c r="AL112" s="11"/>
      <c r="AM112" s="11">
        <v>45910</v>
      </c>
      <c r="AN112" s="11"/>
      <c r="AO112" s="11" t="str">
        <f>+IF(AM112&lt;&gt;"","ATP App MS",IF(AJ112&lt;&gt;"","Inbound",IF(AH112&lt;&gt;"","Dismantle Perangkat",IF(AF112="Drop","Drop",IF(AE112&lt;&gt;"","Survey Report",IF(AD112&lt;&gt;"","Survey","NY Survey"))))))</f>
        <v>ATP App MS</v>
      </c>
      <c r="AP112" s="173"/>
      <c r="AQ112" s="12">
        <v>45903</v>
      </c>
      <c r="AR112" s="12">
        <v>45967</v>
      </c>
      <c r="AS112" s="12">
        <v>45904</v>
      </c>
      <c r="AT112" s="12"/>
      <c r="AU112" s="12">
        <v>45967</v>
      </c>
      <c r="AV112" s="12"/>
      <c r="AW112" s="11" t="str">
        <f t="shared" si="11"/>
        <v>Upload 1st BOQ &amp; BAN Isaac</v>
      </c>
      <c r="AX112" s="12"/>
      <c r="AY112" s="12"/>
      <c r="AZ112" s="12"/>
      <c r="BA112" s="12"/>
      <c r="BB112" s="12"/>
      <c r="BC112" s="12"/>
      <c r="BD112" s="11" t="str">
        <f t="shared" si="12"/>
        <v>NY Submit</v>
      </c>
      <c r="BE112" s="174"/>
      <c r="BF112" s="12">
        <v>45866</v>
      </c>
      <c r="BG112" s="12">
        <v>45869</v>
      </c>
      <c r="BH112" s="10" t="s">
        <v>3142</v>
      </c>
      <c r="BI112" s="12">
        <v>45866</v>
      </c>
      <c r="BJ112" s="12">
        <v>45869</v>
      </c>
      <c r="BK112" s="174"/>
      <c r="BL112" s="12" t="str">
        <f t="shared" si="13"/>
        <v>Approved</v>
      </c>
      <c r="BM112" s="12" t="str">
        <f t="shared" si="14"/>
        <v>Approved</v>
      </c>
      <c r="BN112" s="12"/>
      <c r="BO112" s="12"/>
      <c r="BP112" s="155" t="s">
        <v>2011</v>
      </c>
      <c r="BQ112" s="12" t="s">
        <v>2718</v>
      </c>
      <c r="BR112" s="12">
        <v>45982</v>
      </c>
      <c r="BS112" s="143">
        <f t="shared" ca="1" si="18"/>
        <v>0</v>
      </c>
      <c r="BT112" s="176"/>
      <c r="BU112" s="12"/>
      <c r="BV112" s="143">
        <f t="shared" ca="1" si="19"/>
        <v>0</v>
      </c>
      <c r="BW112" s="12"/>
      <c r="BX112" s="12"/>
      <c r="BY112" s="143"/>
      <c r="BZ112" s="13" t="s">
        <v>2500</v>
      </c>
      <c r="CA112" s="13" t="s">
        <v>2555</v>
      </c>
      <c r="CB112" s="13" t="s">
        <v>2486</v>
      </c>
      <c r="CC112" s="13"/>
      <c r="CD112" s="13"/>
      <c r="CE112" s="198"/>
      <c r="CF112" s="198"/>
      <c r="CG112" s="274" t="s">
        <v>3145</v>
      </c>
      <c r="CH112" s="273" t="s">
        <v>3146</v>
      </c>
      <c r="CI112" s="198"/>
      <c r="CJ112" s="198"/>
      <c r="CK112" s="198"/>
      <c r="CL112" s="198"/>
    </row>
    <row r="113" spans="1:90" ht="30" customHeight="1">
      <c r="A113" s="187">
        <v>108</v>
      </c>
      <c r="B113" s="190" t="s">
        <v>2486</v>
      </c>
      <c r="C113" s="190" t="s">
        <v>2487</v>
      </c>
      <c r="D113" s="190" t="s">
        <v>135</v>
      </c>
      <c r="E113" s="8" t="e">
        <f ca="1">+_xlfn.CONCAT(G113,"-",B113,"_",C113,"_",_xlfn.XLOOKUP(BP113,Account!M:M,Account!N:N),"_Combat")</f>
        <v>#NAME?</v>
      </c>
      <c r="F113" s="12">
        <v>45831</v>
      </c>
      <c r="G113" s="190" t="s">
        <v>1859</v>
      </c>
      <c r="H113" s="190" t="s">
        <v>3136</v>
      </c>
      <c r="I113" s="10" t="s">
        <v>1860</v>
      </c>
      <c r="J113" s="190">
        <v>6</v>
      </c>
      <c r="K113" s="190" t="s">
        <v>2038</v>
      </c>
      <c r="L113" s="190" t="s">
        <v>3052</v>
      </c>
      <c r="M113" s="190" t="s">
        <v>3137</v>
      </c>
      <c r="N113" s="10" t="s">
        <v>3138</v>
      </c>
      <c r="O113" s="178" t="s">
        <v>3139</v>
      </c>
      <c r="P113" s="178" t="s">
        <v>3140</v>
      </c>
      <c r="Q113" s="327">
        <v>22120.78</v>
      </c>
      <c r="R113" s="190">
        <v>70</v>
      </c>
      <c r="S113" s="190" t="s">
        <v>2930</v>
      </c>
      <c r="T113" s="190" t="s">
        <v>2494</v>
      </c>
      <c r="U113" s="190" t="s">
        <v>2495</v>
      </c>
      <c r="V113" s="8" t="s">
        <v>3147</v>
      </c>
      <c r="W113" s="10" t="s">
        <v>3148</v>
      </c>
      <c r="X113" s="9"/>
      <c r="Y113" s="172" t="s">
        <v>2956</v>
      </c>
      <c r="Z113" s="172">
        <v>46034</v>
      </c>
      <c r="AA113" s="172">
        <v>46041</v>
      </c>
      <c r="AB113" s="143" t="str">
        <f t="shared" ca="1" si="10"/>
        <v>Expired</v>
      </c>
      <c r="AC113" s="13"/>
      <c r="AD113" s="12">
        <v>45866</v>
      </c>
      <c r="AE113" s="12">
        <v>45866</v>
      </c>
      <c r="AF113" s="12"/>
      <c r="AG113" s="12"/>
      <c r="AH113" s="11"/>
      <c r="AI113" s="11"/>
      <c r="AJ113" s="11"/>
      <c r="AK113" s="11">
        <v>45905</v>
      </c>
      <c r="AL113" s="11"/>
      <c r="AM113" s="11">
        <v>45910</v>
      </c>
      <c r="AN113" s="11"/>
      <c r="AO113" s="11" t="str">
        <f>+IF(AM113&lt;&gt;"","ATP App MS",IF(AL113&lt;&gt;"","OA/RFS",IF(AK113&lt;&gt;"","Install",IF(AH113&lt;&gt;"","Dismantle Perangkat",IF(AF113="Drop","Drop",IF(AE113&lt;&gt;"","Survey Report",IF(AD113&lt;&gt;"","Survey","NY Survey")))))))</f>
        <v>ATP App MS</v>
      </c>
      <c r="AP113" s="173"/>
      <c r="AQ113" s="12">
        <v>45903</v>
      </c>
      <c r="AR113" s="12">
        <v>45967</v>
      </c>
      <c r="AS113" s="12">
        <v>45904</v>
      </c>
      <c r="AT113" s="12">
        <v>45972</v>
      </c>
      <c r="AU113" s="12">
        <v>45967</v>
      </c>
      <c r="AV113" s="12"/>
      <c r="AW113" s="11" t="str">
        <f t="shared" si="11"/>
        <v>Upload 1st BOQ &amp; BAN Isaac</v>
      </c>
      <c r="AX113" s="12"/>
      <c r="AY113" s="12"/>
      <c r="AZ113" s="12"/>
      <c r="BA113" s="12"/>
      <c r="BB113" s="12"/>
      <c r="BC113" s="12"/>
      <c r="BD113" s="11" t="str">
        <f t="shared" si="12"/>
        <v>NY Submit</v>
      </c>
      <c r="BE113" s="174"/>
      <c r="BF113" s="12">
        <v>45866</v>
      </c>
      <c r="BG113" s="12">
        <v>45869</v>
      </c>
      <c r="BH113" s="10" t="s">
        <v>3142</v>
      </c>
      <c r="BI113" s="12">
        <v>45866</v>
      </c>
      <c r="BJ113" s="12">
        <v>45869</v>
      </c>
      <c r="BK113" s="174"/>
      <c r="BL113" s="12" t="str">
        <f t="shared" si="13"/>
        <v>Approved</v>
      </c>
      <c r="BM113" s="12" t="str">
        <f t="shared" si="14"/>
        <v>Approved</v>
      </c>
      <c r="BN113" s="12"/>
      <c r="BO113" s="12"/>
      <c r="BP113" s="155" t="s">
        <v>1768</v>
      </c>
      <c r="BQ113" s="12" t="s">
        <v>3149</v>
      </c>
      <c r="BR113" s="12">
        <v>45982</v>
      </c>
      <c r="BS113" s="143">
        <f t="shared" ca="1" si="18"/>
        <v>0</v>
      </c>
      <c r="BT113" s="176"/>
      <c r="BU113" s="12"/>
      <c r="BV113" s="143">
        <f t="shared" ca="1" si="19"/>
        <v>0</v>
      </c>
      <c r="BW113" s="12"/>
      <c r="BX113" s="12"/>
      <c r="BY113" s="143"/>
      <c r="BZ113" s="13" t="s">
        <v>2500</v>
      </c>
      <c r="CA113" s="13" t="s">
        <v>2555</v>
      </c>
      <c r="CB113" s="13" t="s">
        <v>2486</v>
      </c>
      <c r="CC113" s="13"/>
      <c r="CD113" s="13"/>
      <c r="CE113" s="198" t="s">
        <v>3150</v>
      </c>
      <c r="CF113" s="198" t="s">
        <v>3151</v>
      </c>
      <c r="CG113" s="274" t="s">
        <v>3145</v>
      </c>
      <c r="CH113" s="273" t="s">
        <v>3146</v>
      </c>
      <c r="CI113" s="198"/>
      <c r="CJ113" s="198"/>
      <c r="CK113" s="198" t="s">
        <v>3152</v>
      </c>
      <c r="CL113" s="198"/>
    </row>
    <row r="114" spans="1:90">
      <c r="A114" s="187">
        <v>109</v>
      </c>
      <c r="B114" s="190" t="s">
        <v>2486</v>
      </c>
      <c r="C114" s="190" t="s">
        <v>2487</v>
      </c>
      <c r="D114" s="190" t="s">
        <v>135</v>
      </c>
      <c r="E114" s="8" t="e">
        <f ca="1">+_xlfn.CONCAT(G114,"-",B114,"_",C114,"_",_xlfn.XLOOKUP(BP114,Account!M:M,Account!N:N))</f>
        <v>#NAME?</v>
      </c>
      <c r="F114" s="12">
        <v>45836</v>
      </c>
      <c r="G114" s="190" t="s">
        <v>3153</v>
      </c>
      <c r="H114" s="190" t="s">
        <v>3154</v>
      </c>
      <c r="I114" s="10" t="s">
        <v>3155</v>
      </c>
      <c r="J114" s="190">
        <v>10</v>
      </c>
      <c r="K114" s="190" t="s">
        <v>2038</v>
      </c>
      <c r="L114" s="190" t="s">
        <v>3156</v>
      </c>
      <c r="M114" s="190" t="s">
        <v>3157</v>
      </c>
      <c r="N114" s="10" t="s">
        <v>3158</v>
      </c>
      <c r="O114" s="178" t="s">
        <v>3159</v>
      </c>
      <c r="P114" s="178" t="s">
        <v>3160</v>
      </c>
      <c r="Q114" s="327">
        <v>14671.33</v>
      </c>
      <c r="R114" s="190"/>
      <c r="S114" s="190"/>
      <c r="T114" s="190" t="s">
        <v>2494</v>
      </c>
      <c r="U114" s="190" t="s">
        <v>2495</v>
      </c>
      <c r="V114" s="8" t="s">
        <v>1760</v>
      </c>
      <c r="W114" s="10" t="s">
        <v>1505</v>
      </c>
      <c r="X114" s="9"/>
      <c r="Y114" s="12"/>
      <c r="Z114" s="172"/>
      <c r="AA114" s="172"/>
      <c r="AB114" s="143" t="str">
        <f t="shared" ca="1" si="10"/>
        <v>NY Submit</v>
      </c>
      <c r="AC114" s="13"/>
      <c r="AD114" s="12">
        <v>45843</v>
      </c>
      <c r="AE114" s="12">
        <v>45843</v>
      </c>
      <c r="AF114" s="12"/>
      <c r="AG114" s="12">
        <v>45862</v>
      </c>
      <c r="AH114" s="11"/>
      <c r="AI114" s="11">
        <v>45880</v>
      </c>
      <c r="AJ114" s="11"/>
      <c r="AK114" s="11"/>
      <c r="AL114" s="11"/>
      <c r="AM114" s="11">
        <v>45894</v>
      </c>
      <c r="AN114" s="11">
        <v>45894</v>
      </c>
      <c r="AO114" s="11" t="str">
        <f>+IF(AN114&lt;&gt;"","BAST",IF(AI114&lt;&gt;"","Dismantle",IF(AG114&lt;&gt;"","RFD App",IF(AF114="Drop","Drop",IF(AE114&lt;&gt;"","Survey Report",IF(AD114&lt;&gt;"","Survey","NY Survey"))))))</f>
        <v>BAST</v>
      </c>
      <c r="AP114" s="173"/>
      <c r="AQ114" s="12">
        <v>45875</v>
      </c>
      <c r="AR114" s="12">
        <v>45882</v>
      </c>
      <c r="AS114" s="12">
        <v>45880</v>
      </c>
      <c r="AT114" s="12">
        <v>45883</v>
      </c>
      <c r="AU114" s="12">
        <v>45883</v>
      </c>
      <c r="AV114" s="12">
        <v>45887</v>
      </c>
      <c r="AW114" s="11" t="str">
        <f t="shared" si="11"/>
        <v>1st BOQ App on ISAAC</v>
      </c>
      <c r="AX114" s="12"/>
      <c r="AY114" s="12"/>
      <c r="AZ114" s="12"/>
      <c r="BA114" s="12"/>
      <c r="BB114" s="12"/>
      <c r="BC114" s="12"/>
      <c r="BD114" s="11" t="str">
        <f t="shared" si="12"/>
        <v>NY Submit</v>
      </c>
      <c r="BE114" s="174"/>
      <c r="BF114" s="12">
        <v>45845</v>
      </c>
      <c r="BG114" s="12">
        <v>45861</v>
      </c>
      <c r="BH114" s="10" t="s">
        <v>3161</v>
      </c>
      <c r="BI114" s="12">
        <v>45793</v>
      </c>
      <c r="BJ114" s="12">
        <v>45796</v>
      </c>
      <c r="BK114" s="174"/>
      <c r="BL114" s="12" t="str">
        <f t="shared" si="13"/>
        <v>Approved</v>
      </c>
      <c r="BM114" s="12" t="str">
        <f t="shared" si="14"/>
        <v>Approved</v>
      </c>
      <c r="BN114" s="12">
        <v>45895</v>
      </c>
      <c r="BO114" s="12">
        <v>45895</v>
      </c>
      <c r="BP114" s="155" t="s">
        <v>1760</v>
      </c>
      <c r="BQ114" s="12" t="s">
        <v>3162</v>
      </c>
      <c r="BR114" s="12">
        <v>45917</v>
      </c>
      <c r="BS114" s="143">
        <f t="shared" ca="1" si="18"/>
        <v>30</v>
      </c>
      <c r="BT114" s="176"/>
      <c r="BU114" s="12"/>
      <c r="BV114" s="143">
        <f t="shared" ca="1" si="19"/>
        <v>0</v>
      </c>
      <c r="BW114" s="12"/>
      <c r="BX114" s="12"/>
      <c r="BY114" s="143"/>
      <c r="BZ114" s="13" t="s">
        <v>2500</v>
      </c>
      <c r="CA114" s="13"/>
      <c r="CB114" s="13"/>
      <c r="CC114" s="13"/>
      <c r="CD114" s="13"/>
      <c r="CE114" s="198" t="s">
        <v>3163</v>
      </c>
      <c r="CF114" s="198" t="s">
        <v>3164</v>
      </c>
      <c r="CG114" s="273" t="s">
        <v>3165</v>
      </c>
      <c r="CH114" s="273" t="s">
        <v>3166</v>
      </c>
      <c r="CI114" s="198"/>
      <c r="CJ114" s="198"/>
      <c r="CK114" s="198"/>
      <c r="CL114" s="198"/>
    </row>
    <row r="115" spans="1:90">
      <c r="A115" s="187">
        <v>110</v>
      </c>
      <c r="B115" s="190" t="s">
        <v>2486</v>
      </c>
      <c r="C115" s="190" t="s">
        <v>2487</v>
      </c>
      <c r="D115" s="190" t="s">
        <v>135</v>
      </c>
      <c r="E115" s="8" t="e">
        <f ca="1">+_xlfn.CONCAT(G115,"-",B115,"_",C115,"_",_xlfn.XLOOKUP(BP115,Account!M:M,Account!N:N))</f>
        <v>#NAME?</v>
      </c>
      <c r="F115" s="12">
        <v>45848</v>
      </c>
      <c r="G115" s="190" t="s">
        <v>2145</v>
      </c>
      <c r="H115" s="190" t="s">
        <v>3167</v>
      </c>
      <c r="I115" s="10" t="s">
        <v>2146</v>
      </c>
      <c r="J115" s="190">
        <v>10</v>
      </c>
      <c r="K115" s="190" t="s">
        <v>2038</v>
      </c>
      <c r="L115" s="190" t="s">
        <v>3156</v>
      </c>
      <c r="M115" s="190" t="s">
        <v>3168</v>
      </c>
      <c r="N115" s="10" t="s">
        <v>3169</v>
      </c>
      <c r="O115" s="178" t="s">
        <v>3170</v>
      </c>
      <c r="P115" s="178" t="s">
        <v>3171</v>
      </c>
      <c r="Q115" s="327">
        <v>18868.812000000002</v>
      </c>
      <c r="R115" s="190">
        <v>70</v>
      </c>
      <c r="S115" s="190"/>
      <c r="T115" s="190" t="s">
        <v>2494</v>
      </c>
      <c r="U115" s="190" t="s">
        <v>2495</v>
      </c>
      <c r="V115" s="8" t="s">
        <v>1760</v>
      </c>
      <c r="W115" s="10" t="s">
        <v>1505</v>
      </c>
      <c r="X115" s="9">
        <v>81999101650</v>
      </c>
      <c r="Y115" s="12" t="s">
        <v>3172</v>
      </c>
      <c r="Z115" s="172">
        <v>45857</v>
      </c>
      <c r="AA115" s="172">
        <v>45864</v>
      </c>
      <c r="AB115" s="143" t="str">
        <f t="shared" ca="1" si="10"/>
        <v>Expired</v>
      </c>
      <c r="AC115" s="13"/>
      <c r="AD115" s="12">
        <v>45974</v>
      </c>
      <c r="AE115" s="12">
        <v>45978</v>
      </c>
      <c r="AF115" s="12"/>
      <c r="AG115" s="12"/>
      <c r="AH115" s="11"/>
      <c r="AI115" s="11"/>
      <c r="AJ115" s="11"/>
      <c r="AK115" s="11"/>
      <c r="AL115" s="11"/>
      <c r="AM115" s="11"/>
      <c r="AN115" s="11"/>
      <c r="AO115" s="11" t="str">
        <f>+IF(AN115&lt;&gt;"","BAST",IF(AI115&lt;&gt;"","Dismantle",IF(AG115&lt;&gt;"","RFD App",IF(AF115="Drop","Drop",IF(AE115&lt;&gt;"","Survey Report",IF(AD115&lt;&gt;"","Survey","NY Survey"))))))</f>
        <v>Survey Report</v>
      </c>
      <c r="AP115" s="173" t="s">
        <v>2743</v>
      </c>
      <c r="AQ115" s="12">
        <v>46056</v>
      </c>
      <c r="AR115" s="12">
        <v>46062</v>
      </c>
      <c r="AS115" s="12"/>
      <c r="AT115" s="12"/>
      <c r="AU115" s="12">
        <v>46078</v>
      </c>
      <c r="AV115" s="12">
        <v>46078</v>
      </c>
      <c r="AW115" s="11" t="str">
        <f t="shared" si="11"/>
        <v>1st BOQ App on ISAAC</v>
      </c>
      <c r="AX115" s="12"/>
      <c r="AY115" s="12"/>
      <c r="AZ115" s="12"/>
      <c r="BA115" s="12"/>
      <c r="BB115" s="12"/>
      <c r="BC115" s="12"/>
      <c r="BD115" s="11" t="str">
        <f t="shared" si="12"/>
        <v>NY Submit</v>
      </c>
      <c r="BE115" s="174" t="s">
        <v>3173</v>
      </c>
      <c r="BF115" s="12">
        <v>45978</v>
      </c>
      <c r="BG115" s="12">
        <v>45982</v>
      </c>
      <c r="BH115" s="10" t="s">
        <v>3174</v>
      </c>
      <c r="BI115" s="12">
        <v>45979</v>
      </c>
      <c r="BJ115" s="12">
        <v>45982</v>
      </c>
      <c r="BK115" s="174" t="s">
        <v>3175</v>
      </c>
      <c r="BL115" s="12" t="str">
        <f t="shared" si="13"/>
        <v>Approved</v>
      </c>
      <c r="BM115" s="12" t="str">
        <f t="shared" si="14"/>
        <v>Approved</v>
      </c>
      <c r="BN115" s="12"/>
      <c r="BO115" s="12"/>
      <c r="BP115" s="155" t="s">
        <v>1760</v>
      </c>
      <c r="BQ115" s="12" t="s">
        <v>3176</v>
      </c>
      <c r="BR115" s="12">
        <v>46097</v>
      </c>
      <c r="BS115" s="143">
        <f t="shared" ca="1" si="18"/>
        <v>19</v>
      </c>
      <c r="BT115" s="176"/>
      <c r="BU115" s="12"/>
      <c r="BV115" s="143">
        <f t="shared" ca="1" si="19"/>
        <v>0</v>
      </c>
      <c r="BW115" s="12"/>
      <c r="BX115" s="12"/>
      <c r="BY115" s="143"/>
      <c r="BZ115" s="13" t="s">
        <v>2500</v>
      </c>
      <c r="CA115" s="13"/>
      <c r="CB115" s="13"/>
      <c r="CC115" s="13"/>
      <c r="CD115" s="13"/>
      <c r="CE115" s="198"/>
      <c r="CF115" s="198"/>
      <c r="CG115" s="273"/>
      <c r="CH115" s="273"/>
      <c r="CI115" s="198"/>
      <c r="CJ115" s="198"/>
      <c r="CK115" s="198"/>
      <c r="CL115" s="198"/>
    </row>
    <row r="116" spans="1:90">
      <c r="A116" s="187">
        <v>111</v>
      </c>
      <c r="B116" s="190" t="s">
        <v>2486</v>
      </c>
      <c r="C116" s="190" t="s">
        <v>2487</v>
      </c>
      <c r="D116" s="190" t="s">
        <v>135</v>
      </c>
      <c r="E116" s="8" t="e">
        <f ca="1">+_xlfn.CONCAT(G116,"-",B116,"_",C116,"_",_xlfn.XLOOKUP(BP116,Account!M:M,Account!N:N))</f>
        <v>#NAME?</v>
      </c>
      <c r="F116" s="12">
        <v>45848</v>
      </c>
      <c r="G116" s="190" t="s">
        <v>2145</v>
      </c>
      <c r="H116" s="190" t="s">
        <v>3167</v>
      </c>
      <c r="I116" s="10" t="s">
        <v>2146</v>
      </c>
      <c r="J116" s="190">
        <v>10</v>
      </c>
      <c r="K116" s="190" t="s">
        <v>2038</v>
      </c>
      <c r="L116" s="190" t="s">
        <v>3156</v>
      </c>
      <c r="M116" s="190" t="s">
        <v>3168</v>
      </c>
      <c r="N116" s="10" t="s">
        <v>3169</v>
      </c>
      <c r="O116" s="178" t="s">
        <v>3170</v>
      </c>
      <c r="P116" s="178" t="s">
        <v>3171</v>
      </c>
      <c r="Q116" s="327">
        <v>18868.812000000002</v>
      </c>
      <c r="R116" s="190">
        <v>70</v>
      </c>
      <c r="S116" s="190"/>
      <c r="T116" s="190" t="s">
        <v>2494</v>
      </c>
      <c r="U116" s="190" t="s">
        <v>2495</v>
      </c>
      <c r="V116" s="8" t="s">
        <v>2011</v>
      </c>
      <c r="W116" s="10" t="s">
        <v>1505</v>
      </c>
      <c r="X116" s="9"/>
      <c r="Y116" s="12"/>
      <c r="Z116" s="172"/>
      <c r="AA116" s="172"/>
      <c r="AB116" s="143" t="str">
        <f t="shared" ca="1" si="10"/>
        <v>NY Submit</v>
      </c>
      <c r="AC116" s="13"/>
      <c r="AD116" s="12">
        <v>45974</v>
      </c>
      <c r="AE116" s="12">
        <v>45978</v>
      </c>
      <c r="AF116" s="12" t="s">
        <v>2526</v>
      </c>
      <c r="AG116" s="12"/>
      <c r="AH116" s="11"/>
      <c r="AI116" s="11"/>
      <c r="AJ116" s="11"/>
      <c r="AK116" s="11"/>
      <c r="AL116" s="11"/>
      <c r="AM116" s="11"/>
      <c r="AN116" s="11"/>
      <c r="AO116" s="11" t="str">
        <f>+IF(AM116&lt;&gt;"","ATP App MS",IF(AJ116&lt;&gt;"","Inbound",IF(AH116&lt;&gt;"","Dismantle Perangkat",IF(AF116="Drop","Drop",IF(AE116&lt;&gt;"","Survey Report",IF(AD116&lt;&gt;"","Survey","NY Survey"))))))</f>
        <v>Drop</v>
      </c>
      <c r="AP116" s="173"/>
      <c r="AQ116" s="12"/>
      <c r="AR116" s="12"/>
      <c r="AS116" s="12"/>
      <c r="AT116" s="12"/>
      <c r="AU116" s="12"/>
      <c r="AV116" s="12"/>
      <c r="AW116" s="11" t="str">
        <f t="shared" si="11"/>
        <v>NY Submit</v>
      </c>
      <c r="AX116" s="12"/>
      <c r="AY116" s="12"/>
      <c r="AZ116" s="12"/>
      <c r="BA116" s="12"/>
      <c r="BB116" s="12"/>
      <c r="BC116" s="12"/>
      <c r="BD116" s="11" t="str">
        <f t="shared" si="12"/>
        <v>NY Submit</v>
      </c>
      <c r="BE116" s="174"/>
      <c r="BF116" s="12">
        <v>45978</v>
      </c>
      <c r="BG116" s="12">
        <v>45982</v>
      </c>
      <c r="BH116" s="10" t="s">
        <v>3174</v>
      </c>
      <c r="BI116" s="12">
        <v>45979</v>
      </c>
      <c r="BJ116" s="12">
        <v>45982</v>
      </c>
      <c r="BK116" s="174"/>
      <c r="BL116" s="12" t="str">
        <f t="shared" si="13"/>
        <v>Approved</v>
      </c>
      <c r="BM116" s="12" t="str">
        <f t="shared" si="14"/>
        <v>Approved</v>
      </c>
      <c r="BN116" s="12"/>
      <c r="BO116" s="12"/>
      <c r="BP116" s="155" t="s">
        <v>2011</v>
      </c>
      <c r="BQ116" s="12" t="s">
        <v>2526</v>
      </c>
      <c r="BR116" s="12"/>
      <c r="BS116" s="143" t="str">
        <f t="shared" ca="1" si="18"/>
        <v>Drop</v>
      </c>
      <c r="BT116" s="176"/>
      <c r="BU116" s="12"/>
      <c r="BV116" s="143" t="str">
        <f t="shared" ca="1" si="19"/>
        <v>Drop</v>
      </c>
      <c r="BW116" s="12"/>
      <c r="BX116" s="12"/>
      <c r="BY116" s="143"/>
      <c r="BZ116" s="13"/>
      <c r="CA116" s="13"/>
      <c r="CB116" s="13"/>
      <c r="CC116" s="13"/>
      <c r="CD116" s="13"/>
      <c r="CE116" s="198"/>
      <c r="CF116" s="198"/>
      <c r="CG116" s="273"/>
      <c r="CH116" s="273"/>
      <c r="CI116" s="198"/>
      <c r="CJ116" s="198"/>
      <c r="CK116" s="198"/>
      <c r="CL116" s="198"/>
    </row>
    <row r="117" spans="1:90">
      <c r="A117" s="187">
        <v>112</v>
      </c>
      <c r="B117" s="190" t="s">
        <v>2486</v>
      </c>
      <c r="C117" s="190" t="s">
        <v>2487</v>
      </c>
      <c r="D117" s="190" t="s">
        <v>135</v>
      </c>
      <c r="E117" s="8" t="e">
        <f ca="1">+_xlfn.CONCAT(G117,"-",B117,"_",C117,"_",_xlfn.XLOOKUP(BP117,Account!M:M,Account!N:N))</f>
        <v>#NAME?</v>
      </c>
      <c r="F117" s="12">
        <v>45848</v>
      </c>
      <c r="G117" s="190" t="s">
        <v>2145</v>
      </c>
      <c r="H117" s="190" t="s">
        <v>3167</v>
      </c>
      <c r="I117" s="10" t="s">
        <v>2146</v>
      </c>
      <c r="J117" s="190">
        <v>10</v>
      </c>
      <c r="K117" s="190" t="s">
        <v>2038</v>
      </c>
      <c r="L117" s="190" t="s">
        <v>3156</v>
      </c>
      <c r="M117" s="190" t="s">
        <v>3168</v>
      </c>
      <c r="N117" s="10" t="s">
        <v>3169</v>
      </c>
      <c r="O117" s="178" t="s">
        <v>3170</v>
      </c>
      <c r="P117" s="178" t="s">
        <v>3171</v>
      </c>
      <c r="Q117" s="327">
        <v>18868.812000000002</v>
      </c>
      <c r="R117" s="190">
        <v>70</v>
      </c>
      <c r="S117" s="190"/>
      <c r="T117" s="190" t="s">
        <v>2494</v>
      </c>
      <c r="U117" s="190" t="s">
        <v>2495</v>
      </c>
      <c r="V117" s="8" t="s">
        <v>1768</v>
      </c>
      <c r="W117" s="10" t="s">
        <v>1505</v>
      </c>
      <c r="X117" s="9"/>
      <c r="Y117" s="12"/>
      <c r="Z117" s="172"/>
      <c r="AA117" s="172"/>
      <c r="AB117" s="143" t="str">
        <f t="shared" ca="1" si="10"/>
        <v>NY Submit</v>
      </c>
      <c r="AC117" s="13"/>
      <c r="AD117" s="12">
        <v>45974</v>
      </c>
      <c r="AE117" s="12">
        <v>45978</v>
      </c>
      <c r="AF117" s="12" t="s">
        <v>2526</v>
      </c>
      <c r="AG117" s="12"/>
      <c r="AH117" s="11"/>
      <c r="AI117" s="11"/>
      <c r="AJ117" s="11"/>
      <c r="AK117" s="11"/>
      <c r="AL117" s="11"/>
      <c r="AM117" s="11"/>
      <c r="AN117" s="11"/>
      <c r="AO117" s="11" t="str">
        <f>+IF(AM117&lt;&gt;"","ATP App MS",IF(AL117&lt;&gt;"","OA/RFS",IF(AK117&lt;&gt;"","Install",IF(AH117&lt;&gt;"","Dismantle Perangkat",IF(AF117="Drop","Drop",IF(AE117&lt;&gt;"","Survey Report",IF(AD117&lt;&gt;"","Survey","NY Survey")))))))</f>
        <v>Drop</v>
      </c>
      <c r="AP117" s="173"/>
      <c r="AQ117" s="12"/>
      <c r="AR117" s="12"/>
      <c r="AS117" s="12"/>
      <c r="AT117" s="12"/>
      <c r="AU117" s="12"/>
      <c r="AV117" s="12"/>
      <c r="AW117" s="11" t="str">
        <f t="shared" si="11"/>
        <v>NY Submit</v>
      </c>
      <c r="AX117" s="12"/>
      <c r="AY117" s="12"/>
      <c r="AZ117" s="12"/>
      <c r="BA117" s="12"/>
      <c r="BB117" s="12"/>
      <c r="BC117" s="12"/>
      <c r="BD117" s="11" t="str">
        <f t="shared" si="12"/>
        <v>NY Submit</v>
      </c>
      <c r="BE117" s="174"/>
      <c r="BF117" s="12">
        <v>45978</v>
      </c>
      <c r="BG117" s="12">
        <v>45982</v>
      </c>
      <c r="BH117" s="10" t="s">
        <v>3174</v>
      </c>
      <c r="BI117" s="12">
        <v>45979</v>
      </c>
      <c r="BJ117" s="12">
        <v>45982</v>
      </c>
      <c r="BK117" s="174"/>
      <c r="BL117" s="12" t="str">
        <f t="shared" si="13"/>
        <v>Approved</v>
      </c>
      <c r="BM117" s="12" t="str">
        <f t="shared" si="14"/>
        <v>Approved</v>
      </c>
      <c r="BN117" s="12"/>
      <c r="BO117" s="12"/>
      <c r="BP117" s="155" t="s">
        <v>1768</v>
      </c>
      <c r="BQ117" s="12" t="s">
        <v>2526</v>
      </c>
      <c r="BR117" s="12"/>
      <c r="BS117" s="143" t="str">
        <f t="shared" ca="1" si="18"/>
        <v>Drop</v>
      </c>
      <c r="BT117" s="176"/>
      <c r="BU117" s="12"/>
      <c r="BV117" s="143" t="str">
        <f t="shared" ca="1" si="19"/>
        <v>Drop</v>
      </c>
      <c r="BW117" s="12"/>
      <c r="BX117" s="12"/>
      <c r="BY117" s="143"/>
      <c r="BZ117" s="13"/>
      <c r="CA117" s="13"/>
      <c r="CB117" s="13"/>
      <c r="CC117" s="13"/>
      <c r="CD117" s="13"/>
      <c r="CE117" s="198"/>
      <c r="CF117" s="198"/>
      <c r="CG117" s="273"/>
      <c r="CH117" s="273"/>
      <c r="CI117" s="198"/>
      <c r="CJ117" s="198"/>
      <c r="CK117" s="198"/>
      <c r="CL117" s="198"/>
    </row>
    <row r="118" spans="1:90">
      <c r="A118" s="186">
        <v>113</v>
      </c>
      <c r="B118" s="190" t="s">
        <v>2486</v>
      </c>
      <c r="C118" s="190" t="s">
        <v>2487</v>
      </c>
      <c r="D118" s="190" t="s">
        <v>135</v>
      </c>
      <c r="E118" s="8" t="e">
        <f ca="1">+_xlfn.CONCAT(G118,"-",B118,"_",C118,"_",_xlfn.XLOOKUP(BP118,Account!M:M,Account!N:N))</f>
        <v>#NAME?</v>
      </c>
      <c r="F118" s="12">
        <v>45848</v>
      </c>
      <c r="G118" s="190" t="s">
        <v>108</v>
      </c>
      <c r="H118" s="190" t="s">
        <v>3177</v>
      </c>
      <c r="I118" s="10" t="s">
        <v>109</v>
      </c>
      <c r="J118" s="190">
        <v>10</v>
      </c>
      <c r="K118" s="190" t="s">
        <v>2038</v>
      </c>
      <c r="L118" s="190" t="s">
        <v>3156</v>
      </c>
      <c r="M118" s="190" t="s">
        <v>3178</v>
      </c>
      <c r="N118" s="10" t="s">
        <v>3179</v>
      </c>
      <c r="O118" s="178" t="s">
        <v>3180</v>
      </c>
      <c r="P118" s="178" t="s">
        <v>3181</v>
      </c>
      <c r="Q118" s="327">
        <v>18868.812000000002</v>
      </c>
      <c r="R118" s="190">
        <v>70</v>
      </c>
      <c r="S118" s="190" t="s">
        <v>3182</v>
      </c>
      <c r="T118" s="190" t="s">
        <v>2494</v>
      </c>
      <c r="U118" s="190" t="s">
        <v>2495</v>
      </c>
      <c r="V118" s="8" t="s">
        <v>1760</v>
      </c>
      <c r="W118" s="10" t="s">
        <v>3148</v>
      </c>
      <c r="X118" s="9"/>
      <c r="Y118" s="12"/>
      <c r="Z118" s="172"/>
      <c r="AA118" s="172"/>
      <c r="AB118" s="143" t="str">
        <f t="shared" ca="1" si="10"/>
        <v>NY Submit</v>
      </c>
      <c r="AC118" s="13"/>
      <c r="AD118" s="12">
        <v>45853</v>
      </c>
      <c r="AE118" s="12">
        <v>45854</v>
      </c>
      <c r="AF118" s="12">
        <v>46043</v>
      </c>
      <c r="AG118" s="12"/>
      <c r="AH118" s="11"/>
      <c r="AI118" s="11"/>
      <c r="AJ118" s="11"/>
      <c r="AK118" s="11"/>
      <c r="AL118" s="11"/>
      <c r="AM118" s="11"/>
      <c r="AN118" s="11"/>
      <c r="AO118" s="11" t="str">
        <f>+IF(AN118&lt;&gt;"","BAST",IF(AI118&lt;&gt;"","Dismantle",IF(AG118&lt;&gt;"","RFD App",IF(AF118="Drop","Drop",IF(AE118&lt;&gt;"","Survey Report",IF(AD118&lt;&gt;"","Survey","NY Survey"))))))</f>
        <v>Survey Report</v>
      </c>
      <c r="AP118" s="173"/>
      <c r="AQ118" s="12">
        <v>46227</v>
      </c>
      <c r="AR118" s="12"/>
      <c r="AS118" s="12">
        <v>46227</v>
      </c>
      <c r="AT118" s="12"/>
      <c r="AU118" s="12"/>
      <c r="AV118" s="12"/>
      <c r="AW118" s="11" t="str">
        <f t="shared" si="11"/>
        <v>Engineering Structural Manager App</v>
      </c>
      <c r="AX118" s="12"/>
      <c r="AY118" s="12"/>
      <c r="AZ118" s="12"/>
      <c r="BA118" s="12"/>
      <c r="BB118" s="12"/>
      <c r="BC118" s="12"/>
      <c r="BD118" s="11" t="str">
        <f t="shared" si="12"/>
        <v>NY Submit</v>
      </c>
      <c r="BE118" s="174"/>
      <c r="BF118" s="12">
        <v>45855</v>
      </c>
      <c r="BG118" s="12">
        <v>45861</v>
      </c>
      <c r="BH118" s="10" t="s">
        <v>3183</v>
      </c>
      <c r="BI118" s="12">
        <v>45855</v>
      </c>
      <c r="BJ118" s="12">
        <v>45861</v>
      </c>
      <c r="BK118" s="200" t="s">
        <v>3184</v>
      </c>
      <c r="BL118" s="12" t="str">
        <f t="shared" si="13"/>
        <v>Approved</v>
      </c>
      <c r="BM118" s="12" t="str">
        <f t="shared" si="14"/>
        <v>Approved</v>
      </c>
      <c r="BN118" s="12"/>
      <c r="BO118" s="12"/>
      <c r="BP118" s="155" t="s">
        <v>1760</v>
      </c>
      <c r="BQ118" s="12" t="s">
        <v>3106</v>
      </c>
      <c r="BR118" s="12"/>
      <c r="BS118" s="143">
        <f t="shared" ca="1" si="18"/>
        <v>0</v>
      </c>
      <c r="BT118" s="176"/>
      <c r="BU118" s="12"/>
      <c r="BV118" s="143">
        <f t="shared" ca="1" si="19"/>
        <v>0</v>
      </c>
      <c r="BW118" s="12"/>
      <c r="BX118" s="12"/>
      <c r="BY118" s="143"/>
      <c r="BZ118" s="13" t="s">
        <v>3185</v>
      </c>
      <c r="CA118" s="13" t="s">
        <v>3186</v>
      </c>
      <c r="CB118" s="13" t="s">
        <v>2984</v>
      </c>
      <c r="CC118" s="13"/>
      <c r="CD118" s="13"/>
      <c r="CE118" s="198" t="s">
        <v>113</v>
      </c>
      <c r="CF118" s="198" t="s">
        <v>114</v>
      </c>
      <c r="CG118" s="274" t="s">
        <v>3187</v>
      </c>
      <c r="CH118" s="274" t="s">
        <v>3188</v>
      </c>
      <c r="CI118" s="198"/>
      <c r="CJ118" s="198"/>
      <c r="CK118" s="198"/>
      <c r="CL118" s="198"/>
    </row>
    <row r="119" spans="1:90">
      <c r="A119" s="186">
        <v>114</v>
      </c>
      <c r="B119" s="190" t="s">
        <v>2486</v>
      </c>
      <c r="C119" s="190" t="s">
        <v>2487</v>
      </c>
      <c r="D119" s="190" t="s">
        <v>135</v>
      </c>
      <c r="E119" s="8" t="e">
        <f ca="1">+_xlfn.CONCAT(G119,"-",B119,"_",C119,"_",_xlfn.XLOOKUP(BP119,Account!M:M,Account!N:N))</f>
        <v>#NAME?</v>
      </c>
      <c r="F119" s="12">
        <v>45848</v>
      </c>
      <c r="G119" s="190" t="s">
        <v>108</v>
      </c>
      <c r="H119" s="190" t="s">
        <v>3177</v>
      </c>
      <c r="I119" s="10" t="s">
        <v>109</v>
      </c>
      <c r="J119" s="190">
        <v>10</v>
      </c>
      <c r="K119" s="190" t="s">
        <v>2038</v>
      </c>
      <c r="L119" s="190" t="s">
        <v>3156</v>
      </c>
      <c r="M119" s="190" t="s">
        <v>3178</v>
      </c>
      <c r="N119" s="10" t="s">
        <v>3179</v>
      </c>
      <c r="O119" s="178" t="s">
        <v>3180</v>
      </c>
      <c r="P119" s="178" t="s">
        <v>3181</v>
      </c>
      <c r="Q119" s="327">
        <v>18868.812000000002</v>
      </c>
      <c r="R119" s="190">
        <v>70</v>
      </c>
      <c r="S119" s="190" t="s">
        <v>3182</v>
      </c>
      <c r="T119" s="190" t="s">
        <v>2494</v>
      </c>
      <c r="U119" s="190" t="s">
        <v>2495</v>
      </c>
      <c r="V119" s="8" t="s">
        <v>2011</v>
      </c>
      <c r="W119" s="10" t="s">
        <v>3148</v>
      </c>
      <c r="X119" s="9"/>
      <c r="Y119" s="12"/>
      <c r="Z119" s="172"/>
      <c r="AA119" s="172"/>
      <c r="AB119" s="143" t="str">
        <f t="shared" ca="1" si="10"/>
        <v>NY Submit</v>
      </c>
      <c r="AC119" s="13"/>
      <c r="AD119" s="12">
        <v>45853</v>
      </c>
      <c r="AE119" s="12">
        <v>45854</v>
      </c>
      <c r="AF119" s="12">
        <v>46043</v>
      </c>
      <c r="AG119" s="12"/>
      <c r="AH119" s="11"/>
      <c r="AI119" s="11"/>
      <c r="AJ119" s="11"/>
      <c r="AK119" s="11"/>
      <c r="AL119" s="11"/>
      <c r="AM119" s="11"/>
      <c r="AN119" s="11"/>
      <c r="AO119" s="11" t="str">
        <f>+IF(AM119&lt;&gt;"","ATP App MS",IF(AJ119&lt;&gt;"","Inbound",IF(AH119&lt;&gt;"","Dismantle Perangkat",IF(AF119="Drop","Drop",IF(AE119&lt;&gt;"","Survey Report",IF(AD119&lt;&gt;"","Survey","NY Survey"))))))</f>
        <v>Survey Report</v>
      </c>
      <c r="AP119" s="173"/>
      <c r="AQ119" s="12">
        <v>46227</v>
      </c>
      <c r="AR119" s="12"/>
      <c r="AS119" s="12">
        <v>46227</v>
      </c>
      <c r="AT119" s="12"/>
      <c r="AU119" s="12"/>
      <c r="AV119" s="12"/>
      <c r="AW119" s="11" t="str">
        <f t="shared" si="11"/>
        <v>Engineering Structural Manager App</v>
      </c>
      <c r="AX119" s="12"/>
      <c r="AY119" s="12"/>
      <c r="AZ119" s="12"/>
      <c r="BA119" s="12"/>
      <c r="BB119" s="12"/>
      <c r="BC119" s="12"/>
      <c r="BD119" s="11" t="str">
        <f t="shared" si="12"/>
        <v>NY Submit</v>
      </c>
      <c r="BE119" s="174"/>
      <c r="BF119" s="12">
        <v>45855</v>
      </c>
      <c r="BG119" s="12">
        <v>45861</v>
      </c>
      <c r="BH119" s="10" t="s">
        <v>3183</v>
      </c>
      <c r="BI119" s="12">
        <v>45855</v>
      </c>
      <c r="BJ119" s="12">
        <v>45861</v>
      </c>
      <c r="BK119" s="174"/>
      <c r="BL119" s="12" t="str">
        <f t="shared" si="13"/>
        <v>Approved</v>
      </c>
      <c r="BM119" s="12" t="str">
        <f t="shared" si="14"/>
        <v>Approved</v>
      </c>
      <c r="BN119" s="12"/>
      <c r="BO119" s="12"/>
      <c r="BP119" s="155" t="s">
        <v>2011</v>
      </c>
      <c r="BQ119" s="12" t="s">
        <v>3106</v>
      </c>
      <c r="BR119" s="12"/>
      <c r="BS119" s="143">
        <f t="shared" ca="1" si="18"/>
        <v>0</v>
      </c>
      <c r="BT119" s="176"/>
      <c r="BU119" s="12"/>
      <c r="BV119" s="143">
        <f t="shared" ca="1" si="19"/>
        <v>0</v>
      </c>
      <c r="BW119" s="12"/>
      <c r="BX119" s="12"/>
      <c r="BY119" s="143"/>
      <c r="BZ119" s="13" t="s">
        <v>3185</v>
      </c>
      <c r="CA119" s="13" t="s">
        <v>3186</v>
      </c>
      <c r="CB119" s="13" t="s">
        <v>2984</v>
      </c>
      <c r="CC119" s="13"/>
      <c r="CD119" s="13"/>
      <c r="CE119" s="198" t="s">
        <v>113</v>
      </c>
      <c r="CF119" s="198" t="s">
        <v>114</v>
      </c>
      <c r="CG119" s="274" t="s">
        <v>3187</v>
      </c>
      <c r="CH119" s="274" t="s">
        <v>3188</v>
      </c>
      <c r="CI119" s="198"/>
      <c r="CJ119" s="198"/>
      <c r="CK119" s="198"/>
      <c r="CL119" s="198"/>
    </row>
    <row r="120" spans="1:90">
      <c r="A120" s="186">
        <v>115</v>
      </c>
      <c r="B120" s="190" t="s">
        <v>2486</v>
      </c>
      <c r="C120" s="190" t="s">
        <v>2487</v>
      </c>
      <c r="D120" s="190" t="s">
        <v>135</v>
      </c>
      <c r="E120" s="8" t="e">
        <f ca="1">+_xlfn.CONCAT(G120,"-",B120,"_",C120,"_",_xlfn.XLOOKUP(BP120,Account!M:M,Account!N:N))</f>
        <v>#NAME?</v>
      </c>
      <c r="F120" s="12">
        <v>45848</v>
      </c>
      <c r="G120" s="190" t="s">
        <v>108</v>
      </c>
      <c r="H120" s="190" t="s">
        <v>3177</v>
      </c>
      <c r="I120" s="10" t="s">
        <v>109</v>
      </c>
      <c r="J120" s="190">
        <v>10</v>
      </c>
      <c r="K120" s="190" t="s">
        <v>2038</v>
      </c>
      <c r="L120" s="190" t="s">
        <v>3156</v>
      </c>
      <c r="M120" s="190" t="s">
        <v>3178</v>
      </c>
      <c r="N120" s="10" t="s">
        <v>3179</v>
      </c>
      <c r="O120" s="178" t="s">
        <v>3180</v>
      </c>
      <c r="P120" s="178" t="s">
        <v>3181</v>
      </c>
      <c r="Q120" s="327">
        <v>18868.812000000002</v>
      </c>
      <c r="R120" s="190">
        <v>70</v>
      </c>
      <c r="S120" s="190" t="s">
        <v>3182</v>
      </c>
      <c r="T120" s="190" t="s">
        <v>2494</v>
      </c>
      <c r="U120" s="190" t="s">
        <v>2495</v>
      </c>
      <c r="V120" s="8" t="s">
        <v>1768</v>
      </c>
      <c r="W120" s="10" t="s">
        <v>3148</v>
      </c>
      <c r="X120" s="9"/>
      <c r="Y120" s="12"/>
      <c r="Z120" s="172"/>
      <c r="AA120" s="172"/>
      <c r="AB120" s="143" t="str">
        <f t="shared" ca="1" si="10"/>
        <v>NY Submit</v>
      </c>
      <c r="AC120" s="13"/>
      <c r="AD120" s="12">
        <v>45853</v>
      </c>
      <c r="AE120" s="12">
        <v>45854</v>
      </c>
      <c r="AF120" s="12">
        <v>46043</v>
      </c>
      <c r="AG120" s="12"/>
      <c r="AH120" s="11"/>
      <c r="AI120" s="11"/>
      <c r="AJ120" s="11"/>
      <c r="AK120" s="11"/>
      <c r="AL120" s="11"/>
      <c r="AM120" s="11"/>
      <c r="AN120" s="11"/>
      <c r="AO120" s="11" t="str">
        <f>+IF(AM120&lt;&gt;"","ATP App MS",IF(AL120&lt;&gt;"","OA/RFS",IF(AK120&lt;&gt;"","Install",IF(AH120&lt;&gt;"","Dismantle Perangkat",IF(AF120="Drop","Drop",IF(AE120&lt;&gt;"","Survey Report",IF(AD120&lt;&gt;"","Survey","NY Survey")))))))</f>
        <v>Survey Report</v>
      </c>
      <c r="AP120" s="173"/>
      <c r="AQ120" s="12">
        <v>46227</v>
      </c>
      <c r="AR120" s="12"/>
      <c r="AS120" s="12">
        <v>46227</v>
      </c>
      <c r="AT120" s="12"/>
      <c r="AU120" s="12"/>
      <c r="AV120" s="12"/>
      <c r="AW120" s="11" t="str">
        <f t="shared" si="11"/>
        <v>Engineering Structural Manager App</v>
      </c>
      <c r="AX120" s="12"/>
      <c r="AY120" s="12"/>
      <c r="AZ120" s="12"/>
      <c r="BA120" s="12"/>
      <c r="BB120" s="12"/>
      <c r="BC120" s="12"/>
      <c r="BD120" s="11" t="str">
        <f t="shared" si="12"/>
        <v>NY Submit</v>
      </c>
      <c r="BE120" s="174"/>
      <c r="BF120" s="12">
        <v>45855</v>
      </c>
      <c r="BG120" s="12">
        <v>45861</v>
      </c>
      <c r="BH120" s="10" t="s">
        <v>3183</v>
      </c>
      <c r="BI120" s="12">
        <v>45855</v>
      </c>
      <c r="BJ120" s="12">
        <v>45861</v>
      </c>
      <c r="BK120" s="200"/>
      <c r="BL120" s="12" t="str">
        <f t="shared" si="13"/>
        <v>Approved</v>
      </c>
      <c r="BM120" s="12" t="str">
        <f t="shared" si="14"/>
        <v>Approved</v>
      </c>
      <c r="BN120" s="12"/>
      <c r="BO120" s="12"/>
      <c r="BP120" s="155" t="s">
        <v>1768</v>
      </c>
      <c r="BQ120" s="12" t="s">
        <v>3106</v>
      </c>
      <c r="BR120" s="12"/>
      <c r="BS120" s="143">
        <f t="shared" ca="1" si="18"/>
        <v>0</v>
      </c>
      <c r="BT120" s="176"/>
      <c r="BU120" s="12"/>
      <c r="BV120" s="143">
        <f t="shared" ca="1" si="19"/>
        <v>0</v>
      </c>
      <c r="BW120" s="12"/>
      <c r="BX120" s="12"/>
      <c r="BY120" s="143"/>
      <c r="BZ120" s="13" t="s">
        <v>3185</v>
      </c>
      <c r="CA120" s="13" t="s">
        <v>3186</v>
      </c>
      <c r="CB120" s="13" t="s">
        <v>2984</v>
      </c>
      <c r="CC120" s="13"/>
      <c r="CD120" s="13"/>
      <c r="CE120" s="198" t="s">
        <v>113</v>
      </c>
      <c r="CF120" s="198" t="s">
        <v>114</v>
      </c>
      <c r="CG120" s="274" t="s">
        <v>3187</v>
      </c>
      <c r="CH120" s="274" t="s">
        <v>3188</v>
      </c>
      <c r="CI120" s="198"/>
      <c r="CJ120" s="198"/>
      <c r="CK120" s="198"/>
      <c r="CL120" s="198"/>
    </row>
    <row r="121" spans="1:90">
      <c r="A121" s="187">
        <v>116</v>
      </c>
      <c r="B121" s="190" t="s">
        <v>2486</v>
      </c>
      <c r="C121" s="190" t="s">
        <v>2487</v>
      </c>
      <c r="D121" s="190" t="s">
        <v>135</v>
      </c>
      <c r="E121" s="8" t="e">
        <f ca="1">+_xlfn.CONCAT(G121,"-",B121,"_",C121,"_",_xlfn.XLOOKUP(BP121,Account!M:M,Account!N:N))</f>
        <v>#NAME?</v>
      </c>
      <c r="F121" s="12">
        <v>45848</v>
      </c>
      <c r="G121" s="190" t="s">
        <v>557</v>
      </c>
      <c r="H121" s="190" t="s">
        <v>3189</v>
      </c>
      <c r="I121" s="10" t="s">
        <v>558</v>
      </c>
      <c r="J121" s="190">
        <v>10</v>
      </c>
      <c r="K121" s="190" t="s">
        <v>2038</v>
      </c>
      <c r="L121" s="190" t="s">
        <v>3156</v>
      </c>
      <c r="M121" s="190" t="s">
        <v>3178</v>
      </c>
      <c r="N121" s="10" t="s">
        <v>3190</v>
      </c>
      <c r="O121" s="178" t="s">
        <v>3191</v>
      </c>
      <c r="P121" s="178" t="s">
        <v>3192</v>
      </c>
      <c r="Q121" s="327">
        <v>16015.06</v>
      </c>
      <c r="R121" s="190">
        <v>55</v>
      </c>
      <c r="S121" s="190" t="s">
        <v>3193</v>
      </c>
      <c r="T121" s="190" t="s">
        <v>2494</v>
      </c>
      <c r="U121" s="190" t="s">
        <v>2495</v>
      </c>
      <c r="V121" s="8" t="s">
        <v>1760</v>
      </c>
      <c r="W121" s="10" t="s">
        <v>3148</v>
      </c>
      <c r="X121" s="9"/>
      <c r="Y121" s="172" t="s">
        <v>2496</v>
      </c>
      <c r="Z121" s="172">
        <v>46127</v>
      </c>
      <c r="AA121" s="172">
        <v>46133</v>
      </c>
      <c r="AB121" s="143" t="str">
        <f t="shared" ca="1" si="10"/>
        <v>Expired</v>
      </c>
      <c r="AC121" s="13"/>
      <c r="AD121" s="12">
        <v>45850</v>
      </c>
      <c r="AE121" s="12">
        <v>45851</v>
      </c>
      <c r="AF121" s="12"/>
      <c r="AG121" s="12">
        <v>46122</v>
      </c>
      <c r="AH121" s="11"/>
      <c r="AI121" s="11">
        <v>46134</v>
      </c>
      <c r="AJ121" s="11"/>
      <c r="AK121" s="11"/>
      <c r="AL121" s="11"/>
      <c r="AM121" s="11"/>
      <c r="AN121" s="11"/>
      <c r="AO121" s="11" t="str">
        <f>+IF(AN121&lt;&gt;"","BAST",IF(AI121&lt;&gt;"","Dismantle",IF(AG121&lt;&gt;"","RFD App",IF(AF121="Drop","Drop",IF(AE121&lt;&gt;"","Survey Report",IF(AD121&lt;&gt;"","Survey","NY Survey"))))))</f>
        <v>Dismantle</v>
      </c>
      <c r="AP121" s="173" t="s">
        <v>3194</v>
      </c>
      <c r="AQ121" s="12">
        <v>46036</v>
      </c>
      <c r="AR121" s="12">
        <v>46062</v>
      </c>
      <c r="AS121" s="12">
        <v>46037</v>
      </c>
      <c r="AT121" s="12">
        <v>46118</v>
      </c>
      <c r="AU121" s="12">
        <v>46062</v>
      </c>
      <c r="AV121" s="12">
        <v>46062</v>
      </c>
      <c r="AW121" s="11" t="str">
        <f t="shared" si="11"/>
        <v>1st BOQ App on ISAAC</v>
      </c>
      <c r="AX121" s="12"/>
      <c r="AY121" s="12"/>
      <c r="AZ121" s="12"/>
      <c r="BA121" s="12"/>
      <c r="BB121" s="12"/>
      <c r="BC121" s="12"/>
      <c r="BD121" s="11" t="str">
        <f t="shared" si="12"/>
        <v>NY Submit</v>
      </c>
      <c r="BE121" s="174"/>
      <c r="BF121" s="12">
        <v>45855</v>
      </c>
      <c r="BG121" s="12">
        <v>45861</v>
      </c>
      <c r="BH121" s="10" t="s">
        <v>3195</v>
      </c>
      <c r="BI121" s="12">
        <v>45855</v>
      </c>
      <c r="BJ121" s="12">
        <v>45861</v>
      </c>
      <c r="BK121" s="174" t="s">
        <v>3196</v>
      </c>
      <c r="BL121" s="12" t="str">
        <f t="shared" si="13"/>
        <v>Approved</v>
      </c>
      <c r="BM121" s="12" t="str">
        <f t="shared" si="14"/>
        <v>Approved</v>
      </c>
      <c r="BN121" s="12">
        <v>46146</v>
      </c>
      <c r="BO121" s="12">
        <v>46146</v>
      </c>
      <c r="BP121" s="155" t="s">
        <v>1760</v>
      </c>
      <c r="BQ121" s="12" t="s">
        <v>3197</v>
      </c>
      <c r="BR121" s="12">
        <v>46078</v>
      </c>
      <c r="BS121" s="143">
        <f t="shared" ca="1" si="18"/>
        <v>16</v>
      </c>
      <c r="BT121" s="176"/>
      <c r="BU121" s="12"/>
      <c r="BV121" s="143">
        <f t="shared" ca="1" si="19"/>
        <v>0</v>
      </c>
      <c r="BW121" s="12"/>
      <c r="BX121" s="12"/>
      <c r="BY121" s="143"/>
      <c r="BZ121" s="13" t="s">
        <v>2500</v>
      </c>
      <c r="CA121" s="13" t="s">
        <v>2555</v>
      </c>
      <c r="CB121" s="13" t="s">
        <v>2486</v>
      </c>
      <c r="CC121" s="13"/>
      <c r="CD121" s="13"/>
      <c r="CE121" s="198" t="s">
        <v>3198</v>
      </c>
      <c r="CF121" s="198" t="s">
        <v>3199</v>
      </c>
      <c r="CG121" s="273" t="s">
        <v>3200</v>
      </c>
      <c r="CH121" s="273" t="s">
        <v>3201</v>
      </c>
      <c r="CI121" s="198"/>
      <c r="CJ121" s="198"/>
      <c r="CK121" s="198"/>
      <c r="CL121" s="198"/>
    </row>
    <row r="122" spans="1:90" ht="60" customHeight="1">
      <c r="A122" s="187">
        <v>117</v>
      </c>
      <c r="B122" s="190" t="s">
        <v>2486</v>
      </c>
      <c r="C122" s="190" t="s">
        <v>2487</v>
      </c>
      <c r="D122" s="190" t="s">
        <v>135</v>
      </c>
      <c r="E122" s="8" t="e">
        <f ca="1">+_xlfn.CONCAT(G122,"-",B122,"_",C122,"_",_xlfn.XLOOKUP(BP122,Account!M:M,Account!N:N))</f>
        <v>#NAME?</v>
      </c>
      <c r="F122" s="12">
        <v>45848</v>
      </c>
      <c r="G122" s="190" t="s">
        <v>557</v>
      </c>
      <c r="H122" s="190" t="s">
        <v>3189</v>
      </c>
      <c r="I122" s="10" t="s">
        <v>558</v>
      </c>
      <c r="J122" s="190">
        <v>10</v>
      </c>
      <c r="K122" s="190" t="s">
        <v>2038</v>
      </c>
      <c r="L122" s="190" t="s">
        <v>3156</v>
      </c>
      <c r="M122" s="190" t="s">
        <v>3178</v>
      </c>
      <c r="N122" s="10" t="s">
        <v>3190</v>
      </c>
      <c r="O122" s="178" t="s">
        <v>3191</v>
      </c>
      <c r="P122" s="178" t="s">
        <v>3192</v>
      </c>
      <c r="Q122" s="327">
        <v>16015.06</v>
      </c>
      <c r="R122" s="190">
        <v>55</v>
      </c>
      <c r="S122" s="190" t="s">
        <v>3193</v>
      </c>
      <c r="T122" s="190" t="s">
        <v>2494</v>
      </c>
      <c r="U122" s="190" t="s">
        <v>2495</v>
      </c>
      <c r="V122" s="8" t="s">
        <v>2011</v>
      </c>
      <c r="W122" s="10" t="s">
        <v>3148</v>
      </c>
      <c r="X122" s="9"/>
      <c r="Y122" s="172" t="s">
        <v>2496</v>
      </c>
      <c r="Z122" s="172">
        <v>46118</v>
      </c>
      <c r="AA122" s="172">
        <v>46124</v>
      </c>
      <c r="AB122" s="143" t="str">
        <f t="shared" ca="1" si="10"/>
        <v>Expired</v>
      </c>
      <c r="AC122" s="13"/>
      <c r="AD122" s="12">
        <v>45850</v>
      </c>
      <c r="AE122" s="12">
        <v>45851</v>
      </c>
      <c r="AF122" s="12"/>
      <c r="AG122" s="12">
        <v>46122</v>
      </c>
      <c r="AH122" s="11">
        <v>46127</v>
      </c>
      <c r="AI122" s="11"/>
      <c r="AJ122" s="11">
        <v>46192</v>
      </c>
      <c r="AK122" s="11"/>
      <c r="AL122" s="11"/>
      <c r="AM122" s="11">
        <v>46129</v>
      </c>
      <c r="AN122" s="11">
        <v>46129</v>
      </c>
      <c r="AO122" s="11" t="str">
        <f>+IF(AM122&lt;&gt;"","ATP App MS",IF(AJ122&lt;&gt;"","Inbound",IF(AH122&lt;&gt;"","Dismantle Perangkat",IF(AF122="Drop","Drop",IF(AE122&lt;&gt;"","Survey Report",IF(AD122&lt;&gt;"","Survey","NY Survey"))))))</f>
        <v>ATP App MS</v>
      </c>
      <c r="AP122" s="185" t="s">
        <v>3202</v>
      </c>
      <c r="AQ122" s="12">
        <v>46036</v>
      </c>
      <c r="AR122" s="12">
        <v>46062</v>
      </c>
      <c r="AS122" s="12">
        <v>46037</v>
      </c>
      <c r="AT122" s="12">
        <v>46118</v>
      </c>
      <c r="AU122" s="12">
        <v>46062</v>
      </c>
      <c r="AV122" s="12">
        <v>46062</v>
      </c>
      <c r="AW122" s="11" t="str">
        <f t="shared" si="11"/>
        <v>1st BOQ App on ISAAC</v>
      </c>
      <c r="AX122" s="12"/>
      <c r="AY122" s="12"/>
      <c r="AZ122" s="12"/>
      <c r="BA122" s="12"/>
      <c r="BB122" s="12"/>
      <c r="BC122" s="12"/>
      <c r="BD122" s="11" t="str">
        <f t="shared" si="12"/>
        <v>NY Submit</v>
      </c>
      <c r="BE122" s="174"/>
      <c r="BF122" s="12">
        <v>45855</v>
      </c>
      <c r="BG122" s="12">
        <v>45861</v>
      </c>
      <c r="BH122" s="10" t="s">
        <v>3195</v>
      </c>
      <c r="BI122" s="12">
        <v>45855</v>
      </c>
      <c r="BJ122" s="12">
        <v>45861</v>
      </c>
      <c r="BK122" s="174"/>
      <c r="BL122" s="12" t="str">
        <f t="shared" si="13"/>
        <v>Approved</v>
      </c>
      <c r="BM122" s="12" t="str">
        <f t="shared" si="14"/>
        <v>Approved</v>
      </c>
      <c r="BN122" s="12"/>
      <c r="BO122" s="12"/>
      <c r="BP122" s="155" t="s">
        <v>2011</v>
      </c>
      <c r="BQ122" s="12" t="s">
        <v>2718</v>
      </c>
      <c r="BR122" s="12">
        <v>46078</v>
      </c>
      <c r="BS122" s="143">
        <f t="shared" ca="1" si="18"/>
        <v>16</v>
      </c>
      <c r="BT122" s="176"/>
      <c r="BU122" s="12"/>
      <c r="BV122" s="143">
        <f t="shared" ca="1" si="19"/>
        <v>0</v>
      </c>
      <c r="BW122" s="12"/>
      <c r="BX122" s="12"/>
      <c r="BY122" s="143"/>
      <c r="BZ122" s="13" t="s">
        <v>3203</v>
      </c>
      <c r="CA122" s="13" t="s">
        <v>2555</v>
      </c>
      <c r="CB122" s="13" t="s">
        <v>2486</v>
      </c>
      <c r="CC122" s="13"/>
      <c r="CD122" s="13"/>
      <c r="CE122" s="198" t="s">
        <v>3198</v>
      </c>
      <c r="CF122" s="198" t="s">
        <v>3199</v>
      </c>
      <c r="CG122" s="273" t="s">
        <v>3200</v>
      </c>
      <c r="CH122" s="273" t="s">
        <v>3201</v>
      </c>
      <c r="CI122" s="198" t="s">
        <v>3204</v>
      </c>
      <c r="CJ122" s="198" t="s">
        <v>3205</v>
      </c>
      <c r="CK122" s="198"/>
      <c r="CL122" s="198"/>
    </row>
    <row r="123" spans="1:90" ht="60" customHeight="1">
      <c r="A123" s="187">
        <v>118</v>
      </c>
      <c r="B123" s="190" t="s">
        <v>2486</v>
      </c>
      <c r="C123" s="190" t="s">
        <v>2487</v>
      </c>
      <c r="D123" s="190" t="s">
        <v>135</v>
      </c>
      <c r="E123" s="8" t="e">
        <f ca="1">+_xlfn.CONCAT(G123,"-",B123,"_",C123,"_",_xlfn.XLOOKUP(BP123,Account!M:M,Account!N:N))</f>
        <v>#NAME?</v>
      </c>
      <c r="F123" s="12">
        <v>45848</v>
      </c>
      <c r="G123" s="190" t="s">
        <v>557</v>
      </c>
      <c r="H123" s="190" t="s">
        <v>3189</v>
      </c>
      <c r="I123" s="10" t="s">
        <v>558</v>
      </c>
      <c r="J123" s="190">
        <v>10</v>
      </c>
      <c r="K123" s="190" t="s">
        <v>2038</v>
      </c>
      <c r="L123" s="190" t="s">
        <v>3156</v>
      </c>
      <c r="M123" s="190" t="s">
        <v>3178</v>
      </c>
      <c r="N123" s="10" t="s">
        <v>3190</v>
      </c>
      <c r="O123" s="178" t="s">
        <v>3191</v>
      </c>
      <c r="P123" s="178" t="s">
        <v>3192</v>
      </c>
      <c r="Q123" s="327">
        <v>16015.06</v>
      </c>
      <c r="R123" s="190">
        <v>55</v>
      </c>
      <c r="S123" s="190" t="s">
        <v>3193</v>
      </c>
      <c r="T123" s="190" t="s">
        <v>2494</v>
      </c>
      <c r="U123" s="190" t="s">
        <v>2495</v>
      </c>
      <c r="V123" s="8" t="s">
        <v>1768</v>
      </c>
      <c r="W123" s="10" t="s">
        <v>3148</v>
      </c>
      <c r="X123" s="9"/>
      <c r="Y123" s="172" t="s">
        <v>2496</v>
      </c>
      <c r="Z123" s="172">
        <v>46118</v>
      </c>
      <c r="AA123" s="172">
        <v>46124</v>
      </c>
      <c r="AB123" s="143" t="str">
        <f t="shared" ca="1" si="10"/>
        <v>Expired</v>
      </c>
      <c r="AC123" s="13"/>
      <c r="AD123" s="12">
        <v>45850</v>
      </c>
      <c r="AE123" s="12">
        <v>45851</v>
      </c>
      <c r="AF123" s="12"/>
      <c r="AG123" s="12">
        <v>46122</v>
      </c>
      <c r="AH123" s="11"/>
      <c r="AI123" s="11"/>
      <c r="AJ123" s="11"/>
      <c r="AK123" s="11">
        <v>46129</v>
      </c>
      <c r="AL123" s="11">
        <v>46129</v>
      </c>
      <c r="AM123" s="11">
        <v>46129</v>
      </c>
      <c r="AN123" s="11">
        <v>46129</v>
      </c>
      <c r="AO123" s="11" t="str">
        <f>+IF(AM123&lt;&gt;"","ATP App MS",IF(AL123&lt;&gt;"","OA/RFS",IF(AK123&lt;&gt;"","Install",IF(AH123&lt;&gt;"","Dismantle Perangkat",IF(AF123="Drop","Drop",IF(AE123&lt;&gt;"","Survey Report",IF(AD123&lt;&gt;"","Survey","NY Survey")))))))</f>
        <v>ATP App MS</v>
      </c>
      <c r="AP123" s="185" t="s">
        <v>3206</v>
      </c>
      <c r="AQ123" s="12">
        <v>46036</v>
      </c>
      <c r="AR123" s="12">
        <v>46062</v>
      </c>
      <c r="AS123" s="12">
        <v>46037</v>
      </c>
      <c r="AT123" s="12">
        <v>46118</v>
      </c>
      <c r="AU123" s="12">
        <v>46062</v>
      </c>
      <c r="AV123" s="12">
        <v>46062</v>
      </c>
      <c r="AW123" s="11" t="str">
        <f t="shared" si="11"/>
        <v>1st BOQ App on ISAAC</v>
      </c>
      <c r="AX123" s="12">
        <v>46118</v>
      </c>
      <c r="AY123" s="12">
        <v>46140</v>
      </c>
      <c r="AZ123" s="12" t="s">
        <v>3207</v>
      </c>
      <c r="BA123" s="12">
        <v>46147</v>
      </c>
      <c r="BB123" s="12">
        <v>46153</v>
      </c>
      <c r="BC123" s="12">
        <v>46153</v>
      </c>
      <c r="BD123" s="11" t="str">
        <f t="shared" si="12"/>
        <v>2nd BOQ App on ISAAC</v>
      </c>
      <c r="BE123" s="174"/>
      <c r="BF123" s="12">
        <v>45855</v>
      </c>
      <c r="BG123" s="12">
        <v>45861</v>
      </c>
      <c r="BH123" s="10" t="s">
        <v>3195</v>
      </c>
      <c r="BI123" s="12">
        <v>45855</v>
      </c>
      <c r="BJ123" s="12">
        <v>45861</v>
      </c>
      <c r="BK123" s="174"/>
      <c r="BL123" s="12" t="str">
        <f t="shared" si="13"/>
        <v>Approved</v>
      </c>
      <c r="BM123" s="12" t="str">
        <f t="shared" si="14"/>
        <v>Approved</v>
      </c>
      <c r="BN123" s="12"/>
      <c r="BO123" s="12"/>
      <c r="BP123" s="155" t="s">
        <v>1768</v>
      </c>
      <c r="BQ123" s="12" t="s">
        <v>3208</v>
      </c>
      <c r="BR123" s="12">
        <v>46078</v>
      </c>
      <c r="BS123" s="143">
        <f t="shared" ca="1" si="18"/>
        <v>16</v>
      </c>
      <c r="BT123" s="176" t="s">
        <v>3209</v>
      </c>
      <c r="BU123" s="12">
        <v>46171</v>
      </c>
      <c r="BV123" s="143">
        <f t="shared" ca="1" si="19"/>
        <v>18</v>
      </c>
      <c r="BW123" s="12"/>
      <c r="BX123" s="12"/>
      <c r="BY123" s="143"/>
      <c r="BZ123" s="13" t="s">
        <v>3203</v>
      </c>
      <c r="CA123" s="13" t="s">
        <v>2555</v>
      </c>
      <c r="CB123" s="13" t="s">
        <v>2486</v>
      </c>
      <c r="CC123" s="13"/>
      <c r="CD123" s="13"/>
      <c r="CE123" s="198" t="s">
        <v>3198</v>
      </c>
      <c r="CF123" s="198" t="s">
        <v>3199</v>
      </c>
      <c r="CG123" s="273" t="s">
        <v>3200</v>
      </c>
      <c r="CH123" s="273" t="s">
        <v>3201</v>
      </c>
      <c r="CI123" s="198" t="s">
        <v>3204</v>
      </c>
      <c r="CJ123" s="198" t="s">
        <v>3205</v>
      </c>
      <c r="CK123" s="198"/>
      <c r="CL123" s="198"/>
    </row>
    <row r="124" spans="1:90" ht="30" customHeight="1">
      <c r="A124" s="187">
        <v>119</v>
      </c>
      <c r="B124" s="190" t="s">
        <v>2486</v>
      </c>
      <c r="C124" s="190" t="s">
        <v>2487</v>
      </c>
      <c r="D124" s="190" t="s">
        <v>135</v>
      </c>
      <c r="E124" s="8" t="e">
        <f ca="1">+_xlfn.CONCAT(G124,"-",B124,"_",C124,"_",_xlfn.XLOOKUP(BP124,Account!M:M,Account!N:N))</f>
        <v>#NAME?</v>
      </c>
      <c r="F124" s="12">
        <v>45862</v>
      </c>
      <c r="G124" s="190" t="s">
        <v>1796</v>
      </c>
      <c r="H124" s="190" t="s">
        <v>3210</v>
      </c>
      <c r="I124" s="10" t="s">
        <v>1797</v>
      </c>
      <c r="J124" s="190">
        <v>6</v>
      </c>
      <c r="K124" s="190" t="s">
        <v>2038</v>
      </c>
      <c r="L124" s="190" t="s">
        <v>3052</v>
      </c>
      <c r="M124" s="190" t="s">
        <v>3211</v>
      </c>
      <c r="N124" s="10" t="s">
        <v>3212</v>
      </c>
      <c r="O124" s="178" t="s">
        <v>3213</v>
      </c>
      <c r="P124" s="178" t="s">
        <v>3214</v>
      </c>
      <c r="Q124" s="327">
        <v>4519.5200000000004</v>
      </c>
      <c r="R124" s="190"/>
      <c r="S124" s="190"/>
      <c r="T124" s="190" t="s">
        <v>2518</v>
      </c>
      <c r="U124" s="190" t="s">
        <v>2565</v>
      </c>
      <c r="V124" s="8" t="s">
        <v>1760</v>
      </c>
      <c r="W124" s="10" t="s">
        <v>3215</v>
      </c>
      <c r="X124" s="9"/>
      <c r="Y124" s="12" t="s">
        <v>2496</v>
      </c>
      <c r="Z124" s="172">
        <v>46092</v>
      </c>
      <c r="AA124" s="172">
        <v>46098</v>
      </c>
      <c r="AB124" s="143" t="str">
        <f t="shared" ca="1" si="10"/>
        <v>Expired</v>
      </c>
      <c r="AC124" s="13"/>
      <c r="AD124" s="12">
        <v>45869</v>
      </c>
      <c r="AE124" s="12">
        <v>45869</v>
      </c>
      <c r="AF124" s="12"/>
      <c r="AG124" s="12">
        <v>45987</v>
      </c>
      <c r="AH124" s="11"/>
      <c r="AI124" s="11">
        <v>46098</v>
      </c>
      <c r="AJ124" s="11"/>
      <c r="AK124" s="11"/>
      <c r="AL124" s="11"/>
      <c r="AM124" s="11"/>
      <c r="AN124" s="11">
        <v>46098</v>
      </c>
      <c r="AO124" s="11" t="str">
        <f>+IF(AN124&lt;&gt;"","BAST",IF(AI124&lt;&gt;"","Dismantle",IF(AG124&lt;&gt;"","RFD App",IF(AF124="Drop","Drop",IF(AE124&lt;&gt;"","Survey Report",IF(AD124&lt;&gt;"","Survey","NY Survey"))))))</f>
        <v>BAST</v>
      </c>
      <c r="AP124" s="173" t="s">
        <v>3216</v>
      </c>
      <c r="AQ124" s="12">
        <v>45959</v>
      </c>
      <c r="AR124" s="12">
        <v>45973</v>
      </c>
      <c r="AS124" s="12">
        <v>45960</v>
      </c>
      <c r="AT124" s="12">
        <v>45663</v>
      </c>
      <c r="AU124" s="12">
        <v>45981</v>
      </c>
      <c r="AV124" s="12">
        <v>45985</v>
      </c>
      <c r="AW124" s="11" t="str">
        <f t="shared" si="11"/>
        <v>1st BOQ App on ISAAC</v>
      </c>
      <c r="AX124" s="12"/>
      <c r="AY124" s="12"/>
      <c r="AZ124" s="12"/>
      <c r="BA124" s="12"/>
      <c r="BB124" s="12"/>
      <c r="BC124" s="12"/>
      <c r="BD124" s="11" t="str">
        <f t="shared" si="12"/>
        <v>NY Submit</v>
      </c>
      <c r="BE124" s="174"/>
      <c r="BF124" s="12">
        <v>45874</v>
      </c>
      <c r="BG124" s="12">
        <v>45874</v>
      </c>
      <c r="BH124" s="10" t="s">
        <v>3217</v>
      </c>
      <c r="BI124" s="12">
        <v>45874</v>
      </c>
      <c r="BJ124" s="12">
        <v>45874</v>
      </c>
      <c r="BK124" s="174"/>
      <c r="BL124" s="12" t="str">
        <f t="shared" si="13"/>
        <v>Approved</v>
      </c>
      <c r="BM124" s="12" t="str">
        <f t="shared" si="14"/>
        <v>Approved</v>
      </c>
      <c r="BN124" s="12">
        <v>46098</v>
      </c>
      <c r="BO124" s="12">
        <v>46098</v>
      </c>
      <c r="BP124" s="155" t="s">
        <v>1760</v>
      </c>
      <c r="BQ124" s="12" t="s">
        <v>3218</v>
      </c>
      <c r="BR124" s="12">
        <v>45994</v>
      </c>
      <c r="BS124" s="143">
        <f t="shared" ca="1" si="18"/>
        <v>9</v>
      </c>
      <c r="BT124" s="176"/>
      <c r="BU124" s="12"/>
      <c r="BV124" s="143">
        <f t="shared" ca="1" si="19"/>
        <v>0</v>
      </c>
      <c r="BW124" s="12"/>
      <c r="BX124" s="12"/>
      <c r="BY124" s="143"/>
      <c r="BZ124" s="13" t="s">
        <v>2500</v>
      </c>
      <c r="CA124" s="13"/>
      <c r="CB124" s="13"/>
      <c r="CC124" s="13"/>
      <c r="CD124" s="13"/>
      <c r="CE124" s="198" t="s">
        <v>3219</v>
      </c>
      <c r="CF124" s="198" t="s">
        <v>3220</v>
      </c>
      <c r="CG124" s="273" t="s">
        <v>3221</v>
      </c>
      <c r="CH124" s="273" t="s">
        <v>3222</v>
      </c>
      <c r="CI124" s="198"/>
      <c r="CJ124" s="198"/>
      <c r="CK124" s="198"/>
      <c r="CL124" s="198"/>
    </row>
    <row r="125" spans="1:90" ht="30" customHeight="1">
      <c r="A125" s="187">
        <v>120</v>
      </c>
      <c r="B125" s="190" t="s">
        <v>2486</v>
      </c>
      <c r="C125" s="190" t="s">
        <v>2487</v>
      </c>
      <c r="D125" s="190" t="s">
        <v>135</v>
      </c>
      <c r="E125" s="8" t="e">
        <f ca="1">+_xlfn.CONCAT(G125,"-",B125,"_",C125,"_",_xlfn.XLOOKUP(BP125,Account!M:M,Account!N:N))</f>
        <v>#NAME?</v>
      </c>
      <c r="F125" s="12">
        <v>45862</v>
      </c>
      <c r="G125" s="190" t="s">
        <v>1796</v>
      </c>
      <c r="H125" s="190" t="s">
        <v>3210</v>
      </c>
      <c r="I125" s="10" t="s">
        <v>1797</v>
      </c>
      <c r="J125" s="190">
        <v>6</v>
      </c>
      <c r="K125" s="190" t="s">
        <v>2038</v>
      </c>
      <c r="L125" s="190" t="s">
        <v>3052</v>
      </c>
      <c r="M125" s="190" t="s">
        <v>3211</v>
      </c>
      <c r="N125" s="10" t="s">
        <v>3212</v>
      </c>
      <c r="O125" s="178" t="s">
        <v>3213</v>
      </c>
      <c r="P125" s="178" t="s">
        <v>3214</v>
      </c>
      <c r="Q125" s="327">
        <v>4519.5200000000004</v>
      </c>
      <c r="R125" s="190"/>
      <c r="S125" s="190"/>
      <c r="T125" s="190" t="s">
        <v>2518</v>
      </c>
      <c r="U125" s="190" t="s">
        <v>2565</v>
      </c>
      <c r="V125" s="8" t="s">
        <v>2011</v>
      </c>
      <c r="W125" s="10" t="s">
        <v>3215</v>
      </c>
      <c r="X125" s="9"/>
      <c r="Y125" s="12" t="s">
        <v>2496</v>
      </c>
      <c r="Z125" s="172">
        <v>45959</v>
      </c>
      <c r="AA125" s="172">
        <v>45966</v>
      </c>
      <c r="AB125" s="143" t="str">
        <f t="shared" ca="1" si="10"/>
        <v>Expired</v>
      </c>
      <c r="AC125" s="13"/>
      <c r="AD125" s="12">
        <v>45869</v>
      </c>
      <c r="AE125" s="12">
        <v>45869</v>
      </c>
      <c r="AF125" s="12"/>
      <c r="AG125" s="12"/>
      <c r="AH125" s="11">
        <v>45985</v>
      </c>
      <c r="AI125" s="11"/>
      <c r="AJ125" s="11"/>
      <c r="AK125" s="11"/>
      <c r="AL125" s="11"/>
      <c r="AM125" s="11">
        <v>45989</v>
      </c>
      <c r="AN125" s="11">
        <v>45989</v>
      </c>
      <c r="AO125" s="11" t="str">
        <f>+IF(AM125&lt;&gt;"","ATP App MS",IF(AJ125&lt;&gt;"","Inbound",IF(AH125&lt;&gt;"","Dismantle Perangkat",IF(AF125="Drop","Drop",IF(AE125&lt;&gt;"","Survey Report",IF(AD125&lt;&gt;"","Survey","NY Survey"))))))</f>
        <v>ATP App MS</v>
      </c>
      <c r="AP125" s="173"/>
      <c r="AQ125" s="12">
        <v>45959</v>
      </c>
      <c r="AR125" s="12">
        <v>45973</v>
      </c>
      <c r="AS125" s="12">
        <v>45960</v>
      </c>
      <c r="AT125" s="12">
        <v>45663</v>
      </c>
      <c r="AU125" s="12">
        <v>45981</v>
      </c>
      <c r="AV125" s="12">
        <v>45985</v>
      </c>
      <c r="AW125" s="11" t="str">
        <f t="shared" si="11"/>
        <v>1st BOQ App on ISAAC</v>
      </c>
      <c r="AX125" s="12"/>
      <c r="AY125" s="12"/>
      <c r="AZ125" s="12"/>
      <c r="BA125" s="12"/>
      <c r="BB125" s="12"/>
      <c r="BC125" s="12"/>
      <c r="BD125" s="11" t="str">
        <f t="shared" si="12"/>
        <v>NY Submit</v>
      </c>
      <c r="BE125" s="174"/>
      <c r="BF125" s="12">
        <v>45874</v>
      </c>
      <c r="BG125" s="12">
        <v>45874</v>
      </c>
      <c r="BH125" s="10" t="s">
        <v>3217</v>
      </c>
      <c r="BI125" s="12">
        <v>45874</v>
      </c>
      <c r="BJ125" s="12">
        <v>45874</v>
      </c>
      <c r="BK125" s="174"/>
      <c r="BL125" s="12" t="str">
        <f t="shared" si="13"/>
        <v>Approved</v>
      </c>
      <c r="BM125" s="12" t="str">
        <f t="shared" si="14"/>
        <v>Approved</v>
      </c>
      <c r="BN125" s="12">
        <v>46028</v>
      </c>
      <c r="BO125" s="12">
        <v>46028</v>
      </c>
      <c r="BP125" s="155" t="s">
        <v>2011</v>
      </c>
      <c r="BQ125" s="12" t="s">
        <v>2718</v>
      </c>
      <c r="BR125" s="12">
        <v>45996</v>
      </c>
      <c r="BS125" s="143">
        <f t="shared" ca="1" si="18"/>
        <v>11</v>
      </c>
      <c r="BT125" s="176"/>
      <c r="BU125" s="12"/>
      <c r="BV125" s="143">
        <f t="shared" ca="1" si="19"/>
        <v>0</v>
      </c>
      <c r="BW125" s="12"/>
      <c r="BX125" s="12"/>
      <c r="BY125" s="143"/>
      <c r="BZ125" s="13" t="s">
        <v>3223</v>
      </c>
      <c r="CA125" s="13" t="s">
        <v>2555</v>
      </c>
      <c r="CB125" s="13" t="s">
        <v>2486</v>
      </c>
      <c r="CC125" s="13"/>
      <c r="CD125" s="13"/>
      <c r="CE125" s="198" t="s">
        <v>3219</v>
      </c>
      <c r="CF125" s="198" t="s">
        <v>3220</v>
      </c>
      <c r="CG125" s="273" t="s">
        <v>3221</v>
      </c>
      <c r="CH125" s="273" t="s">
        <v>3222</v>
      </c>
      <c r="CI125" s="198"/>
      <c r="CJ125" s="198"/>
      <c r="CK125" s="198"/>
      <c r="CL125" s="198"/>
    </row>
    <row r="126" spans="1:90" ht="30" customHeight="1">
      <c r="A126" s="187">
        <v>121</v>
      </c>
      <c r="B126" s="190" t="s">
        <v>2486</v>
      </c>
      <c r="C126" s="190" t="s">
        <v>2487</v>
      </c>
      <c r="D126" s="190" t="s">
        <v>135</v>
      </c>
      <c r="E126" s="8" t="e">
        <f ca="1">+_xlfn.CONCAT(G126,"-",B126,"_",C126,"_",_xlfn.XLOOKUP(BP126,Account!M:M,Account!N:N))</f>
        <v>#NAME?</v>
      </c>
      <c r="F126" s="12">
        <v>45862</v>
      </c>
      <c r="G126" s="190" t="s">
        <v>1796</v>
      </c>
      <c r="H126" s="190" t="s">
        <v>3210</v>
      </c>
      <c r="I126" s="10" t="s">
        <v>1797</v>
      </c>
      <c r="J126" s="190">
        <v>6</v>
      </c>
      <c r="K126" s="190" t="s">
        <v>2038</v>
      </c>
      <c r="L126" s="190" t="s">
        <v>3052</v>
      </c>
      <c r="M126" s="190" t="s">
        <v>3211</v>
      </c>
      <c r="N126" s="10" t="s">
        <v>3212</v>
      </c>
      <c r="O126" s="178" t="s">
        <v>3213</v>
      </c>
      <c r="P126" s="178" t="s">
        <v>3214</v>
      </c>
      <c r="Q126" s="327">
        <v>4519.5200000000004</v>
      </c>
      <c r="R126" s="190"/>
      <c r="S126" s="190"/>
      <c r="T126" s="190" t="s">
        <v>2518</v>
      </c>
      <c r="U126" s="190" t="s">
        <v>2565</v>
      </c>
      <c r="V126" s="8" t="s">
        <v>1768</v>
      </c>
      <c r="W126" s="10" t="s">
        <v>3148</v>
      </c>
      <c r="X126" s="9"/>
      <c r="Y126" s="12" t="s">
        <v>2956</v>
      </c>
      <c r="Z126" s="172">
        <v>45965</v>
      </c>
      <c r="AA126" s="172">
        <v>45971</v>
      </c>
      <c r="AB126" s="143" t="str">
        <f t="shared" ca="1" si="10"/>
        <v>Expired</v>
      </c>
      <c r="AC126" s="13" t="s">
        <v>3224</v>
      </c>
      <c r="AD126" s="12">
        <v>45869</v>
      </c>
      <c r="AE126" s="12">
        <v>45869</v>
      </c>
      <c r="AF126" s="12"/>
      <c r="AG126" s="12"/>
      <c r="AH126" s="11"/>
      <c r="AI126" s="11"/>
      <c r="AJ126" s="11"/>
      <c r="AK126" s="11">
        <v>45991</v>
      </c>
      <c r="AL126" s="11">
        <v>45989</v>
      </c>
      <c r="AM126" s="11">
        <v>45989</v>
      </c>
      <c r="AN126" s="11">
        <v>45989</v>
      </c>
      <c r="AO126" s="11" t="str">
        <f>+IF(AM126&lt;&gt;"","ATP App MS",IF(AL126&lt;&gt;"","OA/RFS",IF(AK126&lt;&gt;"","Install",IF(AH126&lt;&gt;"","Dismantle Perangkat",IF(AF126="Drop","Drop",IF(AE126&lt;&gt;"","Survey Report",IF(AD126&lt;&gt;"","Survey","NY Survey")))))))</f>
        <v>ATP App MS</v>
      </c>
      <c r="AP126" s="173"/>
      <c r="AQ126" s="12">
        <v>45959</v>
      </c>
      <c r="AR126" s="12">
        <v>45973</v>
      </c>
      <c r="AS126" s="12">
        <v>45960</v>
      </c>
      <c r="AT126" s="12">
        <v>45663</v>
      </c>
      <c r="AU126" s="12">
        <v>45981</v>
      </c>
      <c r="AV126" s="12">
        <v>45985</v>
      </c>
      <c r="AW126" s="11" t="str">
        <f t="shared" si="11"/>
        <v>1st BOQ App on ISAAC</v>
      </c>
      <c r="AX126" s="12">
        <v>45663</v>
      </c>
      <c r="AY126" s="12"/>
      <c r="AZ126" s="12"/>
      <c r="BA126" s="12">
        <v>45663</v>
      </c>
      <c r="BB126" s="12"/>
      <c r="BC126" s="12">
        <v>46127</v>
      </c>
      <c r="BD126" s="11" t="str">
        <f t="shared" si="12"/>
        <v>2nd BOQ App on ISAAC</v>
      </c>
      <c r="BE126" s="174"/>
      <c r="BF126" s="12">
        <v>45874</v>
      </c>
      <c r="BG126" s="12">
        <v>45874</v>
      </c>
      <c r="BH126" s="10" t="s">
        <v>3217</v>
      </c>
      <c r="BI126" s="12">
        <v>45874</v>
      </c>
      <c r="BJ126" s="12">
        <v>45874</v>
      </c>
      <c r="BK126" s="174" t="s">
        <v>3225</v>
      </c>
      <c r="BL126" s="12" t="str">
        <f t="shared" si="13"/>
        <v>Approved</v>
      </c>
      <c r="BM126" s="12" t="str">
        <f t="shared" si="14"/>
        <v>Approved</v>
      </c>
      <c r="BN126" s="12">
        <v>46028</v>
      </c>
      <c r="BO126" s="12">
        <v>46028</v>
      </c>
      <c r="BP126" s="155" t="s">
        <v>1768</v>
      </c>
      <c r="BQ126" s="176" t="s">
        <v>3226</v>
      </c>
      <c r="BR126" s="12">
        <v>45996</v>
      </c>
      <c r="BS126" s="143">
        <f t="shared" ca="1" si="18"/>
        <v>11</v>
      </c>
      <c r="BT126" s="176" t="s">
        <v>3227</v>
      </c>
      <c r="BU126" s="12">
        <v>45996</v>
      </c>
      <c r="BV126" s="143" t="e">
        <f t="shared" ca="1" si="19"/>
        <v>#NUM!</v>
      </c>
      <c r="BW126" s="176"/>
      <c r="BX126" s="12"/>
      <c r="BY126" s="143"/>
      <c r="BZ126" s="13" t="s">
        <v>2500</v>
      </c>
      <c r="CA126" s="13" t="s">
        <v>2555</v>
      </c>
      <c r="CB126" s="13" t="s">
        <v>2486</v>
      </c>
      <c r="CC126" s="13"/>
      <c r="CD126" s="13"/>
      <c r="CE126" s="198" t="s">
        <v>3219</v>
      </c>
      <c r="CF126" s="198" t="s">
        <v>3220</v>
      </c>
      <c r="CG126" s="273" t="s">
        <v>3221</v>
      </c>
      <c r="CH126" s="273" t="s">
        <v>3222</v>
      </c>
      <c r="CI126" s="198"/>
      <c r="CJ126" s="198"/>
      <c r="CK126" s="198"/>
      <c r="CL126" s="198"/>
    </row>
    <row r="127" spans="1:90">
      <c r="A127" s="187">
        <v>122</v>
      </c>
      <c r="B127" s="190" t="s">
        <v>2486</v>
      </c>
      <c r="C127" s="190" t="s">
        <v>2487</v>
      </c>
      <c r="D127" s="190" t="s">
        <v>135</v>
      </c>
      <c r="E127" s="8" t="e">
        <f ca="1">+_xlfn.CONCAT(G127,"-",B127,"_",C127,"_",_xlfn.XLOOKUP(BP127,Account!M:M,Account!N:N))</f>
        <v>#NAME?</v>
      </c>
      <c r="F127" s="12">
        <v>45853</v>
      </c>
      <c r="G127" s="190" t="s">
        <v>3228</v>
      </c>
      <c r="H127" s="190" t="s">
        <v>3229</v>
      </c>
      <c r="I127" s="10" t="s">
        <v>3230</v>
      </c>
      <c r="J127" s="190">
        <v>11</v>
      </c>
      <c r="K127" s="190" t="s">
        <v>2038</v>
      </c>
      <c r="L127" s="190" t="s">
        <v>1263</v>
      </c>
      <c r="M127" s="190" t="s">
        <v>2577</v>
      </c>
      <c r="N127" s="10" t="s">
        <v>3231</v>
      </c>
      <c r="O127" s="178" t="s">
        <v>3232</v>
      </c>
      <c r="P127" s="178" t="s">
        <v>3233</v>
      </c>
      <c r="Q127" s="327"/>
      <c r="R127" s="190">
        <v>52</v>
      </c>
      <c r="S127" s="190" t="s">
        <v>3234</v>
      </c>
      <c r="T127" s="190" t="s">
        <v>2494</v>
      </c>
      <c r="U127" s="190" t="s">
        <v>2495</v>
      </c>
      <c r="V127" s="8" t="s">
        <v>3235</v>
      </c>
      <c r="W127" s="10" t="s">
        <v>3236</v>
      </c>
      <c r="X127" s="9">
        <v>89612377850</v>
      </c>
      <c r="Y127" s="12" t="s">
        <v>2432</v>
      </c>
      <c r="Z127" s="172">
        <v>45868</v>
      </c>
      <c r="AA127" s="172">
        <v>45874</v>
      </c>
      <c r="AB127" s="143" t="str">
        <f t="shared" ca="1" si="10"/>
        <v>Expired</v>
      </c>
      <c r="AC127" s="13"/>
      <c r="AD127" s="12">
        <v>45857</v>
      </c>
      <c r="AE127" s="12">
        <v>45857</v>
      </c>
      <c r="AF127" s="12"/>
      <c r="AG127" s="12"/>
      <c r="AH127" s="11">
        <v>45883</v>
      </c>
      <c r="AI127" s="11"/>
      <c r="AJ127" s="11"/>
      <c r="AK127" s="11"/>
      <c r="AL127" s="11"/>
      <c r="AM127" s="11">
        <v>45883</v>
      </c>
      <c r="AN127" s="11"/>
      <c r="AO127" s="11" t="str">
        <f>+IF(AM127&lt;&gt;"","ATP App MS",IF(AJ127&lt;&gt;"","Inbound",IF(AH127&lt;&gt;"","Dismantle Perangkat",IF(AF127="Drop","Drop",IF(AE127&lt;&gt;"","Survey Report",IF(AD127&lt;&gt;"","Survey","NY Survey"))))))</f>
        <v>ATP App MS</v>
      </c>
      <c r="AP127" s="173"/>
      <c r="AQ127" s="12">
        <v>45862</v>
      </c>
      <c r="AR127" s="12">
        <v>45938</v>
      </c>
      <c r="AS127" s="12"/>
      <c r="AT127" s="12"/>
      <c r="AU127" s="12">
        <v>45957</v>
      </c>
      <c r="AV127" s="12">
        <v>45957</v>
      </c>
      <c r="AW127" s="11" t="str">
        <f t="shared" si="11"/>
        <v>1st BOQ App on ISAAC</v>
      </c>
      <c r="AX127" s="12"/>
      <c r="AY127" s="12"/>
      <c r="AZ127" s="12"/>
      <c r="BA127" s="12"/>
      <c r="BB127" s="12"/>
      <c r="BC127" s="12"/>
      <c r="BD127" s="11" t="str">
        <f t="shared" si="12"/>
        <v>NY Submit</v>
      </c>
      <c r="BE127" s="174"/>
      <c r="BF127" s="12"/>
      <c r="BG127" s="12"/>
      <c r="BH127" s="10"/>
      <c r="BI127" s="12"/>
      <c r="BJ127" s="12"/>
      <c r="BK127" s="174"/>
      <c r="BL127" s="12" t="str">
        <f t="shared" si="13"/>
        <v>NY Submit</v>
      </c>
      <c r="BM127" s="12" t="str">
        <f t="shared" si="14"/>
        <v>NY Submit</v>
      </c>
      <c r="BN127" s="12"/>
      <c r="BO127" s="12"/>
      <c r="BP127" s="155" t="s">
        <v>2011</v>
      </c>
      <c r="BQ127" s="12" t="s">
        <v>3237</v>
      </c>
      <c r="BR127" s="12">
        <v>45939</v>
      </c>
      <c r="BS127" s="143" t="e">
        <f t="shared" ca="1" si="18"/>
        <v>#NUM!</v>
      </c>
      <c r="BT127" s="176"/>
      <c r="BU127" s="12"/>
      <c r="BV127" s="143">
        <f t="shared" ca="1" si="19"/>
        <v>0</v>
      </c>
      <c r="BW127" s="12"/>
      <c r="BX127" s="12"/>
      <c r="BY127" s="143"/>
      <c r="BZ127" s="13" t="s">
        <v>3238</v>
      </c>
      <c r="CA127" s="13" t="s">
        <v>2555</v>
      </c>
      <c r="CB127" s="13" t="s">
        <v>2486</v>
      </c>
      <c r="CC127" s="13"/>
      <c r="CD127" s="13"/>
      <c r="CE127" s="198"/>
      <c r="CF127" s="198"/>
      <c r="CG127" s="272"/>
      <c r="CH127" s="272"/>
      <c r="CI127" s="198"/>
      <c r="CJ127" s="198"/>
      <c r="CK127" s="198"/>
      <c r="CL127" s="198"/>
    </row>
    <row r="128" spans="1:90">
      <c r="A128" s="187">
        <v>123</v>
      </c>
      <c r="B128" s="190" t="s">
        <v>2486</v>
      </c>
      <c r="C128" s="190" t="s">
        <v>2487</v>
      </c>
      <c r="D128" s="190" t="s">
        <v>135</v>
      </c>
      <c r="E128" s="8" t="e">
        <f ca="1">+_xlfn.CONCAT(G128,"-",B128,"_",C128,"_",_xlfn.XLOOKUP(BP128,Account!M:M,Account!N:N))</f>
        <v>#NAME?</v>
      </c>
      <c r="F128" s="12">
        <v>45853</v>
      </c>
      <c r="G128" s="190" t="s">
        <v>3228</v>
      </c>
      <c r="H128" s="190" t="s">
        <v>3229</v>
      </c>
      <c r="I128" s="10" t="s">
        <v>3230</v>
      </c>
      <c r="J128" s="190">
        <v>11</v>
      </c>
      <c r="K128" s="190" t="s">
        <v>2038</v>
      </c>
      <c r="L128" s="190" t="s">
        <v>1263</v>
      </c>
      <c r="M128" s="190" t="s">
        <v>2577</v>
      </c>
      <c r="N128" s="10" t="s">
        <v>3231</v>
      </c>
      <c r="O128" s="178" t="s">
        <v>3232</v>
      </c>
      <c r="P128" s="178" t="s">
        <v>3233</v>
      </c>
      <c r="Q128" s="327"/>
      <c r="R128" s="190">
        <v>52</v>
      </c>
      <c r="S128" s="190" t="s">
        <v>3234</v>
      </c>
      <c r="T128" s="190" t="s">
        <v>2494</v>
      </c>
      <c r="U128" s="190" t="s">
        <v>2495</v>
      </c>
      <c r="V128" s="8" t="s">
        <v>3239</v>
      </c>
      <c r="W128" s="10" t="s">
        <v>3236</v>
      </c>
      <c r="X128" s="9">
        <v>89612377850</v>
      </c>
      <c r="Y128" s="12" t="s">
        <v>2432</v>
      </c>
      <c r="Z128" s="172">
        <v>45857</v>
      </c>
      <c r="AA128" s="172">
        <v>45863</v>
      </c>
      <c r="AB128" s="143" t="str">
        <f t="shared" ca="1" si="10"/>
        <v>Expired</v>
      </c>
      <c r="AC128" s="13"/>
      <c r="AD128" s="12">
        <v>45857</v>
      </c>
      <c r="AE128" s="12">
        <v>45857</v>
      </c>
      <c r="AF128" s="12"/>
      <c r="AG128" s="12"/>
      <c r="AH128" s="11"/>
      <c r="AI128" s="11"/>
      <c r="AJ128" s="11"/>
      <c r="AK128" s="11">
        <v>45883</v>
      </c>
      <c r="AL128" s="11">
        <v>45883</v>
      </c>
      <c r="AM128" s="11">
        <v>45883</v>
      </c>
      <c r="AN128" s="11"/>
      <c r="AO128" s="11" t="str">
        <f>+IF(AM128&lt;&gt;"","ATP App MS",IF(AL128&lt;&gt;"","OA/RFS",IF(AK128&lt;&gt;"","Install",IF(AH128&lt;&gt;"","Dismantle Perangkat",IF(AF128="Drop","Drop",IF(AE128&lt;&gt;"","Survey Report",IF(AD128&lt;&gt;"","Survey","NY Survey")))))))</f>
        <v>ATP App MS</v>
      </c>
      <c r="AP128" s="173"/>
      <c r="AQ128" s="12">
        <v>45862</v>
      </c>
      <c r="AR128" s="12">
        <v>45938</v>
      </c>
      <c r="AS128" s="12"/>
      <c r="AT128" s="12"/>
      <c r="AU128" s="12">
        <v>45957</v>
      </c>
      <c r="AV128" s="12">
        <v>45957</v>
      </c>
      <c r="AW128" s="11" t="str">
        <f t="shared" si="11"/>
        <v>1st BOQ App on ISAAC</v>
      </c>
      <c r="AX128" s="12"/>
      <c r="AY128" s="12"/>
      <c r="AZ128" s="12"/>
      <c r="BA128" s="12"/>
      <c r="BB128" s="12"/>
      <c r="BC128" s="12"/>
      <c r="BD128" s="11" t="str">
        <f t="shared" si="12"/>
        <v>NY Submit</v>
      </c>
      <c r="BE128" s="174"/>
      <c r="BF128" s="12"/>
      <c r="BG128" s="12"/>
      <c r="BH128" s="10"/>
      <c r="BI128" s="12"/>
      <c r="BJ128" s="12"/>
      <c r="BK128" s="174"/>
      <c r="BL128" s="12" t="str">
        <f t="shared" si="13"/>
        <v>NY Submit</v>
      </c>
      <c r="BM128" s="12" t="str">
        <f t="shared" si="14"/>
        <v>NY Submit</v>
      </c>
      <c r="BN128" s="12"/>
      <c r="BO128" s="12"/>
      <c r="BP128" s="155" t="s">
        <v>1768</v>
      </c>
      <c r="BQ128" s="12" t="s">
        <v>3237</v>
      </c>
      <c r="BR128" s="12">
        <v>45939</v>
      </c>
      <c r="BS128" s="143" t="e">
        <f t="shared" ca="1" si="18"/>
        <v>#NUM!</v>
      </c>
      <c r="BT128" s="176"/>
      <c r="BU128" s="12"/>
      <c r="BV128" s="143">
        <f t="shared" ca="1" si="19"/>
        <v>0</v>
      </c>
      <c r="BW128" s="12"/>
      <c r="BX128" s="12"/>
      <c r="BY128" s="143"/>
      <c r="BZ128" s="13" t="s">
        <v>3238</v>
      </c>
      <c r="CA128" s="13" t="s">
        <v>2555</v>
      </c>
      <c r="CB128" s="13" t="s">
        <v>2486</v>
      </c>
      <c r="CC128" s="13"/>
      <c r="CD128" s="13"/>
      <c r="CE128" s="198"/>
      <c r="CF128" s="198"/>
      <c r="CG128" s="272"/>
      <c r="CH128" s="272"/>
      <c r="CI128" s="198"/>
      <c r="CJ128" s="198"/>
      <c r="CK128" s="198"/>
      <c r="CL128" s="198"/>
    </row>
    <row r="129" spans="1:90">
      <c r="A129" s="187">
        <v>124</v>
      </c>
      <c r="B129" s="190" t="s">
        <v>2486</v>
      </c>
      <c r="C129" s="190" t="s">
        <v>2487</v>
      </c>
      <c r="D129" s="190" t="s">
        <v>135</v>
      </c>
      <c r="E129" s="8" t="e">
        <f ca="1">+_xlfn.CONCAT(G129,"-",B129,"_",C129,"_",_xlfn.XLOOKUP(BP129,Account!M:M,Account!N:N))</f>
        <v>#NAME?</v>
      </c>
      <c r="F129" s="12">
        <v>45866</v>
      </c>
      <c r="G129" s="190" t="s">
        <v>1757</v>
      </c>
      <c r="H129" s="190" t="s">
        <v>3240</v>
      </c>
      <c r="I129" s="10" t="s">
        <v>1758</v>
      </c>
      <c r="J129" s="190">
        <v>13</v>
      </c>
      <c r="K129" s="190" t="s">
        <v>2038</v>
      </c>
      <c r="L129" s="190" t="s">
        <v>1279</v>
      </c>
      <c r="M129" s="190" t="s">
        <v>2884</v>
      </c>
      <c r="N129" s="10" t="s">
        <v>3241</v>
      </c>
      <c r="O129" s="178" t="s">
        <v>3242</v>
      </c>
      <c r="P129" s="178" t="s">
        <v>3243</v>
      </c>
      <c r="Q129" s="327">
        <v>9236.0759999999991</v>
      </c>
      <c r="R129" s="190">
        <v>52</v>
      </c>
      <c r="S129" s="190" t="s">
        <v>2840</v>
      </c>
      <c r="T129" s="190" t="s">
        <v>2494</v>
      </c>
      <c r="U129" s="190" t="s">
        <v>2495</v>
      </c>
      <c r="V129" s="8" t="s">
        <v>1760</v>
      </c>
      <c r="W129" s="10" t="s">
        <v>3244</v>
      </c>
      <c r="X129" s="15"/>
      <c r="Y129" s="12" t="s">
        <v>3172</v>
      </c>
      <c r="Z129" s="172">
        <v>45868</v>
      </c>
      <c r="AA129" s="172">
        <v>45875</v>
      </c>
      <c r="AB129" s="143" t="str">
        <f t="shared" ca="1" si="10"/>
        <v>Expired</v>
      </c>
      <c r="AC129" s="13"/>
      <c r="AD129" s="12">
        <v>45873</v>
      </c>
      <c r="AE129" s="12">
        <v>45867</v>
      </c>
      <c r="AF129" s="12"/>
      <c r="AG129" s="12">
        <v>45853</v>
      </c>
      <c r="AH129" s="11"/>
      <c r="AI129" s="11">
        <v>45886</v>
      </c>
      <c r="AJ129" s="11"/>
      <c r="AK129" s="11"/>
      <c r="AL129" s="11"/>
      <c r="AM129" s="11"/>
      <c r="AN129" s="11">
        <v>45890</v>
      </c>
      <c r="AO129" s="11" t="str">
        <f>+IF(AN129&lt;&gt;"","BAST",IF(AI129&lt;&gt;"","Dismantle",IF(AG129&lt;&gt;"","RFD App",IF(AF129="Drop","Drop",IF(AE129&lt;&gt;"","Survey Report",IF(AD129&lt;&gt;"","Survey","NY Survey"))))))</f>
        <v>BAST</v>
      </c>
      <c r="AP129" s="173"/>
      <c r="AQ129" s="12">
        <v>45889</v>
      </c>
      <c r="AR129" s="12">
        <v>45891</v>
      </c>
      <c r="AS129" s="12">
        <v>45890</v>
      </c>
      <c r="AT129" s="12">
        <v>45965</v>
      </c>
      <c r="AU129" s="12">
        <v>45965</v>
      </c>
      <c r="AV129" s="12"/>
      <c r="AW129" s="11" t="str">
        <f t="shared" si="11"/>
        <v>Upload 1st BOQ &amp; BAN Isaac</v>
      </c>
      <c r="AX129" s="12"/>
      <c r="AY129" s="12"/>
      <c r="AZ129" s="12"/>
      <c r="BA129" s="12"/>
      <c r="BB129" s="12"/>
      <c r="BC129" s="12"/>
      <c r="BD129" s="11" t="str">
        <f t="shared" si="12"/>
        <v>NY Submit</v>
      </c>
      <c r="BE129" s="174" t="s">
        <v>3245</v>
      </c>
      <c r="BF129" s="12"/>
      <c r="BG129" s="12"/>
      <c r="BH129" s="10"/>
      <c r="BI129" s="12"/>
      <c r="BJ129" s="12"/>
      <c r="BK129" s="174"/>
      <c r="BL129" s="12" t="str">
        <f t="shared" si="13"/>
        <v>NY Submit</v>
      </c>
      <c r="BM129" s="12" t="str">
        <f t="shared" si="14"/>
        <v>NY Submit</v>
      </c>
      <c r="BN129" s="12"/>
      <c r="BO129" s="12"/>
      <c r="BP129" s="155" t="s">
        <v>1760</v>
      </c>
      <c r="BQ129" s="12" t="s">
        <v>3246</v>
      </c>
      <c r="BR129" s="12">
        <v>45982</v>
      </c>
      <c r="BS129" s="143">
        <f t="shared" ca="1" si="18"/>
        <v>0</v>
      </c>
      <c r="BT129" s="176"/>
      <c r="BU129" s="12"/>
      <c r="BV129" s="143">
        <f t="shared" ca="1" si="19"/>
        <v>0</v>
      </c>
      <c r="BW129" s="12"/>
      <c r="BX129" s="12"/>
      <c r="BY129" s="143"/>
      <c r="BZ129" s="13" t="s">
        <v>2500</v>
      </c>
      <c r="CA129" s="13"/>
      <c r="CB129" s="13"/>
      <c r="CC129" s="13"/>
      <c r="CD129" s="13"/>
      <c r="CE129" s="198" t="s">
        <v>3247</v>
      </c>
      <c r="CF129" s="198" t="s">
        <v>3248</v>
      </c>
      <c r="CG129" s="273" t="s">
        <v>3249</v>
      </c>
      <c r="CH129" s="273" t="s">
        <v>3250</v>
      </c>
      <c r="CI129" s="198"/>
      <c r="CJ129" s="198"/>
      <c r="CK129" s="198"/>
      <c r="CL129" s="198"/>
    </row>
    <row r="130" spans="1:90">
      <c r="A130" s="187">
        <v>125</v>
      </c>
      <c r="B130" s="190" t="s">
        <v>2486</v>
      </c>
      <c r="C130" s="190" t="s">
        <v>2487</v>
      </c>
      <c r="D130" s="190" t="s">
        <v>135</v>
      </c>
      <c r="E130" s="8" t="e">
        <f ca="1">+_xlfn.CONCAT(G130,"-",B130,"_",C130,"_",_xlfn.XLOOKUP(BP130,Account!M:M,Account!N:N))</f>
        <v>#NAME?</v>
      </c>
      <c r="F130" s="12">
        <v>45866</v>
      </c>
      <c r="G130" s="190" t="s">
        <v>1757</v>
      </c>
      <c r="H130" s="190" t="s">
        <v>3240</v>
      </c>
      <c r="I130" s="10" t="s">
        <v>1758</v>
      </c>
      <c r="J130" s="190">
        <v>13</v>
      </c>
      <c r="K130" s="190" t="s">
        <v>2038</v>
      </c>
      <c r="L130" s="190" t="s">
        <v>1279</v>
      </c>
      <c r="M130" s="190" t="s">
        <v>2884</v>
      </c>
      <c r="N130" s="10" t="s">
        <v>3251</v>
      </c>
      <c r="O130" s="178" t="s">
        <v>3242</v>
      </c>
      <c r="P130" s="178" t="s">
        <v>3243</v>
      </c>
      <c r="Q130" s="327">
        <v>9236.0759999999991</v>
      </c>
      <c r="R130" s="190">
        <v>52</v>
      </c>
      <c r="S130" s="190" t="s">
        <v>2840</v>
      </c>
      <c r="T130" s="190" t="s">
        <v>2494</v>
      </c>
      <c r="U130" s="190" t="s">
        <v>2495</v>
      </c>
      <c r="V130" s="8" t="s">
        <v>2011</v>
      </c>
      <c r="W130" s="10"/>
      <c r="X130" s="9"/>
      <c r="Y130" s="12"/>
      <c r="Z130" s="172"/>
      <c r="AA130" s="172"/>
      <c r="AB130" s="143" t="str">
        <f t="shared" ca="1" si="10"/>
        <v>NY Submit</v>
      </c>
      <c r="AC130" s="13"/>
      <c r="AD130" s="12">
        <v>45873</v>
      </c>
      <c r="AE130" s="12">
        <v>45867</v>
      </c>
      <c r="AF130" s="12"/>
      <c r="AG130" s="12"/>
      <c r="AH130" s="11">
        <v>45873</v>
      </c>
      <c r="AI130" s="11"/>
      <c r="AJ130" s="11"/>
      <c r="AK130" s="11"/>
      <c r="AL130" s="11"/>
      <c r="AM130" s="11">
        <v>45874</v>
      </c>
      <c r="AN130" s="11"/>
      <c r="AO130" s="11" t="str">
        <f>+IF(AM130&lt;&gt;"","ATP App MS",IF(AJ130&lt;&gt;"","Inbound",IF(AH130&lt;&gt;"","Dismantle Perangkat",IF(AF130="Drop","Drop",IF(AE130&lt;&gt;"","Survey Report",IF(AD130&lt;&gt;"","Survey","NY Survey"))))))</f>
        <v>ATP App MS</v>
      </c>
      <c r="AP130" s="173"/>
      <c r="AQ130" s="12">
        <v>45889</v>
      </c>
      <c r="AR130" s="12">
        <v>45891</v>
      </c>
      <c r="AS130" s="12">
        <v>45890</v>
      </c>
      <c r="AT130" s="12"/>
      <c r="AU130" s="12"/>
      <c r="AV130" s="12"/>
      <c r="AW130" s="11" t="str">
        <f t="shared" si="11"/>
        <v>1st BOQ Pass TI</v>
      </c>
      <c r="AX130" s="12"/>
      <c r="AY130" s="12"/>
      <c r="AZ130" s="12"/>
      <c r="BA130" s="12"/>
      <c r="BB130" s="12"/>
      <c r="BC130" s="12"/>
      <c r="BD130" s="11" t="str">
        <f t="shared" si="12"/>
        <v>NY Submit</v>
      </c>
      <c r="BE130" s="174"/>
      <c r="BF130" s="12"/>
      <c r="BG130" s="12"/>
      <c r="BH130" s="10"/>
      <c r="BI130" s="12"/>
      <c r="BJ130" s="12"/>
      <c r="BK130" s="174"/>
      <c r="BL130" s="12" t="str">
        <f t="shared" si="13"/>
        <v>NY Submit</v>
      </c>
      <c r="BM130" s="12" t="str">
        <f t="shared" si="14"/>
        <v>NY Submit</v>
      </c>
      <c r="BN130" s="12"/>
      <c r="BO130" s="12"/>
      <c r="BP130" s="155" t="s">
        <v>2011</v>
      </c>
      <c r="BQ130" s="12" t="s">
        <v>2718</v>
      </c>
      <c r="BR130" s="12">
        <v>46001</v>
      </c>
      <c r="BS130" s="143">
        <f t="shared" ca="1" si="18"/>
        <v>0</v>
      </c>
      <c r="BT130" s="176"/>
      <c r="BU130" s="12"/>
      <c r="BV130" s="143">
        <f t="shared" ca="1" si="19"/>
        <v>0</v>
      </c>
      <c r="BW130" s="12"/>
      <c r="BX130" s="12"/>
      <c r="BY130" s="143"/>
      <c r="BZ130" s="13" t="s">
        <v>2500</v>
      </c>
      <c r="CA130" s="13"/>
      <c r="CB130" s="13"/>
      <c r="CC130" s="13"/>
      <c r="CD130" s="13"/>
      <c r="CE130" s="198" t="s">
        <v>3247</v>
      </c>
      <c r="CF130" s="198" t="s">
        <v>3248</v>
      </c>
      <c r="CG130" s="273" t="s">
        <v>3249</v>
      </c>
      <c r="CH130" s="273" t="s">
        <v>3250</v>
      </c>
      <c r="CI130" s="198"/>
      <c r="CJ130" s="198"/>
      <c r="CK130" s="198"/>
      <c r="CL130" s="198"/>
    </row>
    <row r="131" spans="1:90">
      <c r="A131" s="187">
        <v>126</v>
      </c>
      <c r="B131" s="190" t="s">
        <v>2486</v>
      </c>
      <c r="C131" s="190" t="s">
        <v>2487</v>
      </c>
      <c r="D131" s="190" t="s">
        <v>135</v>
      </c>
      <c r="E131" s="8" t="e">
        <f ca="1">+_xlfn.CONCAT(G131,"-",B131,"_",C131,"_",_xlfn.XLOOKUP(BP131,Account!M:M,Account!N:N))</f>
        <v>#NAME?</v>
      </c>
      <c r="F131" s="12">
        <v>45866</v>
      </c>
      <c r="G131" s="190" t="s">
        <v>1757</v>
      </c>
      <c r="H131" s="190" t="s">
        <v>3240</v>
      </c>
      <c r="I131" s="10" t="s">
        <v>1758</v>
      </c>
      <c r="J131" s="190">
        <v>13</v>
      </c>
      <c r="K131" s="190" t="s">
        <v>2038</v>
      </c>
      <c r="L131" s="190" t="s">
        <v>1279</v>
      </c>
      <c r="M131" s="190" t="s">
        <v>2884</v>
      </c>
      <c r="N131" s="10" t="s">
        <v>3251</v>
      </c>
      <c r="O131" s="178" t="s">
        <v>3242</v>
      </c>
      <c r="P131" s="178" t="s">
        <v>3243</v>
      </c>
      <c r="Q131" s="327">
        <v>9236.0759999999991</v>
      </c>
      <c r="R131" s="190">
        <v>52</v>
      </c>
      <c r="S131" s="190" t="s">
        <v>2840</v>
      </c>
      <c r="T131" s="190" t="s">
        <v>2494</v>
      </c>
      <c r="U131" s="190" t="s">
        <v>2495</v>
      </c>
      <c r="V131" s="8" t="s">
        <v>1768</v>
      </c>
      <c r="W131" s="10" t="s">
        <v>2556</v>
      </c>
      <c r="X131" s="15"/>
      <c r="Y131" s="12" t="s">
        <v>3172</v>
      </c>
      <c r="Z131" s="172">
        <v>45869</v>
      </c>
      <c r="AA131" s="172">
        <v>45876</v>
      </c>
      <c r="AB131" s="143" t="str">
        <f t="shared" ca="1" si="10"/>
        <v>Expired</v>
      </c>
      <c r="AC131" s="13"/>
      <c r="AD131" s="12">
        <v>45873</v>
      </c>
      <c r="AE131" s="12">
        <v>45867</v>
      </c>
      <c r="AF131" s="12"/>
      <c r="AG131" s="12"/>
      <c r="AH131" s="11"/>
      <c r="AI131" s="11"/>
      <c r="AJ131" s="11"/>
      <c r="AK131" s="11">
        <v>45874</v>
      </c>
      <c r="AL131" s="11">
        <v>45874</v>
      </c>
      <c r="AM131" s="11">
        <v>45874</v>
      </c>
      <c r="AN131" s="11"/>
      <c r="AO131" s="11" t="str">
        <f>+IF(AM131&lt;&gt;"","ATP App MS",IF(AL131&lt;&gt;"","OA/RFS",IF(AK131&lt;&gt;"","Install",IF(AH131&lt;&gt;"","Dismantle Perangkat",IF(AF131="Drop","Drop",IF(AE131&lt;&gt;"","Survey Report",IF(AD131&lt;&gt;"","Survey","NY Survey")))))))</f>
        <v>ATP App MS</v>
      </c>
      <c r="AP131" s="173"/>
      <c r="AQ131" s="12">
        <v>45889</v>
      </c>
      <c r="AR131" s="12">
        <v>45891</v>
      </c>
      <c r="AS131" s="12">
        <v>45890</v>
      </c>
      <c r="AT131" s="12">
        <v>45965</v>
      </c>
      <c r="AU131" s="12">
        <v>45965</v>
      </c>
      <c r="AV131" s="12"/>
      <c r="AW131" s="11" t="str">
        <f t="shared" si="11"/>
        <v>Upload 1st BOQ &amp; BAN Isaac</v>
      </c>
      <c r="AX131" s="12"/>
      <c r="AY131" s="12"/>
      <c r="AZ131" s="12"/>
      <c r="BA131" s="12"/>
      <c r="BB131" s="12"/>
      <c r="BC131" s="12"/>
      <c r="BD131" s="11" t="str">
        <f t="shared" si="12"/>
        <v>NY Submit</v>
      </c>
      <c r="BE131" s="174" t="s">
        <v>3245</v>
      </c>
      <c r="BF131" s="12"/>
      <c r="BG131" s="12"/>
      <c r="BH131" s="10"/>
      <c r="BI131" s="12"/>
      <c r="BJ131" s="12"/>
      <c r="BK131" s="174"/>
      <c r="BL131" s="12" t="str">
        <f t="shared" si="13"/>
        <v>NY Submit</v>
      </c>
      <c r="BM131" s="12" t="str">
        <f t="shared" si="14"/>
        <v>NY Submit</v>
      </c>
      <c r="BN131" s="12"/>
      <c r="BO131" s="12"/>
      <c r="BP131" s="155" t="s">
        <v>1768</v>
      </c>
      <c r="BQ131" s="12" t="s">
        <v>3252</v>
      </c>
      <c r="BR131" s="12">
        <v>46001</v>
      </c>
      <c r="BS131" s="143">
        <f t="shared" ca="1" si="18"/>
        <v>0</v>
      </c>
      <c r="BT131" s="176"/>
      <c r="BU131" s="12"/>
      <c r="BV131" s="143">
        <f t="shared" ca="1" si="19"/>
        <v>0</v>
      </c>
      <c r="BW131" s="12"/>
      <c r="BX131" s="12"/>
      <c r="BY131" s="143"/>
      <c r="BZ131" s="13" t="s">
        <v>2500</v>
      </c>
      <c r="CA131" s="13"/>
      <c r="CB131" s="13"/>
      <c r="CC131" s="13"/>
      <c r="CD131" s="13"/>
      <c r="CE131" s="198" t="s">
        <v>3247</v>
      </c>
      <c r="CF131" s="198" t="s">
        <v>3248</v>
      </c>
      <c r="CG131" s="273" t="s">
        <v>3249</v>
      </c>
      <c r="CH131" s="273" t="s">
        <v>3250</v>
      </c>
      <c r="CI131" s="198"/>
      <c r="CJ131" s="198"/>
      <c r="CK131" s="198"/>
      <c r="CL131" s="198"/>
    </row>
    <row r="132" spans="1:90">
      <c r="A132" s="187">
        <v>127</v>
      </c>
      <c r="B132" s="190" t="s">
        <v>2486</v>
      </c>
      <c r="C132" s="190" t="s">
        <v>2487</v>
      </c>
      <c r="D132" s="190" t="s">
        <v>135</v>
      </c>
      <c r="E132" s="8" t="e">
        <f ca="1">+_xlfn.CONCAT(G132,"-",B132,"_",C132,"_",_xlfn.XLOOKUP(BP132,Account!M:M,Account!N:N))</f>
        <v>#NAME?</v>
      </c>
      <c r="F132" s="12">
        <v>45873</v>
      </c>
      <c r="G132" s="190" t="s">
        <v>2164</v>
      </c>
      <c r="H132" s="190" t="s">
        <v>3253</v>
      </c>
      <c r="I132" s="10" t="s">
        <v>2165</v>
      </c>
      <c r="J132" s="190">
        <v>11</v>
      </c>
      <c r="K132" s="190" t="s">
        <v>2038</v>
      </c>
      <c r="L132" s="190" t="s">
        <v>1263</v>
      </c>
      <c r="M132" s="190" t="s">
        <v>3254</v>
      </c>
      <c r="N132" s="10" t="s">
        <v>3255</v>
      </c>
      <c r="O132" s="178" t="s">
        <v>3256</v>
      </c>
      <c r="P132" s="178" t="s">
        <v>3257</v>
      </c>
      <c r="Q132" s="327">
        <v>18868.812000000002</v>
      </c>
      <c r="R132" s="190"/>
      <c r="S132" s="190"/>
      <c r="T132" s="190" t="s">
        <v>2494</v>
      </c>
      <c r="U132" s="190" t="s">
        <v>2495</v>
      </c>
      <c r="V132" s="8" t="s">
        <v>1760</v>
      </c>
      <c r="W132" s="10"/>
      <c r="X132" s="9"/>
      <c r="Y132" s="12"/>
      <c r="Z132" s="172"/>
      <c r="AA132" s="172"/>
      <c r="AB132" s="143" t="str">
        <f t="shared" ca="1" si="10"/>
        <v>NY Submit</v>
      </c>
      <c r="AC132" s="13"/>
      <c r="AD132" s="12">
        <v>45874</v>
      </c>
      <c r="AE132" s="12">
        <v>45874</v>
      </c>
      <c r="AF132" s="12"/>
      <c r="AG132" s="12"/>
      <c r="AH132" s="11"/>
      <c r="AI132" s="11">
        <v>45881</v>
      </c>
      <c r="AJ132" s="11"/>
      <c r="AK132" s="11"/>
      <c r="AL132" s="11"/>
      <c r="AM132" s="11">
        <v>45882</v>
      </c>
      <c r="AN132" s="11">
        <v>45887</v>
      </c>
      <c r="AO132" s="11" t="str">
        <f>+IF(AN132&lt;&gt;"","BAST",IF(AI132&lt;&gt;"","Dismantle",IF(AG132&lt;&gt;"","RFD App",IF(AF132="Drop","Drop",IF(AE132&lt;&gt;"","Survey Report",IF(AD132&lt;&gt;"","Survey","NY Survey"))))))</f>
        <v>BAST</v>
      </c>
      <c r="AP132" s="173"/>
      <c r="AQ132" s="12">
        <v>45882</v>
      </c>
      <c r="AR132" s="12">
        <v>45889</v>
      </c>
      <c r="AS132" s="12">
        <v>45889</v>
      </c>
      <c r="AT132" s="12">
        <v>45917</v>
      </c>
      <c r="AU132" s="12">
        <v>45931</v>
      </c>
      <c r="AV132" s="12">
        <v>45946</v>
      </c>
      <c r="AW132" s="11" t="str">
        <f t="shared" si="11"/>
        <v>1st BOQ App on ISAAC</v>
      </c>
      <c r="AX132" s="12"/>
      <c r="AY132" s="12"/>
      <c r="AZ132" s="12"/>
      <c r="BA132" s="12"/>
      <c r="BB132" s="12"/>
      <c r="BC132" s="12"/>
      <c r="BD132" s="11" t="str">
        <f t="shared" si="12"/>
        <v>NY Submit</v>
      </c>
      <c r="BE132" s="174" t="s">
        <v>3258</v>
      </c>
      <c r="BF132" s="12"/>
      <c r="BG132" s="12"/>
      <c r="BH132" s="10"/>
      <c r="BI132" s="12"/>
      <c r="BJ132" s="12"/>
      <c r="BK132" s="174"/>
      <c r="BL132" s="12" t="str">
        <f t="shared" si="13"/>
        <v>NY Submit</v>
      </c>
      <c r="BM132" s="12" t="str">
        <f t="shared" si="14"/>
        <v>NY Submit</v>
      </c>
      <c r="BN132" s="12">
        <v>45887</v>
      </c>
      <c r="BO132" s="12">
        <v>45887</v>
      </c>
      <c r="BP132" s="155" t="s">
        <v>1760</v>
      </c>
      <c r="BQ132" s="12" t="s">
        <v>3259</v>
      </c>
      <c r="BR132" s="12">
        <v>45958</v>
      </c>
      <c r="BS132" s="143">
        <f t="shared" ca="1" si="18"/>
        <v>12</v>
      </c>
      <c r="BT132" s="176"/>
      <c r="BU132" s="12"/>
      <c r="BV132" s="143">
        <f t="shared" ca="1" si="19"/>
        <v>0</v>
      </c>
      <c r="BW132" s="12"/>
      <c r="BX132" s="12"/>
      <c r="BY132" s="143"/>
      <c r="BZ132" s="13"/>
      <c r="CA132" s="13"/>
      <c r="CB132" s="13"/>
      <c r="CC132" s="13"/>
      <c r="CD132" s="13"/>
      <c r="CE132" s="198"/>
      <c r="CF132" s="198"/>
      <c r="CG132" s="272"/>
      <c r="CH132" s="272"/>
      <c r="CI132" s="198"/>
      <c r="CJ132" s="198"/>
      <c r="CK132" s="198"/>
      <c r="CL132" s="198"/>
    </row>
    <row r="133" spans="1:90">
      <c r="A133" s="187">
        <v>128</v>
      </c>
      <c r="B133" s="190" t="s">
        <v>2486</v>
      </c>
      <c r="C133" s="190" t="s">
        <v>2487</v>
      </c>
      <c r="D133" s="190" t="s">
        <v>135</v>
      </c>
      <c r="E133" s="8" t="e">
        <f ca="1">+_xlfn.CONCAT(G133,"-",B133,"_",C133,"_",_xlfn.XLOOKUP(BP133,Account!M:M,Account!N:N))</f>
        <v>#NAME?</v>
      </c>
      <c r="F133" s="12">
        <v>45862</v>
      </c>
      <c r="G133" s="190" t="s">
        <v>1796</v>
      </c>
      <c r="H133" s="190" t="s">
        <v>3210</v>
      </c>
      <c r="I133" s="10" t="s">
        <v>1797</v>
      </c>
      <c r="J133" s="190">
        <v>6</v>
      </c>
      <c r="K133" s="190" t="s">
        <v>2038</v>
      </c>
      <c r="L133" s="190" t="s">
        <v>3052</v>
      </c>
      <c r="M133" s="190" t="s">
        <v>3211</v>
      </c>
      <c r="N133" s="10" t="s">
        <v>3212</v>
      </c>
      <c r="O133" s="178" t="s">
        <v>3213</v>
      </c>
      <c r="P133" s="178" t="s">
        <v>3214</v>
      </c>
      <c r="Q133" s="327">
        <v>4519.5200000000004</v>
      </c>
      <c r="R133" s="190"/>
      <c r="S133" s="190"/>
      <c r="T133" s="190" t="s">
        <v>2518</v>
      </c>
      <c r="U133" s="190" t="s">
        <v>2565</v>
      </c>
      <c r="V133" s="8" t="s">
        <v>3260</v>
      </c>
      <c r="W133" s="10"/>
      <c r="X133" s="9"/>
      <c r="Y133" s="12"/>
      <c r="Z133" s="172"/>
      <c r="AA133" s="172"/>
      <c r="AB133" s="143" t="str">
        <f t="shared" ca="1" si="10"/>
        <v>NY Submit</v>
      </c>
      <c r="AC133" s="13"/>
      <c r="AD133" s="12">
        <v>45870</v>
      </c>
      <c r="AE133" s="12">
        <v>45960</v>
      </c>
      <c r="AF133" s="12"/>
      <c r="AG133" s="12"/>
      <c r="AH133" s="11"/>
      <c r="AI133" s="11"/>
      <c r="AJ133" s="11"/>
      <c r="AK133" s="11"/>
      <c r="AL133" s="11"/>
      <c r="AM133" s="11">
        <v>45880</v>
      </c>
      <c r="AN133" s="11"/>
      <c r="AO133" s="11" t="str">
        <f>+IF(AM133&lt;&gt;"","Survey LOS App",IF(AF133="Drop","Drop",IF(AE133&lt;&gt;"","Survey Report",IF(AD133&lt;&gt;"","Survey","NY Survey"))))</f>
        <v>Survey LOS App</v>
      </c>
      <c r="AP133" s="173"/>
      <c r="AQ133" s="12"/>
      <c r="AR133" s="12"/>
      <c r="AS133" s="12"/>
      <c r="AT133" s="12"/>
      <c r="AU133" s="12"/>
      <c r="AV133" s="12"/>
      <c r="AW133" s="11" t="str">
        <f t="shared" si="11"/>
        <v>NY Submit</v>
      </c>
      <c r="AX133" s="12"/>
      <c r="AY133" s="12"/>
      <c r="AZ133" s="12"/>
      <c r="BA133" s="12"/>
      <c r="BB133" s="12"/>
      <c r="BC133" s="12"/>
      <c r="BD133" s="11" t="str">
        <f t="shared" si="12"/>
        <v>NY Submit</v>
      </c>
      <c r="BE133" s="174"/>
      <c r="BF133" s="12"/>
      <c r="BG133" s="12"/>
      <c r="BH133" s="10"/>
      <c r="BI133" s="12"/>
      <c r="BJ133" s="12"/>
      <c r="BK133" s="174"/>
      <c r="BL133" s="12" t="str">
        <f t="shared" si="13"/>
        <v>NY Submit</v>
      </c>
      <c r="BM133" s="12" t="str">
        <f t="shared" si="14"/>
        <v>NY Submit</v>
      </c>
      <c r="BN133" s="12"/>
      <c r="BO133" s="12"/>
      <c r="BP133" s="155" t="s">
        <v>2507</v>
      </c>
      <c r="BQ133" s="12" t="s">
        <v>3261</v>
      </c>
      <c r="BR133" s="12">
        <v>45943</v>
      </c>
      <c r="BS133" s="143">
        <f t="shared" ca="1" si="18"/>
        <v>0</v>
      </c>
      <c r="BT133" s="176"/>
      <c r="BU133" s="12"/>
      <c r="BV133" s="143">
        <f t="shared" ca="1" si="19"/>
        <v>0</v>
      </c>
      <c r="BW133" s="12"/>
      <c r="BX133" s="12"/>
      <c r="BY133" s="143"/>
      <c r="BZ133" s="13" t="s">
        <v>3262</v>
      </c>
      <c r="CA133" s="13" t="s">
        <v>3263</v>
      </c>
      <c r="CB133" s="13" t="s">
        <v>2984</v>
      </c>
      <c r="CC133" s="13"/>
      <c r="CD133" s="13"/>
      <c r="CE133" s="198" t="s">
        <v>3264</v>
      </c>
      <c r="CF133" s="198" t="s">
        <v>3265</v>
      </c>
      <c r="CG133" s="272"/>
      <c r="CH133" s="272"/>
      <c r="CI133" s="198"/>
      <c r="CJ133" s="198"/>
      <c r="CK133" s="198"/>
      <c r="CL133" s="198"/>
    </row>
    <row r="134" spans="1:90">
      <c r="A134" s="187">
        <v>129</v>
      </c>
      <c r="B134" s="190" t="s">
        <v>2486</v>
      </c>
      <c r="C134" s="190" t="s">
        <v>2487</v>
      </c>
      <c r="D134" s="190" t="s">
        <v>135</v>
      </c>
      <c r="E134" s="8" t="e">
        <f ca="1">+_xlfn.CONCAT(G134,"-",B134,"_",C134,"_",_xlfn.XLOOKUP(BP134,Account!M:M,Account!N:N))</f>
        <v>#NAME?</v>
      </c>
      <c r="F134" s="12">
        <v>45880</v>
      </c>
      <c r="G134" s="190" t="s">
        <v>2169</v>
      </c>
      <c r="H134" s="190" t="s">
        <v>3266</v>
      </c>
      <c r="I134" s="10" t="s">
        <v>2170</v>
      </c>
      <c r="J134" s="190">
        <v>10</v>
      </c>
      <c r="K134" s="190" t="s">
        <v>2038</v>
      </c>
      <c r="L134" s="190" t="s">
        <v>3156</v>
      </c>
      <c r="M134" s="190" t="s">
        <v>3267</v>
      </c>
      <c r="N134" s="10" t="s">
        <v>3268</v>
      </c>
      <c r="O134" s="178" t="s">
        <v>3269</v>
      </c>
      <c r="P134" s="178" t="s">
        <v>3270</v>
      </c>
      <c r="Q134" s="327">
        <v>19733.400000000001</v>
      </c>
      <c r="R134" s="190"/>
      <c r="S134" s="190" t="s">
        <v>3271</v>
      </c>
      <c r="T134" s="190" t="s">
        <v>2494</v>
      </c>
      <c r="U134" s="190" t="s">
        <v>2495</v>
      </c>
      <c r="V134" s="8" t="s">
        <v>1760</v>
      </c>
      <c r="W134" s="10" t="s">
        <v>3148</v>
      </c>
      <c r="X134" s="9"/>
      <c r="Y134" s="172"/>
      <c r="Z134" s="172"/>
      <c r="AA134" s="172"/>
      <c r="AB134" s="143" t="str">
        <f t="shared" ref="AB134:AB197" ca="1" si="20">IF(AA134="ds","Submit",IF(AA134="","NY Submit",IF(AA134&lt;TODAY(),"Expired",IFERROR(DATEDIF(TODAY(),AA134,"d"),""))))</f>
        <v>NY Submit</v>
      </c>
      <c r="AC134" s="13"/>
      <c r="AD134" s="12">
        <v>45881</v>
      </c>
      <c r="AE134" s="12"/>
      <c r="AF134" s="12"/>
      <c r="AG134" s="12"/>
      <c r="AH134" s="11"/>
      <c r="AI134" s="11">
        <v>45888</v>
      </c>
      <c r="AJ134" s="11"/>
      <c r="AK134" s="11"/>
      <c r="AL134" s="11"/>
      <c r="AM134" s="11">
        <v>45889</v>
      </c>
      <c r="AN134" s="11">
        <v>45889</v>
      </c>
      <c r="AO134" s="11" t="str">
        <f>+IF(AN134&lt;&gt;"","BAST",IF(AI134&lt;&gt;"","Dismantle",IF(AG134&lt;&gt;"","RFD App",IF(AF134="Drop","Drop",IF(AE134&lt;&gt;"","Survey Report",IF(AD134&lt;&gt;"","Survey","NY Survey"))))))</f>
        <v>BAST</v>
      </c>
      <c r="AP134" s="173"/>
      <c r="AQ134" s="12">
        <v>45882</v>
      </c>
      <c r="AR134" s="12">
        <v>45908</v>
      </c>
      <c r="AS134" s="12">
        <v>45888</v>
      </c>
      <c r="AT134" s="12">
        <v>45911</v>
      </c>
      <c r="AU134" s="12">
        <v>45916</v>
      </c>
      <c r="AV134" s="12">
        <v>45925</v>
      </c>
      <c r="AW134" s="11" t="str">
        <f t="shared" ref="AW134:AW197" si="21">+IF(AV134&lt;&gt;"","1st BOQ App on ISAAC",IF(AU134&lt;&gt;"","Upload 1st BOQ &amp; BAN Isaac",IF(AT134="DRM","need DRM",IF(AT134&lt;&gt;"","BAN App",IF(AR134&lt;&gt;"","1st BOQ Pass TI",IF(AS134&lt;&gt;"","Engineering Structural Manager App",IF(AQ134&lt;&gt;"","1st BOQ Submit","NY Submit")))))))</f>
        <v>1st BOQ App on ISAAC</v>
      </c>
      <c r="AX134" s="12"/>
      <c r="AY134" s="12"/>
      <c r="AZ134" s="12"/>
      <c r="BA134" s="12"/>
      <c r="BB134" s="12"/>
      <c r="BC134" s="12"/>
      <c r="BD134" s="11" t="str">
        <f t="shared" ref="BD134:BD197" si="22">+IF(BC134&lt;&gt;"","2nd BOQ App on ISAAC",IF(BB134&lt;&gt;"","Upload 2nd BOQ &amp; BAN Isaac",IF(BA134="DRM","need DRM",IF(BA134&lt;&gt;"","BAN App",IF(AZ134&lt;&gt;"","Engineering Structural Manager App",IF(AY134&lt;&gt;"","2nd BOQ Pass TI",IF(AX134&lt;&gt;"","2nd BOQ Submit","NY Submit")))))))</f>
        <v>NY Submit</v>
      </c>
      <c r="BE134" s="174"/>
      <c r="BF134" s="12"/>
      <c r="BG134" s="12"/>
      <c r="BH134" s="10"/>
      <c r="BI134" s="12"/>
      <c r="BJ134" s="12"/>
      <c r="BK134" s="174"/>
      <c r="BL134" s="12" t="str">
        <f t="shared" ref="BL134:BL197" si="23">+IF(BG134&lt;&gt;"","Approved",IF(BF134&lt;&gt;"","Submit","NY Submit"))</f>
        <v>NY Submit</v>
      </c>
      <c r="BM134" s="12" t="str">
        <f t="shared" ref="BM134:BM197" si="24">+IF(BJ134&lt;&gt;"","Approved",IF(BI134&lt;&gt;"","Submit","NY Submit"))</f>
        <v>NY Submit</v>
      </c>
      <c r="BN134" s="12"/>
      <c r="BO134" s="12"/>
      <c r="BP134" s="155" t="s">
        <v>1760</v>
      </c>
      <c r="BQ134" s="12" t="s">
        <v>3272</v>
      </c>
      <c r="BR134" s="12">
        <v>45944</v>
      </c>
      <c r="BS134" s="143">
        <f ca="1">IF(AO134="Drop",
    "Drop",
    IF(ISBLANK(AV134),
        0,
        IF(ISBLANK(BR134),
            DATEDIF(AV134,TODAY(),"d"),
            DATEDIF(AV134,BR134,"d")
        )
    )
)</f>
        <v>19</v>
      </c>
      <c r="BT134" s="176"/>
      <c r="BU134" s="12"/>
      <c r="BV134" s="143">
        <f ca="1">IF(AO134="Drop",
    "Drop",
    IF(ISBLANK(BC134),
        0,
        IF(ISBLANK(BU134),
            DATEDIF(BC134,TODAY(),"d"),
            DATEDIF(BC134,BU134,"d")
        )
    )
)</f>
        <v>0</v>
      </c>
      <c r="BW134" s="12"/>
      <c r="BX134" s="12"/>
      <c r="BY134" s="143"/>
      <c r="BZ134" s="13" t="s">
        <v>3273</v>
      </c>
      <c r="CA134" s="13" t="s">
        <v>3274</v>
      </c>
      <c r="CB134" s="13" t="s">
        <v>2486</v>
      </c>
      <c r="CC134" s="13"/>
      <c r="CD134" s="13"/>
      <c r="CE134" s="198"/>
      <c r="CF134" s="198"/>
      <c r="CG134" s="272"/>
      <c r="CH134" s="272"/>
      <c r="CI134" s="198"/>
      <c r="CJ134" s="198"/>
      <c r="CK134" s="198"/>
      <c r="CL134" s="198"/>
    </row>
    <row r="135" spans="1:90">
      <c r="A135" s="187">
        <v>130</v>
      </c>
      <c r="B135" s="190" t="s">
        <v>2486</v>
      </c>
      <c r="C135" s="190" t="s">
        <v>2487</v>
      </c>
      <c r="D135" s="190" t="s">
        <v>135</v>
      </c>
      <c r="E135" s="8" t="e">
        <f ca="1">+_xlfn.CONCAT(G135,"-",B135,"_",C135,"_",_xlfn.XLOOKUP(BP135,Account!M:M,Account!N:N))</f>
        <v>#NAME?</v>
      </c>
      <c r="F135" s="12">
        <v>45880</v>
      </c>
      <c r="G135" s="190" t="s">
        <v>3275</v>
      </c>
      <c r="H135" s="190" t="s">
        <v>3276</v>
      </c>
      <c r="I135" s="10" t="s">
        <v>3277</v>
      </c>
      <c r="J135" s="190">
        <v>19</v>
      </c>
      <c r="K135" s="190" t="s">
        <v>2486</v>
      </c>
      <c r="L135" s="190" t="s">
        <v>1381</v>
      </c>
      <c r="M135" s="190" t="s">
        <v>2702</v>
      </c>
      <c r="N135" s="10" t="s">
        <v>3278</v>
      </c>
      <c r="O135" s="178" t="s">
        <v>3279</v>
      </c>
      <c r="P135" s="178" t="s">
        <v>3280</v>
      </c>
      <c r="Q135" s="327">
        <v>2435.61</v>
      </c>
      <c r="R135" s="190">
        <v>18</v>
      </c>
      <c r="S135" s="190"/>
      <c r="T135" s="190" t="s">
        <v>2494</v>
      </c>
      <c r="U135" s="190" t="s">
        <v>2931</v>
      </c>
      <c r="V135" s="8" t="s">
        <v>1760</v>
      </c>
      <c r="W135" s="10"/>
      <c r="X135" s="9"/>
      <c r="Y135" s="172"/>
      <c r="Z135" s="172"/>
      <c r="AA135" s="172"/>
      <c r="AB135" s="143" t="str">
        <f t="shared" ca="1" si="20"/>
        <v>NY Submit</v>
      </c>
      <c r="AC135" s="13"/>
      <c r="AD135" s="12">
        <v>45881</v>
      </c>
      <c r="AE135" s="12">
        <v>45882</v>
      </c>
      <c r="AF135" s="12"/>
      <c r="AG135" s="12">
        <v>45902</v>
      </c>
      <c r="AH135" s="11"/>
      <c r="AI135" s="11">
        <v>45910</v>
      </c>
      <c r="AJ135" s="11"/>
      <c r="AK135" s="11"/>
      <c r="AL135" s="11"/>
      <c r="AM135" s="11">
        <v>45945</v>
      </c>
      <c r="AN135" s="11">
        <v>45945</v>
      </c>
      <c r="AO135" s="11" t="str">
        <f>+IF(AN135&lt;&gt;"","BAST",IF(AI135&lt;&gt;"","Dismantle",IF(AG135&lt;&gt;"","RFD App",IF(AF135="Drop","Drop",IF(AE135&lt;&gt;"","Survey Report",IF(AD135&lt;&gt;"","Survey","NY Survey"))))))</f>
        <v>BAST</v>
      </c>
      <c r="AP135" s="173"/>
      <c r="AQ135" s="12">
        <v>45903</v>
      </c>
      <c r="AR135" s="12">
        <v>45907</v>
      </c>
      <c r="AS135" s="12">
        <v>45904</v>
      </c>
      <c r="AT135" s="12">
        <v>45910</v>
      </c>
      <c r="AU135" s="12">
        <v>45922</v>
      </c>
      <c r="AV135" s="12">
        <v>45923</v>
      </c>
      <c r="AW135" s="11" t="str">
        <f t="shared" si="21"/>
        <v>1st BOQ App on ISAAC</v>
      </c>
      <c r="AX135" s="12"/>
      <c r="AY135" s="12"/>
      <c r="AZ135" s="12"/>
      <c r="BA135" s="12"/>
      <c r="BB135" s="12"/>
      <c r="BC135" s="12"/>
      <c r="BD135" s="11" t="str">
        <f t="shared" si="22"/>
        <v>NY Submit</v>
      </c>
      <c r="BE135" s="174"/>
      <c r="BF135" s="12">
        <v>45882</v>
      </c>
      <c r="BG135" s="12">
        <v>45882</v>
      </c>
      <c r="BH135" s="10" t="s">
        <v>3281</v>
      </c>
      <c r="BI135" s="12">
        <v>45882</v>
      </c>
      <c r="BJ135" s="12">
        <v>45889</v>
      </c>
      <c r="BK135" s="174" t="s">
        <v>3282</v>
      </c>
      <c r="BL135" s="12" t="str">
        <f t="shared" si="23"/>
        <v>Approved</v>
      </c>
      <c r="BM135" s="12" t="str">
        <f t="shared" si="24"/>
        <v>Approved</v>
      </c>
      <c r="BN135" s="12">
        <v>45945</v>
      </c>
      <c r="BO135" s="12"/>
      <c r="BP135" s="155" t="s">
        <v>1760</v>
      </c>
      <c r="BQ135" s="12" t="s">
        <v>3283</v>
      </c>
      <c r="BR135" s="12">
        <v>45937</v>
      </c>
      <c r="BS135" s="143">
        <f t="shared" ref="BS135:BS166" ca="1" si="25">IF(AO135="Drop",
"Drop",
IF(ISBLANK(AV135),
0,
IF(ISBLANK(BR135),
DATEDIF(AV135,TODAY(),"d"),
DATEDIF(AV135,BR135,"d")
)
)
)</f>
        <v>14</v>
      </c>
      <c r="BT135" s="176"/>
      <c r="BU135" s="12"/>
      <c r="BV135" s="143">
        <f t="shared" ref="BV135:BV166" ca="1" si="26">IF(AO135="Drop",
"Drop",
IF(ISBLANK(BC135),
0,
IF(ISBLANK(BU135),
DATEDIF(BC135,TODAY(),"d"),
DATEDIF(BC135,BU135,"d")
)
)
)</f>
        <v>0</v>
      </c>
      <c r="BW135" s="12"/>
      <c r="BX135" s="12"/>
      <c r="BY135" s="143"/>
      <c r="BZ135" s="13" t="s">
        <v>3262</v>
      </c>
      <c r="CA135" s="13" t="s">
        <v>3263</v>
      </c>
      <c r="CB135" s="13" t="s">
        <v>2984</v>
      </c>
      <c r="CC135" s="13"/>
      <c r="CD135" s="13"/>
      <c r="CE135" s="198"/>
      <c r="CF135" s="198"/>
      <c r="CG135" s="272"/>
      <c r="CH135" s="272"/>
      <c r="CI135" s="198"/>
      <c r="CJ135" s="198"/>
      <c r="CK135" s="198"/>
      <c r="CL135" s="198"/>
    </row>
    <row r="136" spans="1:90">
      <c r="A136" s="187">
        <v>131</v>
      </c>
      <c r="B136" s="190" t="s">
        <v>2486</v>
      </c>
      <c r="C136" s="190" t="s">
        <v>2487</v>
      </c>
      <c r="D136" s="190" t="s">
        <v>135</v>
      </c>
      <c r="E136" s="8" t="e">
        <f ca="1">+_xlfn.CONCAT(G136,"-",B136,"_",C136,"_",_xlfn.XLOOKUP(BP136,Account!M:M,Account!N:N))</f>
        <v>#NAME?</v>
      </c>
      <c r="F136" s="12">
        <v>45880</v>
      </c>
      <c r="G136" s="190" t="s">
        <v>3284</v>
      </c>
      <c r="H136" s="190" t="s">
        <v>3285</v>
      </c>
      <c r="I136" s="10" t="s">
        <v>3286</v>
      </c>
      <c r="J136" s="190">
        <v>19</v>
      </c>
      <c r="K136" s="190" t="s">
        <v>2486</v>
      </c>
      <c r="L136" s="190" t="s">
        <v>1381</v>
      </c>
      <c r="M136" s="190" t="s">
        <v>2702</v>
      </c>
      <c r="N136" s="10" t="s">
        <v>3287</v>
      </c>
      <c r="O136" s="178" t="s">
        <v>3288</v>
      </c>
      <c r="P136" s="178" t="s">
        <v>3289</v>
      </c>
      <c r="Q136" s="327">
        <v>2435.61</v>
      </c>
      <c r="R136" s="190">
        <v>18</v>
      </c>
      <c r="S136" s="190"/>
      <c r="T136" s="190" t="s">
        <v>2494</v>
      </c>
      <c r="U136" s="190" t="s">
        <v>2931</v>
      </c>
      <c r="V136" s="8" t="s">
        <v>1760</v>
      </c>
      <c r="W136" s="10"/>
      <c r="X136" s="9"/>
      <c r="Y136" s="172"/>
      <c r="Z136" s="172"/>
      <c r="AA136" s="172"/>
      <c r="AB136" s="143" t="str">
        <f t="shared" ca="1" si="20"/>
        <v>NY Submit</v>
      </c>
      <c r="AC136" s="13"/>
      <c r="AD136" s="12">
        <v>45881</v>
      </c>
      <c r="AE136" s="12">
        <v>45882</v>
      </c>
      <c r="AF136" s="12"/>
      <c r="AG136" s="12">
        <v>45902</v>
      </c>
      <c r="AH136" s="11"/>
      <c r="AI136" s="11">
        <v>45910</v>
      </c>
      <c r="AJ136" s="11"/>
      <c r="AK136" s="11"/>
      <c r="AL136" s="11"/>
      <c r="AM136" s="11">
        <v>45945</v>
      </c>
      <c r="AN136" s="11">
        <v>45945</v>
      </c>
      <c r="AO136" s="11" t="str">
        <f>+IF(AN136&lt;&gt;"","BAST",IF(AI136&lt;&gt;"","Dismantle",IF(AG136&lt;&gt;"","RFD App",IF(AF136="Drop","Drop",IF(AE136&lt;&gt;"","Survey Report",IF(AD136&lt;&gt;"","Survey","NY Survey"))))))</f>
        <v>BAST</v>
      </c>
      <c r="AP136" s="173"/>
      <c r="AQ136" s="12">
        <v>45903</v>
      </c>
      <c r="AR136" s="12">
        <v>45907</v>
      </c>
      <c r="AS136" s="12">
        <v>45904</v>
      </c>
      <c r="AT136" s="12">
        <v>45910</v>
      </c>
      <c r="AU136" s="12">
        <v>45922</v>
      </c>
      <c r="AV136" s="12">
        <v>45925</v>
      </c>
      <c r="AW136" s="11" t="str">
        <f t="shared" si="21"/>
        <v>1st BOQ App on ISAAC</v>
      </c>
      <c r="AX136" s="12"/>
      <c r="AY136" s="12"/>
      <c r="AZ136" s="12"/>
      <c r="BA136" s="12"/>
      <c r="BB136" s="12"/>
      <c r="BC136" s="12"/>
      <c r="BD136" s="11" t="str">
        <f t="shared" si="22"/>
        <v>NY Submit</v>
      </c>
      <c r="BE136" s="174" t="s">
        <v>3290</v>
      </c>
      <c r="BF136" s="12">
        <v>45882</v>
      </c>
      <c r="BG136" s="12">
        <v>45882</v>
      </c>
      <c r="BH136" s="10" t="s">
        <v>3291</v>
      </c>
      <c r="BI136" s="12">
        <v>45882</v>
      </c>
      <c r="BJ136" s="12">
        <v>45889</v>
      </c>
      <c r="BK136" s="174" t="s">
        <v>3292</v>
      </c>
      <c r="BL136" s="12" t="str">
        <f t="shared" si="23"/>
        <v>Approved</v>
      </c>
      <c r="BM136" s="12" t="str">
        <f t="shared" si="24"/>
        <v>Approved</v>
      </c>
      <c r="BN136" s="12"/>
      <c r="BO136" s="12"/>
      <c r="BP136" s="155" t="s">
        <v>1760</v>
      </c>
      <c r="BQ136" s="12" t="s">
        <v>3293</v>
      </c>
      <c r="BR136" s="12">
        <v>45937</v>
      </c>
      <c r="BS136" s="143">
        <f t="shared" ca="1" si="25"/>
        <v>12</v>
      </c>
      <c r="BT136" s="176"/>
      <c r="BU136" s="12"/>
      <c r="BV136" s="143">
        <f t="shared" ca="1" si="26"/>
        <v>0</v>
      </c>
      <c r="BW136" s="12"/>
      <c r="BX136" s="12"/>
      <c r="BY136" s="143"/>
      <c r="BZ136" s="13" t="s">
        <v>3262</v>
      </c>
      <c r="CA136" s="13" t="s">
        <v>3263</v>
      </c>
      <c r="CB136" s="13" t="s">
        <v>2984</v>
      </c>
      <c r="CC136" s="13"/>
      <c r="CD136" s="13"/>
      <c r="CE136" s="198"/>
      <c r="CF136" s="198"/>
      <c r="CG136" s="272"/>
      <c r="CH136" s="272"/>
      <c r="CI136" s="198"/>
      <c r="CJ136" s="198"/>
      <c r="CK136" s="198"/>
      <c r="CL136" s="198"/>
    </row>
    <row r="137" spans="1:90">
      <c r="A137" s="187">
        <v>132</v>
      </c>
      <c r="B137" s="190" t="s">
        <v>2486</v>
      </c>
      <c r="C137" s="190" t="s">
        <v>2487</v>
      </c>
      <c r="D137" s="190" t="s">
        <v>135</v>
      </c>
      <c r="E137" s="8" t="e">
        <f ca="1">+_xlfn.CONCAT(G137,"-",B137,"_",C137,"_",_xlfn.XLOOKUP(BP137,Account!M:M,Account!N:N))</f>
        <v>#NAME?</v>
      </c>
      <c r="F137" s="12">
        <v>45880</v>
      </c>
      <c r="G137" s="190" t="s">
        <v>3294</v>
      </c>
      <c r="H137" s="190" t="s">
        <v>3295</v>
      </c>
      <c r="I137" s="10" t="s">
        <v>3296</v>
      </c>
      <c r="J137" s="190">
        <v>19</v>
      </c>
      <c r="K137" s="190" t="s">
        <v>2486</v>
      </c>
      <c r="L137" s="190" t="s">
        <v>1381</v>
      </c>
      <c r="M137" s="190" t="s">
        <v>2702</v>
      </c>
      <c r="N137" s="10" t="s">
        <v>3297</v>
      </c>
      <c r="O137" s="178" t="s">
        <v>3298</v>
      </c>
      <c r="P137" s="178" t="s">
        <v>3299</v>
      </c>
      <c r="Q137" s="327">
        <v>2435.61</v>
      </c>
      <c r="R137" s="190">
        <v>18</v>
      </c>
      <c r="S137" s="190"/>
      <c r="T137" s="190" t="s">
        <v>2494</v>
      </c>
      <c r="U137" s="190" t="s">
        <v>2931</v>
      </c>
      <c r="V137" s="8" t="s">
        <v>1760</v>
      </c>
      <c r="W137" s="10"/>
      <c r="X137" s="9"/>
      <c r="Y137" s="172"/>
      <c r="Z137" s="172"/>
      <c r="AA137" s="172"/>
      <c r="AB137" s="143" t="str">
        <f t="shared" ca="1" si="20"/>
        <v>NY Submit</v>
      </c>
      <c r="AC137" s="13"/>
      <c r="AD137" s="12">
        <v>45881</v>
      </c>
      <c r="AE137" s="12">
        <v>45882</v>
      </c>
      <c r="AF137" s="12"/>
      <c r="AG137" s="12">
        <v>45902</v>
      </c>
      <c r="AH137" s="11"/>
      <c r="AI137" s="11">
        <v>45910</v>
      </c>
      <c r="AJ137" s="11"/>
      <c r="AK137" s="11"/>
      <c r="AL137" s="11"/>
      <c r="AM137" s="11">
        <v>45945</v>
      </c>
      <c r="AN137" s="11">
        <v>45945</v>
      </c>
      <c r="AO137" s="11" t="str">
        <f>+IF(AN137&lt;&gt;"","BAST",IF(AI137&lt;&gt;"","Dismantle",IF(AG137&lt;&gt;"","RFD App",IF(AF137="Drop","Drop",IF(AE137&lt;&gt;"","Survey Report",IF(AD137&lt;&gt;"","Survey","NY Survey"))))))</f>
        <v>BAST</v>
      </c>
      <c r="AP137" s="173"/>
      <c r="AQ137" s="12">
        <v>45903</v>
      </c>
      <c r="AR137" s="12">
        <v>45907</v>
      </c>
      <c r="AS137" s="12">
        <v>45904</v>
      </c>
      <c r="AT137" s="12">
        <v>45910</v>
      </c>
      <c r="AU137" s="12">
        <v>45922</v>
      </c>
      <c r="AV137" s="12">
        <v>45925</v>
      </c>
      <c r="AW137" s="11" t="str">
        <f t="shared" si="21"/>
        <v>1st BOQ App on ISAAC</v>
      </c>
      <c r="AX137" s="12"/>
      <c r="AY137" s="12"/>
      <c r="AZ137" s="12"/>
      <c r="BA137" s="12"/>
      <c r="BB137" s="12"/>
      <c r="BC137" s="12"/>
      <c r="BD137" s="11" t="str">
        <f t="shared" si="22"/>
        <v>NY Submit</v>
      </c>
      <c r="BE137" s="174" t="s">
        <v>3290</v>
      </c>
      <c r="BF137" s="12">
        <v>45882</v>
      </c>
      <c r="BG137" s="12">
        <v>45882</v>
      </c>
      <c r="BH137" s="10" t="s">
        <v>3300</v>
      </c>
      <c r="BI137" s="12">
        <v>45882</v>
      </c>
      <c r="BJ137" s="12">
        <v>45889</v>
      </c>
      <c r="BK137" s="174" t="s">
        <v>3301</v>
      </c>
      <c r="BL137" s="12" t="str">
        <f t="shared" si="23"/>
        <v>Approved</v>
      </c>
      <c r="BM137" s="12" t="str">
        <f t="shared" si="24"/>
        <v>Approved</v>
      </c>
      <c r="BN137" s="12"/>
      <c r="BO137" s="12"/>
      <c r="BP137" s="155" t="s">
        <v>1760</v>
      </c>
      <c r="BQ137" s="12" t="s">
        <v>3302</v>
      </c>
      <c r="BR137" s="12">
        <v>45937</v>
      </c>
      <c r="BS137" s="143">
        <f t="shared" ca="1" si="25"/>
        <v>12</v>
      </c>
      <c r="BT137" s="176"/>
      <c r="BU137" s="12"/>
      <c r="BV137" s="143">
        <f t="shared" ca="1" si="26"/>
        <v>0</v>
      </c>
      <c r="BW137" s="12"/>
      <c r="BX137" s="12"/>
      <c r="BY137" s="143"/>
      <c r="BZ137" s="13" t="s">
        <v>3262</v>
      </c>
      <c r="CA137" s="13" t="s">
        <v>3263</v>
      </c>
      <c r="CB137" s="13" t="s">
        <v>2984</v>
      </c>
      <c r="CC137" s="13"/>
      <c r="CD137" s="13"/>
      <c r="CE137" s="198"/>
      <c r="CF137" s="198"/>
      <c r="CG137" s="272"/>
      <c r="CH137" s="272"/>
      <c r="CI137" s="198"/>
      <c r="CJ137" s="198"/>
      <c r="CK137" s="198"/>
      <c r="CL137" s="198"/>
    </row>
    <row r="138" spans="1:90">
      <c r="A138" s="187">
        <v>133</v>
      </c>
      <c r="B138" s="190" t="s">
        <v>2486</v>
      </c>
      <c r="C138" s="190" t="s">
        <v>2487</v>
      </c>
      <c r="D138" s="190" t="s">
        <v>135</v>
      </c>
      <c r="E138" s="8" t="e">
        <f ca="1">+_xlfn.CONCAT(G138,"-",B138,"_",C138,"_",_xlfn.XLOOKUP(BP138,Account!M:M,Account!N:N))</f>
        <v>#NAME?</v>
      </c>
      <c r="F138" s="12">
        <v>45880</v>
      </c>
      <c r="G138" s="190" t="s">
        <v>2174</v>
      </c>
      <c r="H138" s="190" t="s">
        <v>3303</v>
      </c>
      <c r="I138" s="10" t="s">
        <v>2175</v>
      </c>
      <c r="J138" s="190">
        <v>6</v>
      </c>
      <c r="K138" s="190" t="s">
        <v>2038</v>
      </c>
      <c r="L138" s="190" t="s">
        <v>3052</v>
      </c>
      <c r="M138" s="190" t="s">
        <v>3304</v>
      </c>
      <c r="N138" s="10" t="s">
        <v>3305</v>
      </c>
      <c r="O138" s="178" t="s">
        <v>3306</v>
      </c>
      <c r="P138" s="178" t="s">
        <v>3307</v>
      </c>
      <c r="Q138" s="327">
        <v>16015.06</v>
      </c>
      <c r="R138" s="190">
        <v>55</v>
      </c>
      <c r="S138" s="190"/>
      <c r="T138" s="190" t="s">
        <v>2494</v>
      </c>
      <c r="U138" s="190" t="s">
        <v>2495</v>
      </c>
      <c r="V138" s="8" t="s">
        <v>1760</v>
      </c>
      <c r="W138" s="10"/>
      <c r="X138" s="9"/>
      <c r="Y138" s="172"/>
      <c r="Z138" s="172"/>
      <c r="AA138" s="172"/>
      <c r="AB138" s="143" t="str">
        <f t="shared" ca="1" si="20"/>
        <v>NY Submit</v>
      </c>
      <c r="AC138" s="13"/>
      <c r="AD138" s="12">
        <v>45884</v>
      </c>
      <c r="AE138" s="12">
        <v>45884</v>
      </c>
      <c r="AF138" s="12"/>
      <c r="AG138" s="12"/>
      <c r="AH138" s="11"/>
      <c r="AI138" s="11">
        <v>45915</v>
      </c>
      <c r="AJ138" s="11"/>
      <c r="AK138" s="11"/>
      <c r="AL138" s="11"/>
      <c r="AM138" s="11"/>
      <c r="AN138" s="11">
        <v>45917</v>
      </c>
      <c r="AO138" s="11" t="str">
        <f>+IF(AN138&lt;&gt;"","BAST",IF(AI138&lt;&gt;"","Dismantle",IF(AG138&lt;&gt;"","RFD App",IF(AF138="Drop","Drop",IF(AE138&lt;&gt;"","Survey Report",IF(AD138&lt;&gt;"","Survey","NY Survey"))))))</f>
        <v>BAST</v>
      </c>
      <c r="AP138" s="173"/>
      <c r="AQ138" s="12">
        <v>45904</v>
      </c>
      <c r="AR138" s="12">
        <v>45937</v>
      </c>
      <c r="AS138" s="12"/>
      <c r="AT138" s="12">
        <v>45965</v>
      </c>
      <c r="AU138" s="12">
        <v>45965</v>
      </c>
      <c r="AV138" s="12">
        <v>45909</v>
      </c>
      <c r="AW138" s="11" t="str">
        <f t="shared" si="21"/>
        <v>1st BOQ App on ISAAC</v>
      </c>
      <c r="AX138" s="12"/>
      <c r="AY138" s="12"/>
      <c r="AZ138" s="12"/>
      <c r="BA138" s="12"/>
      <c r="BB138" s="12"/>
      <c r="BC138" s="12"/>
      <c r="BD138" s="11" t="str">
        <f t="shared" si="22"/>
        <v>NY Submit</v>
      </c>
      <c r="BE138" s="174" t="s">
        <v>3308</v>
      </c>
      <c r="BF138" s="12">
        <v>45884</v>
      </c>
      <c r="BG138" s="12">
        <v>45775</v>
      </c>
      <c r="BH138" s="10" t="s">
        <v>3309</v>
      </c>
      <c r="BI138" s="12">
        <v>45884</v>
      </c>
      <c r="BJ138" s="12">
        <v>45777</v>
      </c>
      <c r="BK138" s="174"/>
      <c r="BL138" s="12" t="str">
        <f t="shared" si="23"/>
        <v>Approved</v>
      </c>
      <c r="BM138" s="12" t="str">
        <f t="shared" si="24"/>
        <v>Approved</v>
      </c>
      <c r="BN138" s="12">
        <v>45918</v>
      </c>
      <c r="BO138" s="12">
        <v>45937</v>
      </c>
      <c r="BP138" s="155" t="s">
        <v>1760</v>
      </c>
      <c r="BQ138" s="12" t="s">
        <v>3310</v>
      </c>
      <c r="BR138" s="12">
        <v>45982</v>
      </c>
      <c r="BS138" s="143">
        <f t="shared" ca="1" si="25"/>
        <v>73</v>
      </c>
      <c r="BT138" s="176"/>
      <c r="BU138" s="12"/>
      <c r="BV138" s="143">
        <f t="shared" ca="1" si="26"/>
        <v>0</v>
      </c>
      <c r="BW138" s="12"/>
      <c r="BX138" s="12"/>
      <c r="BY138" s="143"/>
      <c r="BZ138" s="13" t="s">
        <v>3262</v>
      </c>
      <c r="CA138" s="13" t="s">
        <v>3263</v>
      </c>
      <c r="CB138" s="13" t="s">
        <v>2984</v>
      </c>
      <c r="CC138" s="13"/>
      <c r="CD138" s="13"/>
      <c r="CE138" s="198"/>
      <c r="CF138" s="198"/>
      <c r="CG138" s="272"/>
      <c r="CH138" s="272"/>
      <c r="CI138" s="198"/>
      <c r="CJ138" s="198"/>
      <c r="CK138" s="198"/>
      <c r="CL138" s="198"/>
    </row>
    <row r="139" spans="1:90">
      <c r="A139" s="187">
        <v>134</v>
      </c>
      <c r="B139" s="190" t="s">
        <v>2486</v>
      </c>
      <c r="C139" s="190" t="s">
        <v>2487</v>
      </c>
      <c r="D139" s="190" t="s">
        <v>135</v>
      </c>
      <c r="E139" s="8" t="e">
        <f ca="1">+_xlfn.CONCAT(G139,"-",B139,"_",C139,"_",_xlfn.XLOOKUP(BP139,Account!M:M,Account!N:N))</f>
        <v>#NAME?</v>
      </c>
      <c r="F139" s="12">
        <v>45880</v>
      </c>
      <c r="G139" s="190" t="s">
        <v>2174</v>
      </c>
      <c r="H139" s="190" t="s">
        <v>3303</v>
      </c>
      <c r="I139" s="10" t="s">
        <v>2175</v>
      </c>
      <c r="J139" s="190">
        <v>6</v>
      </c>
      <c r="K139" s="190" t="s">
        <v>2038</v>
      </c>
      <c r="L139" s="190" t="s">
        <v>3052</v>
      </c>
      <c r="M139" s="190" t="s">
        <v>3304</v>
      </c>
      <c r="N139" s="10" t="s">
        <v>3305</v>
      </c>
      <c r="O139" s="178" t="s">
        <v>3306</v>
      </c>
      <c r="P139" s="178" t="s">
        <v>3307</v>
      </c>
      <c r="Q139" s="327">
        <v>16015.06</v>
      </c>
      <c r="R139" s="190">
        <v>55</v>
      </c>
      <c r="S139" s="190"/>
      <c r="T139" s="190" t="s">
        <v>2494</v>
      </c>
      <c r="U139" s="190" t="s">
        <v>2495</v>
      </c>
      <c r="V139" s="8" t="s">
        <v>2011</v>
      </c>
      <c r="W139" s="10"/>
      <c r="X139" s="9"/>
      <c r="Y139" s="172"/>
      <c r="Z139" s="172"/>
      <c r="AA139" s="172"/>
      <c r="AB139" s="143" t="str">
        <f t="shared" ca="1" si="20"/>
        <v>NY Submit</v>
      </c>
      <c r="AC139" s="13"/>
      <c r="AD139" s="12">
        <v>45884</v>
      </c>
      <c r="AE139" s="12">
        <v>45884</v>
      </c>
      <c r="AF139" s="12"/>
      <c r="AG139" s="12"/>
      <c r="AH139" s="11">
        <v>45908</v>
      </c>
      <c r="AI139" s="11"/>
      <c r="AJ139" s="11"/>
      <c r="AK139" s="11"/>
      <c r="AL139" s="11"/>
      <c r="AM139" s="11">
        <v>45909</v>
      </c>
      <c r="AN139" s="11"/>
      <c r="AO139" s="11" t="str">
        <f>+IF(AM139&lt;&gt;"","ATP App MS",IF(AJ139&lt;&gt;"","Inbound",IF(AH139&lt;&gt;"","Dismantle Perangkat",IF(AF139="Drop","Drop",IF(AE139&lt;&gt;"","Survey Report",IF(AD139&lt;&gt;"","Survey","NY Survey"))))))</f>
        <v>ATP App MS</v>
      </c>
      <c r="AP139" s="173"/>
      <c r="AQ139" s="12">
        <v>45904</v>
      </c>
      <c r="AR139" s="12">
        <v>45937</v>
      </c>
      <c r="AS139" s="12"/>
      <c r="AT139" s="12"/>
      <c r="AU139" s="12">
        <v>45965</v>
      </c>
      <c r="AV139" s="12">
        <v>45909</v>
      </c>
      <c r="AW139" s="11" t="str">
        <f t="shared" si="21"/>
        <v>1st BOQ App on ISAAC</v>
      </c>
      <c r="AX139" s="12"/>
      <c r="AY139" s="12"/>
      <c r="AZ139" s="12"/>
      <c r="BA139" s="12"/>
      <c r="BB139" s="12"/>
      <c r="BC139" s="12"/>
      <c r="BD139" s="11" t="str">
        <f t="shared" si="22"/>
        <v>NY Submit</v>
      </c>
      <c r="BE139" s="174"/>
      <c r="BF139" s="12">
        <v>45884</v>
      </c>
      <c r="BG139" s="12">
        <v>45775</v>
      </c>
      <c r="BH139" s="10" t="s">
        <v>3309</v>
      </c>
      <c r="BI139" s="12">
        <v>45884</v>
      </c>
      <c r="BJ139" s="12">
        <v>45777</v>
      </c>
      <c r="BK139" s="174"/>
      <c r="BL139" s="12" t="str">
        <f t="shared" si="23"/>
        <v>Approved</v>
      </c>
      <c r="BM139" s="12" t="str">
        <f t="shared" si="24"/>
        <v>Approved</v>
      </c>
      <c r="BN139" s="12">
        <v>45951</v>
      </c>
      <c r="BO139" s="12">
        <v>45951</v>
      </c>
      <c r="BP139" s="155" t="s">
        <v>2011</v>
      </c>
      <c r="BQ139" s="12" t="s">
        <v>2718</v>
      </c>
      <c r="BR139" s="12">
        <v>45982</v>
      </c>
      <c r="BS139" s="143">
        <f t="shared" ca="1" si="25"/>
        <v>73</v>
      </c>
      <c r="BT139" s="176"/>
      <c r="BU139" s="12"/>
      <c r="BV139" s="143">
        <f t="shared" ca="1" si="26"/>
        <v>0</v>
      </c>
      <c r="BW139" s="12"/>
      <c r="BX139" s="12"/>
      <c r="BY139" s="143"/>
      <c r="BZ139" s="13" t="s">
        <v>3262</v>
      </c>
      <c r="CA139" s="13" t="s">
        <v>3263</v>
      </c>
      <c r="CB139" s="13" t="s">
        <v>2984</v>
      </c>
      <c r="CC139" s="13"/>
      <c r="CD139" s="13"/>
      <c r="CE139" s="198"/>
      <c r="CF139" s="198"/>
      <c r="CG139" s="272"/>
      <c r="CH139" s="272"/>
      <c r="CI139" s="198"/>
      <c r="CJ139" s="198"/>
      <c r="CK139" s="198"/>
      <c r="CL139" s="198"/>
    </row>
    <row r="140" spans="1:90" ht="30" customHeight="1">
      <c r="A140" s="187">
        <v>135</v>
      </c>
      <c r="B140" s="190" t="s">
        <v>2486</v>
      </c>
      <c r="C140" s="190" t="s">
        <v>2487</v>
      </c>
      <c r="D140" s="190" t="s">
        <v>135</v>
      </c>
      <c r="E140" s="8" t="e">
        <f ca="1">+_xlfn.CONCAT(G140,"-",B140,"_",C140,"_",_xlfn.XLOOKUP(BP140,Account!M:M,Account!N:N))</f>
        <v>#NAME?</v>
      </c>
      <c r="F140" s="12">
        <v>45880</v>
      </c>
      <c r="G140" s="190" t="s">
        <v>2174</v>
      </c>
      <c r="H140" s="190" t="s">
        <v>3303</v>
      </c>
      <c r="I140" s="10" t="s">
        <v>2175</v>
      </c>
      <c r="J140" s="190">
        <v>6</v>
      </c>
      <c r="K140" s="190" t="s">
        <v>2038</v>
      </c>
      <c r="L140" s="190" t="s">
        <v>3052</v>
      </c>
      <c r="M140" s="190" t="s">
        <v>3304</v>
      </c>
      <c r="N140" s="10" t="s">
        <v>3305</v>
      </c>
      <c r="O140" s="178" t="s">
        <v>3306</v>
      </c>
      <c r="P140" s="178" t="s">
        <v>3307</v>
      </c>
      <c r="Q140" s="327">
        <v>16015.06</v>
      </c>
      <c r="R140" s="190">
        <v>55</v>
      </c>
      <c r="S140" s="190"/>
      <c r="T140" s="190" t="s">
        <v>2494</v>
      </c>
      <c r="U140" s="190" t="s">
        <v>2495</v>
      </c>
      <c r="V140" s="8" t="s">
        <v>1768</v>
      </c>
      <c r="W140" s="10" t="s">
        <v>2556</v>
      </c>
      <c r="X140" s="9"/>
      <c r="Y140" s="172"/>
      <c r="Z140" s="172"/>
      <c r="AA140" s="172"/>
      <c r="AB140" s="143" t="str">
        <f t="shared" ca="1" si="20"/>
        <v>NY Submit</v>
      </c>
      <c r="AC140" s="13"/>
      <c r="AD140" s="12">
        <v>45884</v>
      </c>
      <c r="AE140" s="12">
        <v>45884</v>
      </c>
      <c r="AF140" s="12"/>
      <c r="AG140" s="12"/>
      <c r="AH140" s="11"/>
      <c r="AI140" s="11"/>
      <c r="AJ140" s="11"/>
      <c r="AK140" s="11">
        <v>45909</v>
      </c>
      <c r="AL140" s="11">
        <v>45909</v>
      </c>
      <c r="AM140" s="11">
        <v>45909</v>
      </c>
      <c r="AN140" s="11"/>
      <c r="AO140" s="11" t="str">
        <f>+IF(AM140&lt;&gt;"","ATP App MS",IF(AL140&lt;&gt;"","OA/RFS",IF(AK140&lt;&gt;"","Install",IF(AH140&lt;&gt;"","Dismantle Perangkat",IF(AF140="Drop","Drop",IF(AE140&lt;&gt;"","Survey Report",IF(AD140&lt;&gt;"","Survey","NY Survey")))))))</f>
        <v>ATP App MS</v>
      </c>
      <c r="AP140" s="173"/>
      <c r="AQ140" s="12">
        <v>45904</v>
      </c>
      <c r="AR140" s="12">
        <v>45937</v>
      </c>
      <c r="AS140" s="12"/>
      <c r="AT140" s="12"/>
      <c r="AU140" s="12">
        <v>45965</v>
      </c>
      <c r="AV140" s="12">
        <v>45909</v>
      </c>
      <c r="AW140" s="11" t="str">
        <f t="shared" si="21"/>
        <v>1st BOQ App on ISAAC</v>
      </c>
      <c r="AX140" s="12"/>
      <c r="AY140" s="12"/>
      <c r="AZ140" s="12"/>
      <c r="BA140" s="12"/>
      <c r="BB140" s="12"/>
      <c r="BC140" s="12"/>
      <c r="BD140" s="11" t="str">
        <f t="shared" si="22"/>
        <v>NY Submit</v>
      </c>
      <c r="BE140" s="174"/>
      <c r="BF140" s="12">
        <v>45884</v>
      </c>
      <c r="BG140" s="12">
        <v>45775</v>
      </c>
      <c r="BH140" s="10" t="s">
        <v>3309</v>
      </c>
      <c r="BI140" s="12">
        <v>45884</v>
      </c>
      <c r="BJ140" s="12">
        <v>45777</v>
      </c>
      <c r="BK140" s="174"/>
      <c r="BL140" s="12" t="str">
        <f t="shared" si="23"/>
        <v>Approved</v>
      </c>
      <c r="BM140" s="12" t="str">
        <f t="shared" si="24"/>
        <v>Approved</v>
      </c>
      <c r="BN140" s="12">
        <v>45951</v>
      </c>
      <c r="BO140" s="12">
        <v>45951</v>
      </c>
      <c r="BP140" s="155" t="s">
        <v>1768</v>
      </c>
      <c r="BQ140" s="12" t="s">
        <v>3311</v>
      </c>
      <c r="BR140" s="12">
        <v>45982</v>
      </c>
      <c r="BS140" s="143">
        <f t="shared" ca="1" si="25"/>
        <v>73</v>
      </c>
      <c r="BT140" s="176"/>
      <c r="BU140" s="12"/>
      <c r="BV140" s="143">
        <f t="shared" ca="1" si="26"/>
        <v>0</v>
      </c>
      <c r="BW140" s="12"/>
      <c r="BX140" s="12"/>
      <c r="BY140" s="143"/>
      <c r="BZ140" s="13" t="s">
        <v>3262</v>
      </c>
      <c r="CA140" s="13" t="s">
        <v>3263</v>
      </c>
      <c r="CB140" s="13" t="s">
        <v>2984</v>
      </c>
      <c r="CC140" s="13"/>
      <c r="CD140" s="13"/>
      <c r="CE140" s="198" t="s">
        <v>3312</v>
      </c>
      <c r="CF140" s="198" t="s">
        <v>3313</v>
      </c>
      <c r="CG140" s="273" t="s">
        <v>3314</v>
      </c>
      <c r="CH140" s="273" t="s">
        <v>3315</v>
      </c>
      <c r="CI140" s="198" t="s">
        <v>3316</v>
      </c>
      <c r="CJ140" s="198"/>
      <c r="CK140" s="198"/>
      <c r="CL140" s="198"/>
    </row>
    <row r="141" spans="1:90">
      <c r="A141" s="187">
        <v>136</v>
      </c>
      <c r="B141" s="190" t="s">
        <v>2486</v>
      </c>
      <c r="C141" s="190" t="s">
        <v>2487</v>
      </c>
      <c r="D141" s="190" t="s">
        <v>135</v>
      </c>
      <c r="E141" s="8" t="e">
        <f ca="1">+_xlfn.CONCAT(G141,"-",B141,"_",C141,"_",_xlfn.XLOOKUP(BP141,Account!M:M,Account!N:N))</f>
        <v>#NAME?</v>
      </c>
      <c r="F141" s="12">
        <v>45880</v>
      </c>
      <c r="G141" s="190" t="s">
        <v>2174</v>
      </c>
      <c r="H141" s="190" t="s">
        <v>3303</v>
      </c>
      <c r="I141" s="10" t="s">
        <v>2175</v>
      </c>
      <c r="J141" s="190">
        <v>6</v>
      </c>
      <c r="K141" s="190" t="s">
        <v>2038</v>
      </c>
      <c r="L141" s="190" t="s">
        <v>3052</v>
      </c>
      <c r="M141" s="190" t="s">
        <v>3304</v>
      </c>
      <c r="N141" s="10" t="s">
        <v>3305</v>
      </c>
      <c r="O141" s="178" t="s">
        <v>3306</v>
      </c>
      <c r="P141" s="178" t="s">
        <v>3307</v>
      </c>
      <c r="Q141" s="327">
        <v>16015.06</v>
      </c>
      <c r="R141" s="190">
        <v>55</v>
      </c>
      <c r="S141" s="190"/>
      <c r="T141" s="190" t="s">
        <v>2494</v>
      </c>
      <c r="U141" s="190" t="s">
        <v>2495</v>
      </c>
      <c r="V141" s="8" t="s">
        <v>3317</v>
      </c>
      <c r="W141" s="10"/>
      <c r="X141" s="9"/>
      <c r="Y141" s="172"/>
      <c r="Z141" s="172"/>
      <c r="AA141" s="172"/>
      <c r="AB141" s="143" t="str">
        <f t="shared" ca="1" si="20"/>
        <v>NY Submit</v>
      </c>
      <c r="AC141" s="13"/>
      <c r="AD141" s="12">
        <v>45893</v>
      </c>
      <c r="AE141" s="12">
        <v>45893</v>
      </c>
      <c r="AF141" s="12"/>
      <c r="AG141" s="12"/>
      <c r="AH141" s="11"/>
      <c r="AI141" s="11"/>
      <c r="AJ141" s="11"/>
      <c r="AK141" s="11"/>
      <c r="AL141" s="11"/>
      <c r="AM141" s="11">
        <v>45945</v>
      </c>
      <c r="AN141" s="11"/>
      <c r="AO141" s="11" t="str">
        <f>+IF(AM141&lt;&gt;"","Survey LOS App",IF(AF141="Drop","Drop",IF(AE141&lt;&gt;"","Survey Report",IF(AD141&lt;&gt;"","Survey","NY Survey"))))</f>
        <v>Survey LOS App</v>
      </c>
      <c r="AP141" s="173"/>
      <c r="AQ141" s="12"/>
      <c r="AR141" s="12"/>
      <c r="AS141" s="12"/>
      <c r="AT141" s="12"/>
      <c r="AU141" s="12"/>
      <c r="AV141" s="12"/>
      <c r="AW141" s="11" t="str">
        <f t="shared" si="21"/>
        <v>NY Submit</v>
      </c>
      <c r="AX141" s="12"/>
      <c r="AY141" s="12"/>
      <c r="AZ141" s="12"/>
      <c r="BA141" s="12"/>
      <c r="BB141" s="12"/>
      <c r="BC141" s="12"/>
      <c r="BD141" s="11" t="str">
        <f t="shared" si="22"/>
        <v>NY Submit</v>
      </c>
      <c r="BE141" s="174"/>
      <c r="BF141" s="12"/>
      <c r="BG141" s="12"/>
      <c r="BH141" s="10"/>
      <c r="BI141" s="12"/>
      <c r="BJ141" s="12"/>
      <c r="BK141" s="174"/>
      <c r="BL141" s="12" t="str">
        <f t="shared" si="23"/>
        <v>NY Submit</v>
      </c>
      <c r="BM141" s="12" t="str">
        <f t="shared" si="24"/>
        <v>NY Submit</v>
      </c>
      <c r="BN141" s="12"/>
      <c r="BO141" s="12">
        <v>45945</v>
      </c>
      <c r="BP141" s="155" t="s">
        <v>2507</v>
      </c>
      <c r="BQ141" s="12" t="s">
        <v>3318</v>
      </c>
      <c r="BR141" s="12">
        <v>45944</v>
      </c>
      <c r="BS141" s="143">
        <f t="shared" ca="1" si="25"/>
        <v>0</v>
      </c>
      <c r="BT141" s="176"/>
      <c r="BU141" s="12"/>
      <c r="BV141" s="143">
        <f t="shared" ca="1" si="26"/>
        <v>0</v>
      </c>
      <c r="BW141" s="12"/>
      <c r="BX141" s="12"/>
      <c r="BY141" s="143"/>
      <c r="BZ141" s="13" t="s">
        <v>3262</v>
      </c>
      <c r="CA141" s="13" t="s">
        <v>3263</v>
      </c>
      <c r="CB141" s="13" t="s">
        <v>2984</v>
      </c>
      <c r="CC141" s="13"/>
      <c r="CD141" s="13"/>
      <c r="CE141" s="198" t="s">
        <v>3319</v>
      </c>
      <c r="CF141" s="198" t="s">
        <v>3320</v>
      </c>
      <c r="CG141" s="273" t="s">
        <v>3321</v>
      </c>
      <c r="CH141" s="273" t="s">
        <v>3322</v>
      </c>
      <c r="CI141" s="198"/>
      <c r="CJ141" s="198"/>
      <c r="CK141" s="198"/>
      <c r="CL141" s="198"/>
    </row>
    <row r="142" spans="1:90">
      <c r="A142" s="187">
        <v>137</v>
      </c>
      <c r="B142" s="190" t="s">
        <v>2486</v>
      </c>
      <c r="C142" s="190" t="s">
        <v>2487</v>
      </c>
      <c r="D142" s="190" t="s">
        <v>135</v>
      </c>
      <c r="E142" s="8" t="e">
        <f ca="1">+_xlfn.CONCAT(G142,"-",B142,"_",C142,"_",_xlfn.XLOOKUP(BP142,Account!M:M,Account!N:N))</f>
        <v>#NAME?</v>
      </c>
      <c r="F142" s="12">
        <v>45884</v>
      </c>
      <c r="G142" s="190" t="s">
        <v>3323</v>
      </c>
      <c r="H142" s="190" t="s">
        <v>3324</v>
      </c>
      <c r="I142" s="10" t="s">
        <v>3325</v>
      </c>
      <c r="J142" s="190">
        <v>10</v>
      </c>
      <c r="K142" s="190" t="s">
        <v>2486</v>
      </c>
      <c r="L142" s="190" t="s">
        <v>3156</v>
      </c>
      <c r="M142" s="190" t="s">
        <v>3326</v>
      </c>
      <c r="N142" s="10" t="s">
        <v>3327</v>
      </c>
      <c r="O142" s="178" t="s">
        <v>3328</v>
      </c>
      <c r="P142" s="178" t="s">
        <v>3329</v>
      </c>
      <c r="Q142" s="327">
        <v>6828.5249999999996</v>
      </c>
      <c r="R142" s="190">
        <v>51</v>
      </c>
      <c r="S142" s="190"/>
      <c r="T142" s="190" t="s">
        <v>2494</v>
      </c>
      <c r="U142" s="190" t="s">
        <v>3330</v>
      </c>
      <c r="V142" s="8" t="s">
        <v>1760</v>
      </c>
      <c r="W142" s="10" t="s">
        <v>3148</v>
      </c>
      <c r="X142" s="9"/>
      <c r="Y142" s="172"/>
      <c r="Z142" s="172"/>
      <c r="AA142" s="172"/>
      <c r="AB142" s="143" t="str">
        <f t="shared" ca="1" si="20"/>
        <v>NY Submit</v>
      </c>
      <c r="AC142" s="13"/>
      <c r="AD142" s="12">
        <v>45893</v>
      </c>
      <c r="AE142" s="12">
        <v>45895</v>
      </c>
      <c r="AF142" s="12"/>
      <c r="AG142" s="12">
        <v>45948</v>
      </c>
      <c r="AH142" s="11"/>
      <c r="AI142" s="11">
        <v>45992</v>
      </c>
      <c r="AJ142" s="11"/>
      <c r="AK142" s="11"/>
      <c r="AL142" s="11"/>
      <c r="AM142" s="11">
        <v>45994</v>
      </c>
      <c r="AN142" s="11">
        <v>45994</v>
      </c>
      <c r="AO142" s="11" t="str">
        <f>+IF(AN142&lt;&gt;"","BAST",IF(AI142&lt;&gt;"","Dismantle",IF(AG142&lt;&gt;"","RFD App",IF(AF142="Drop","Drop",IF(AE142&lt;&gt;"","Survey Report",IF(AD142&lt;&gt;"","Survey","NY Survey"))))))</f>
        <v>BAST</v>
      </c>
      <c r="AP142" s="173" t="s">
        <v>3331</v>
      </c>
      <c r="AQ142" s="12">
        <v>45978</v>
      </c>
      <c r="AR142" s="12">
        <v>45980</v>
      </c>
      <c r="AS142" s="12">
        <v>45979</v>
      </c>
      <c r="AT142" s="12"/>
      <c r="AU142" s="12">
        <v>45985</v>
      </c>
      <c r="AV142" s="12">
        <v>45988</v>
      </c>
      <c r="AW142" s="11" t="str">
        <f t="shared" si="21"/>
        <v>1st BOQ App on ISAAC</v>
      </c>
      <c r="AX142" s="12"/>
      <c r="AY142" s="12"/>
      <c r="AZ142" s="12"/>
      <c r="BA142" s="12"/>
      <c r="BB142" s="12"/>
      <c r="BC142" s="12"/>
      <c r="BD142" s="11" t="str">
        <f t="shared" si="22"/>
        <v>NY Submit</v>
      </c>
      <c r="BE142" s="174" t="s">
        <v>3332</v>
      </c>
      <c r="BF142" s="12">
        <v>45897</v>
      </c>
      <c r="BG142" s="12">
        <v>45910</v>
      </c>
      <c r="BH142" s="10" t="s">
        <v>3333</v>
      </c>
      <c r="BI142" s="12">
        <v>45898</v>
      </c>
      <c r="BJ142" s="12">
        <v>45902</v>
      </c>
      <c r="BK142" s="200" t="s">
        <v>3334</v>
      </c>
      <c r="BL142" s="12" t="str">
        <f t="shared" si="23"/>
        <v>Approved</v>
      </c>
      <c r="BM142" s="12" t="str">
        <f t="shared" si="24"/>
        <v>Approved</v>
      </c>
      <c r="BN142" s="12">
        <v>45994</v>
      </c>
      <c r="BO142" s="12">
        <v>45994</v>
      </c>
      <c r="BP142" s="155" t="s">
        <v>1760</v>
      </c>
      <c r="BQ142" s="12" t="s">
        <v>3335</v>
      </c>
      <c r="BR142" s="12">
        <v>46000</v>
      </c>
      <c r="BS142" s="143">
        <f t="shared" ca="1" si="25"/>
        <v>12</v>
      </c>
      <c r="BT142" s="176"/>
      <c r="BU142" s="12"/>
      <c r="BV142" s="143">
        <f t="shared" ca="1" si="26"/>
        <v>0</v>
      </c>
      <c r="BW142" s="12"/>
      <c r="BX142" s="12"/>
      <c r="BY142" s="143"/>
      <c r="BZ142" s="13" t="s">
        <v>2500</v>
      </c>
      <c r="CA142" s="13"/>
      <c r="CB142" s="13"/>
      <c r="CC142" s="13"/>
      <c r="CD142" s="13"/>
      <c r="CE142" s="198" t="s">
        <v>3336</v>
      </c>
      <c r="CF142" s="198" t="s">
        <v>3337</v>
      </c>
      <c r="CG142" s="273" t="s">
        <v>3338</v>
      </c>
      <c r="CH142" s="273" t="s">
        <v>3339</v>
      </c>
      <c r="CI142" s="198"/>
      <c r="CJ142" s="198"/>
      <c r="CK142" s="198"/>
      <c r="CL142" s="198"/>
    </row>
    <row r="143" spans="1:90">
      <c r="A143" s="187">
        <v>138</v>
      </c>
      <c r="B143" s="190" t="s">
        <v>2486</v>
      </c>
      <c r="C143" s="190" t="s">
        <v>2487</v>
      </c>
      <c r="D143" s="190" t="s">
        <v>135</v>
      </c>
      <c r="E143" s="8" t="e">
        <f ca="1">+_xlfn.CONCAT(G143,"-",B143,"_",C143,"_",_xlfn.XLOOKUP(BP143,Account!M:M,Account!N:N))</f>
        <v>#NAME?</v>
      </c>
      <c r="F143" s="12">
        <v>45884</v>
      </c>
      <c r="G143" s="190" t="s">
        <v>3323</v>
      </c>
      <c r="H143" s="190" t="s">
        <v>3324</v>
      </c>
      <c r="I143" s="10" t="s">
        <v>3325</v>
      </c>
      <c r="J143" s="190">
        <v>10</v>
      </c>
      <c r="K143" s="190" t="s">
        <v>2486</v>
      </c>
      <c r="L143" s="190" t="s">
        <v>3156</v>
      </c>
      <c r="M143" s="190" t="s">
        <v>3326</v>
      </c>
      <c r="N143" s="10" t="s">
        <v>3327</v>
      </c>
      <c r="O143" s="178" t="s">
        <v>3328</v>
      </c>
      <c r="P143" s="178" t="s">
        <v>3329</v>
      </c>
      <c r="Q143" s="327">
        <v>6828.5249999999996</v>
      </c>
      <c r="R143" s="190">
        <v>51</v>
      </c>
      <c r="S143" s="190"/>
      <c r="T143" s="190" t="s">
        <v>2494</v>
      </c>
      <c r="U143" s="190" t="s">
        <v>3330</v>
      </c>
      <c r="V143" s="8" t="s">
        <v>2011</v>
      </c>
      <c r="W143" s="10" t="s">
        <v>3148</v>
      </c>
      <c r="X143" s="9"/>
      <c r="Y143" s="172"/>
      <c r="Z143" s="172"/>
      <c r="AA143" s="172"/>
      <c r="AB143" s="143" t="str">
        <f t="shared" ca="1" si="20"/>
        <v>NY Submit</v>
      </c>
      <c r="AC143" s="13"/>
      <c r="AD143" s="12">
        <v>45893</v>
      </c>
      <c r="AE143" s="12">
        <v>45895</v>
      </c>
      <c r="AF143" s="12"/>
      <c r="AG143" s="12"/>
      <c r="AH143" s="11">
        <v>45988</v>
      </c>
      <c r="AI143" s="11"/>
      <c r="AJ143" s="11"/>
      <c r="AK143" s="11"/>
      <c r="AL143" s="11"/>
      <c r="AM143" s="11"/>
      <c r="AN143" s="11"/>
      <c r="AO143" s="11" t="str">
        <f>+IF(AM143&lt;&gt;"","ATP App MS",IF(AJ143&lt;&gt;"","Inbound",IF(AH143&lt;&gt;"","Dismantle Perangkat",IF(AF143="Drop","Drop",IF(AE143&lt;&gt;"","Survey Report",IF(AD143&lt;&gt;"","Survey","NY Survey"))))))</f>
        <v>Dismantle Perangkat</v>
      </c>
      <c r="AP143" s="173" t="s">
        <v>3340</v>
      </c>
      <c r="AQ143" s="12">
        <v>45978</v>
      </c>
      <c r="AR143" s="12">
        <v>45980</v>
      </c>
      <c r="AS143" s="12">
        <v>45979</v>
      </c>
      <c r="AT143" s="12"/>
      <c r="AU143" s="12">
        <v>45985</v>
      </c>
      <c r="AV143" s="12">
        <v>45988</v>
      </c>
      <c r="AW143" s="11" t="str">
        <f t="shared" si="21"/>
        <v>1st BOQ App on ISAAC</v>
      </c>
      <c r="AX143" s="12"/>
      <c r="AY143" s="12"/>
      <c r="AZ143" s="12"/>
      <c r="BA143" s="12"/>
      <c r="BB143" s="12"/>
      <c r="BC143" s="12"/>
      <c r="BD143" s="11" t="str">
        <f t="shared" si="22"/>
        <v>NY Submit</v>
      </c>
      <c r="BE143" s="174"/>
      <c r="BF143" s="12">
        <v>45897</v>
      </c>
      <c r="BG143" s="12">
        <v>45910</v>
      </c>
      <c r="BH143" s="10" t="s">
        <v>3333</v>
      </c>
      <c r="BI143" s="12">
        <v>45898</v>
      </c>
      <c r="BJ143" s="12">
        <v>45902</v>
      </c>
      <c r="BK143" s="174"/>
      <c r="BL143" s="12" t="str">
        <f t="shared" si="23"/>
        <v>Approved</v>
      </c>
      <c r="BM143" s="12" t="str">
        <f t="shared" si="24"/>
        <v>Approved</v>
      </c>
      <c r="BN143" s="12">
        <v>46087</v>
      </c>
      <c r="BO143" s="12">
        <v>46087</v>
      </c>
      <c r="BP143" s="155" t="s">
        <v>2011</v>
      </c>
      <c r="BQ143" s="12" t="s">
        <v>2718</v>
      </c>
      <c r="BR143" s="12">
        <v>46003</v>
      </c>
      <c r="BS143" s="143">
        <f t="shared" ca="1" si="25"/>
        <v>15</v>
      </c>
      <c r="BT143" s="176"/>
      <c r="BU143" s="12"/>
      <c r="BV143" s="143">
        <f t="shared" ca="1" si="26"/>
        <v>0</v>
      </c>
      <c r="BW143" s="12"/>
      <c r="BX143" s="12"/>
      <c r="BY143" s="143"/>
      <c r="BZ143" s="13" t="s">
        <v>2500</v>
      </c>
      <c r="CA143" s="13"/>
      <c r="CB143" s="13"/>
      <c r="CC143" s="13"/>
      <c r="CD143" s="13"/>
      <c r="CE143" s="198" t="s">
        <v>3336</v>
      </c>
      <c r="CF143" s="198" t="s">
        <v>3337</v>
      </c>
      <c r="CG143" s="273" t="s">
        <v>3338</v>
      </c>
      <c r="CH143" s="273" t="s">
        <v>3339</v>
      </c>
      <c r="CI143" s="198"/>
      <c r="CJ143" s="198"/>
      <c r="CK143" s="198"/>
      <c r="CL143" s="198"/>
    </row>
    <row r="144" spans="1:90" ht="60" customHeight="1">
      <c r="A144" s="187">
        <v>139</v>
      </c>
      <c r="B144" s="190" t="s">
        <v>2486</v>
      </c>
      <c r="C144" s="190" t="s">
        <v>2487</v>
      </c>
      <c r="D144" s="190" t="s">
        <v>135</v>
      </c>
      <c r="E144" s="8" t="e">
        <f ca="1">+_xlfn.CONCAT(G144,"-",B144,"_",C144,"_",_xlfn.XLOOKUP(BP144,Account!M:M,Account!N:N))</f>
        <v>#NAME?</v>
      </c>
      <c r="F144" s="12">
        <v>45884</v>
      </c>
      <c r="G144" s="190" t="s">
        <v>3323</v>
      </c>
      <c r="H144" s="190" t="s">
        <v>3324</v>
      </c>
      <c r="I144" s="10" t="s">
        <v>3325</v>
      </c>
      <c r="J144" s="190">
        <v>10</v>
      </c>
      <c r="K144" s="190" t="s">
        <v>2486</v>
      </c>
      <c r="L144" s="190" t="s">
        <v>3156</v>
      </c>
      <c r="M144" s="190" t="s">
        <v>3326</v>
      </c>
      <c r="N144" s="10" t="s">
        <v>3327</v>
      </c>
      <c r="O144" s="178" t="s">
        <v>3328</v>
      </c>
      <c r="P144" s="178" t="s">
        <v>3329</v>
      </c>
      <c r="Q144" s="327">
        <v>6828.5249999999996</v>
      </c>
      <c r="R144" s="190">
        <v>51</v>
      </c>
      <c r="S144" s="190"/>
      <c r="T144" s="190" t="s">
        <v>2494</v>
      </c>
      <c r="U144" s="190" t="s">
        <v>3330</v>
      </c>
      <c r="V144" s="8" t="s">
        <v>1768</v>
      </c>
      <c r="W144" s="10" t="s">
        <v>3148</v>
      </c>
      <c r="X144" s="9"/>
      <c r="Y144" s="172"/>
      <c r="Z144" s="172"/>
      <c r="AA144" s="172"/>
      <c r="AB144" s="143" t="str">
        <f t="shared" ca="1" si="20"/>
        <v>NY Submit</v>
      </c>
      <c r="AC144" s="13"/>
      <c r="AD144" s="12">
        <v>45893</v>
      </c>
      <c r="AE144" s="12">
        <v>45895</v>
      </c>
      <c r="AF144" s="12"/>
      <c r="AG144" s="12"/>
      <c r="AH144" s="11"/>
      <c r="AI144" s="11"/>
      <c r="AJ144" s="11"/>
      <c r="AK144" s="11">
        <v>45989</v>
      </c>
      <c r="AL144" s="11">
        <v>45989</v>
      </c>
      <c r="AM144" s="11">
        <v>46087</v>
      </c>
      <c r="AN144" s="11">
        <v>46087</v>
      </c>
      <c r="AO144" s="11" t="str">
        <f>+IF(AM144&lt;&gt;"","ATP App MS",IF(AL144&lt;&gt;"","OA/RFS",IF(AK144&lt;&gt;"","Install",IF(AH144&lt;&gt;"","Dismantle Perangkat",IF(AF144="Drop","Drop",IF(AE144&lt;&gt;"","Survey Report",IF(AD144&lt;&gt;"","Survey","NY Survey")))))))</f>
        <v>ATP App MS</v>
      </c>
      <c r="AP144" s="173" t="s">
        <v>3340</v>
      </c>
      <c r="AQ144" s="12">
        <v>45978</v>
      </c>
      <c r="AR144" s="12">
        <v>45980</v>
      </c>
      <c r="AS144" s="12">
        <v>45979</v>
      </c>
      <c r="AT144" s="12"/>
      <c r="AU144" s="12">
        <v>45985</v>
      </c>
      <c r="AV144" s="12">
        <v>45988</v>
      </c>
      <c r="AW144" s="11" t="str">
        <f t="shared" si="21"/>
        <v>1st BOQ App on ISAAC</v>
      </c>
      <c r="AX144" s="12"/>
      <c r="AY144" s="12"/>
      <c r="AZ144" s="12"/>
      <c r="BA144" s="12"/>
      <c r="BB144" s="12"/>
      <c r="BC144" s="12"/>
      <c r="BD144" s="11" t="str">
        <f t="shared" si="22"/>
        <v>NY Submit</v>
      </c>
      <c r="BE144" s="174"/>
      <c r="BF144" s="12">
        <v>45897</v>
      </c>
      <c r="BG144" s="12">
        <v>45910</v>
      </c>
      <c r="BH144" s="10" t="s">
        <v>3333</v>
      </c>
      <c r="BI144" s="12">
        <v>45898</v>
      </c>
      <c r="BJ144" s="12">
        <v>45902</v>
      </c>
      <c r="BK144" s="174"/>
      <c r="BL144" s="12" t="str">
        <f t="shared" si="23"/>
        <v>Approved</v>
      </c>
      <c r="BM144" s="12" t="str">
        <f t="shared" si="24"/>
        <v>Approved</v>
      </c>
      <c r="BN144" s="12">
        <v>46087</v>
      </c>
      <c r="BO144" s="12">
        <v>46087</v>
      </c>
      <c r="BP144" s="155" t="s">
        <v>1768</v>
      </c>
      <c r="BQ144" s="12" t="s">
        <v>3341</v>
      </c>
      <c r="BR144" s="12">
        <v>46003</v>
      </c>
      <c r="BS144" s="143">
        <f t="shared" ca="1" si="25"/>
        <v>15</v>
      </c>
      <c r="BT144" s="176"/>
      <c r="BU144" s="12"/>
      <c r="BV144" s="143">
        <f t="shared" ca="1" si="26"/>
        <v>0</v>
      </c>
      <c r="BW144" s="12"/>
      <c r="BX144" s="12"/>
      <c r="BY144" s="143"/>
      <c r="BZ144" s="13" t="s">
        <v>2500</v>
      </c>
      <c r="CA144" s="13"/>
      <c r="CB144" s="13"/>
      <c r="CC144" s="13"/>
      <c r="CD144" s="13"/>
      <c r="CE144" s="198" t="s">
        <v>3336</v>
      </c>
      <c r="CF144" s="198" t="s">
        <v>3337</v>
      </c>
      <c r="CG144" s="273" t="s">
        <v>3338</v>
      </c>
      <c r="CH144" s="273" t="s">
        <v>3339</v>
      </c>
      <c r="CI144" s="198"/>
      <c r="CJ144" s="198" t="s">
        <v>3342</v>
      </c>
      <c r="CK144" s="198"/>
      <c r="CL144" s="198"/>
    </row>
    <row r="145" spans="1:90">
      <c r="A145" s="181">
        <v>140</v>
      </c>
      <c r="B145" s="190" t="s">
        <v>2486</v>
      </c>
      <c r="C145" s="190" t="s">
        <v>2487</v>
      </c>
      <c r="D145" s="190" t="s">
        <v>135</v>
      </c>
      <c r="E145" s="8" t="e">
        <f ca="1">+_xlfn.CONCAT(G145,"-",B145,"_",C145,"_",_xlfn.XLOOKUP(BP145,Account!M:M,Account!N:N))</f>
        <v>#NAME?</v>
      </c>
      <c r="F145" s="12">
        <v>45881</v>
      </c>
      <c r="G145" s="190" t="s">
        <v>3343</v>
      </c>
      <c r="H145" s="190" t="s">
        <v>3344</v>
      </c>
      <c r="I145" s="10" t="s">
        <v>3345</v>
      </c>
      <c r="J145" s="190">
        <v>19</v>
      </c>
      <c r="K145" s="190" t="s">
        <v>2038</v>
      </c>
      <c r="L145" s="190" t="s">
        <v>1381</v>
      </c>
      <c r="M145" s="190" t="s">
        <v>2702</v>
      </c>
      <c r="N145" s="10" t="s">
        <v>3346</v>
      </c>
      <c r="O145" s="178" t="s">
        <v>3347</v>
      </c>
      <c r="P145" s="178" t="s">
        <v>3348</v>
      </c>
      <c r="Q145" s="327"/>
      <c r="R145" s="190"/>
      <c r="S145" s="190"/>
      <c r="T145" s="190" t="s">
        <v>2518</v>
      </c>
      <c r="U145" s="190" t="s">
        <v>2565</v>
      </c>
      <c r="V145" s="8" t="s">
        <v>2011</v>
      </c>
      <c r="W145" s="10"/>
      <c r="X145" s="9"/>
      <c r="Y145" s="172"/>
      <c r="Z145" s="172"/>
      <c r="AA145" s="172"/>
      <c r="AB145" s="143" t="str">
        <f t="shared" ca="1" si="20"/>
        <v>NY Submit</v>
      </c>
      <c r="AC145" s="13"/>
      <c r="AD145" s="12">
        <v>45886</v>
      </c>
      <c r="AE145" s="12">
        <v>45886</v>
      </c>
      <c r="AF145" s="12"/>
      <c r="AG145" s="12"/>
      <c r="AH145" s="11">
        <v>45888</v>
      </c>
      <c r="AI145" s="11"/>
      <c r="AJ145" s="11"/>
      <c r="AK145" s="11"/>
      <c r="AL145" s="11"/>
      <c r="AM145" s="11">
        <v>45888</v>
      </c>
      <c r="AN145" s="11"/>
      <c r="AO145" s="11" t="str">
        <f>+IF(AM145&lt;&gt;"","ATP App MS",IF(AJ145&lt;&gt;"","Inbound",IF(AH145&lt;&gt;"","Dismantle Perangkat",IF(AF145="Drop","Drop",IF(AE145&lt;&gt;"","Survey Report",IF(AD145&lt;&gt;"","Survey","NY Survey"))))))</f>
        <v>ATP App MS</v>
      </c>
      <c r="AP145" s="173"/>
      <c r="AQ145" s="12">
        <v>45889</v>
      </c>
      <c r="AR145" s="12">
        <v>45890</v>
      </c>
      <c r="AS145" s="12"/>
      <c r="AT145" s="12"/>
      <c r="AU145" s="12"/>
      <c r="AV145" s="12"/>
      <c r="AW145" s="11" t="str">
        <f t="shared" si="21"/>
        <v>1st BOQ Pass TI</v>
      </c>
      <c r="AX145" s="12"/>
      <c r="AY145" s="12"/>
      <c r="AZ145" s="12"/>
      <c r="BA145" s="12"/>
      <c r="BB145" s="12"/>
      <c r="BC145" s="12"/>
      <c r="BD145" s="11" t="str">
        <f t="shared" si="22"/>
        <v>NY Submit</v>
      </c>
      <c r="BE145" s="174"/>
      <c r="BF145" s="12"/>
      <c r="BG145" s="12"/>
      <c r="BH145" s="10"/>
      <c r="BI145" s="12"/>
      <c r="BJ145" s="12"/>
      <c r="BK145" s="174"/>
      <c r="BL145" s="12" t="str">
        <f t="shared" si="23"/>
        <v>NY Submit</v>
      </c>
      <c r="BM145" s="12" t="str">
        <f t="shared" si="24"/>
        <v>NY Submit</v>
      </c>
      <c r="BN145" s="12"/>
      <c r="BO145" s="12"/>
      <c r="BP145" s="155" t="s">
        <v>2011</v>
      </c>
      <c r="BQ145" s="12" t="s">
        <v>3106</v>
      </c>
      <c r="BR145" s="12"/>
      <c r="BS145" s="143">
        <f t="shared" ca="1" si="25"/>
        <v>0</v>
      </c>
      <c r="BT145" s="176"/>
      <c r="BU145" s="12"/>
      <c r="BV145" s="143">
        <f t="shared" ca="1" si="26"/>
        <v>0</v>
      </c>
      <c r="BW145" s="12"/>
      <c r="BX145" s="12"/>
      <c r="BY145" s="143"/>
      <c r="BZ145" s="13" t="s">
        <v>3349</v>
      </c>
      <c r="CA145" s="13" t="s">
        <v>2555</v>
      </c>
      <c r="CB145" s="13" t="s">
        <v>2486</v>
      </c>
      <c r="CC145" s="13"/>
      <c r="CD145" s="13"/>
      <c r="CE145" s="198"/>
      <c r="CF145" s="198"/>
      <c r="CG145" s="272"/>
      <c r="CH145" s="272"/>
      <c r="CI145" s="198"/>
      <c r="CJ145" s="198"/>
      <c r="CK145" s="198"/>
      <c r="CL145" s="198"/>
    </row>
    <row r="146" spans="1:90">
      <c r="A146" s="181">
        <v>141</v>
      </c>
      <c r="B146" s="190" t="s">
        <v>2486</v>
      </c>
      <c r="C146" s="190" t="s">
        <v>2487</v>
      </c>
      <c r="D146" s="190" t="s">
        <v>135</v>
      </c>
      <c r="E146" s="8" t="e">
        <f ca="1">+_xlfn.CONCAT(G146,"-",B146,"_",C146,"_",_xlfn.XLOOKUP(BP146,Account!M:M,Account!N:N))</f>
        <v>#NAME?</v>
      </c>
      <c r="F146" s="12">
        <v>45881</v>
      </c>
      <c r="G146" s="190" t="s">
        <v>3343</v>
      </c>
      <c r="H146" s="190" t="s">
        <v>3344</v>
      </c>
      <c r="I146" s="10" t="s">
        <v>3345</v>
      </c>
      <c r="J146" s="190">
        <v>19</v>
      </c>
      <c r="K146" s="190" t="s">
        <v>2038</v>
      </c>
      <c r="L146" s="190" t="s">
        <v>1381</v>
      </c>
      <c r="M146" s="190" t="s">
        <v>2702</v>
      </c>
      <c r="N146" s="10" t="s">
        <v>3346</v>
      </c>
      <c r="O146" s="178" t="s">
        <v>3347</v>
      </c>
      <c r="P146" s="178" t="s">
        <v>3348</v>
      </c>
      <c r="Q146" s="327"/>
      <c r="R146" s="190"/>
      <c r="S146" s="190"/>
      <c r="T146" s="190" t="s">
        <v>2518</v>
      </c>
      <c r="U146" s="190" t="s">
        <v>2565</v>
      </c>
      <c r="V146" s="8" t="s">
        <v>1768</v>
      </c>
      <c r="W146" s="10"/>
      <c r="X146" s="9"/>
      <c r="Y146" s="172"/>
      <c r="Z146" s="172"/>
      <c r="AA146" s="172"/>
      <c r="AB146" s="143" t="str">
        <f t="shared" ca="1" si="20"/>
        <v>NY Submit</v>
      </c>
      <c r="AC146" s="13"/>
      <c r="AD146" s="12">
        <v>45886</v>
      </c>
      <c r="AE146" s="12">
        <v>45886</v>
      </c>
      <c r="AF146" s="12"/>
      <c r="AG146" s="12"/>
      <c r="AH146" s="11"/>
      <c r="AI146" s="11"/>
      <c r="AJ146" s="11"/>
      <c r="AK146" s="11">
        <v>45888</v>
      </c>
      <c r="AL146" s="11">
        <v>45888</v>
      </c>
      <c r="AM146" s="11"/>
      <c r="AN146" s="11"/>
      <c r="AO146" s="11" t="str">
        <f>+IF(AM146&lt;&gt;"","ATP App MS",IF(AL146&lt;&gt;"","OA/RFS",IF(AK146&lt;&gt;"","Install",IF(AH146&lt;&gt;"","Dismantle Perangkat",IF(AF146="Drop","Drop",IF(AE146&lt;&gt;"","Survey Report",IF(AD146&lt;&gt;"","Survey","NY Survey")))))))</f>
        <v>OA/RFS</v>
      </c>
      <c r="AP146" s="173"/>
      <c r="AQ146" s="12">
        <v>45889</v>
      </c>
      <c r="AR146" s="12">
        <v>45890</v>
      </c>
      <c r="AS146" s="12"/>
      <c r="AT146" s="12"/>
      <c r="AU146" s="12"/>
      <c r="AV146" s="12"/>
      <c r="AW146" s="11" t="str">
        <f t="shared" si="21"/>
        <v>1st BOQ Pass TI</v>
      </c>
      <c r="AX146" s="12"/>
      <c r="AY146" s="12"/>
      <c r="AZ146" s="12"/>
      <c r="BA146" s="12"/>
      <c r="BB146" s="12"/>
      <c r="BC146" s="12"/>
      <c r="BD146" s="11" t="str">
        <f t="shared" si="22"/>
        <v>NY Submit</v>
      </c>
      <c r="BE146" s="174"/>
      <c r="BF146" s="12"/>
      <c r="BG146" s="12"/>
      <c r="BH146" s="10"/>
      <c r="BI146" s="12"/>
      <c r="BJ146" s="12"/>
      <c r="BK146" s="174"/>
      <c r="BL146" s="12" t="str">
        <f t="shared" si="23"/>
        <v>NY Submit</v>
      </c>
      <c r="BM146" s="12" t="str">
        <f t="shared" si="24"/>
        <v>NY Submit</v>
      </c>
      <c r="BN146" s="12"/>
      <c r="BO146" s="12"/>
      <c r="BP146" s="155" t="s">
        <v>1768</v>
      </c>
      <c r="BQ146" s="12" t="s">
        <v>3106</v>
      </c>
      <c r="BR146" s="12"/>
      <c r="BS146" s="143">
        <f t="shared" ca="1" si="25"/>
        <v>0</v>
      </c>
      <c r="BT146" s="176"/>
      <c r="BU146" s="12"/>
      <c r="BV146" s="143">
        <f t="shared" ca="1" si="26"/>
        <v>0</v>
      </c>
      <c r="BW146" s="12"/>
      <c r="BX146" s="12"/>
      <c r="BY146" s="143"/>
      <c r="BZ146" s="13" t="s">
        <v>3349</v>
      </c>
      <c r="CA146" s="13" t="s">
        <v>2555</v>
      </c>
      <c r="CB146" s="13" t="s">
        <v>2486</v>
      </c>
      <c r="CC146" s="13"/>
      <c r="CD146" s="13"/>
      <c r="CE146" s="198"/>
      <c r="CF146" s="198"/>
      <c r="CG146" s="272"/>
      <c r="CH146" s="272"/>
      <c r="CI146" s="198"/>
      <c r="CJ146" s="198"/>
      <c r="CK146" s="198"/>
      <c r="CL146" s="198"/>
    </row>
    <row r="147" spans="1:90">
      <c r="A147" s="187">
        <v>142</v>
      </c>
      <c r="B147" s="190" t="s">
        <v>2486</v>
      </c>
      <c r="C147" s="190" t="s">
        <v>2487</v>
      </c>
      <c r="D147" s="190" t="s">
        <v>135</v>
      </c>
      <c r="E147" s="8" t="e">
        <f ca="1">+_xlfn.CONCAT(G147,"-",B147,"_",C147,"_",_xlfn.XLOOKUP(BP147,Account!M:M,Account!N:N))</f>
        <v>#NAME?</v>
      </c>
      <c r="F147" s="12">
        <v>45888</v>
      </c>
      <c r="G147" s="190" t="s">
        <v>567</v>
      </c>
      <c r="H147" s="190" t="s">
        <v>3350</v>
      </c>
      <c r="I147" s="10" t="s">
        <v>568</v>
      </c>
      <c r="J147" s="190">
        <v>16</v>
      </c>
      <c r="K147" s="190" t="s">
        <v>2486</v>
      </c>
      <c r="L147" s="190" t="s">
        <v>1230</v>
      </c>
      <c r="M147" s="190" t="s">
        <v>2562</v>
      </c>
      <c r="N147" s="10" t="s">
        <v>3351</v>
      </c>
      <c r="O147" s="178" t="s">
        <v>3352</v>
      </c>
      <c r="P147" s="178" t="s">
        <v>3353</v>
      </c>
      <c r="Q147" s="327">
        <v>1193.68</v>
      </c>
      <c r="R147" s="190">
        <v>12</v>
      </c>
      <c r="S147" s="190"/>
      <c r="T147" s="190" t="s">
        <v>2518</v>
      </c>
      <c r="U147" s="190" t="s">
        <v>3354</v>
      </c>
      <c r="V147" s="8" t="s">
        <v>1760</v>
      </c>
      <c r="W147" s="10"/>
      <c r="X147" s="9"/>
      <c r="Y147" s="172" t="s">
        <v>2496</v>
      </c>
      <c r="Z147" s="172">
        <v>45942</v>
      </c>
      <c r="AA147" s="172">
        <v>45948</v>
      </c>
      <c r="AB147" s="143" t="str">
        <f t="shared" ca="1" si="20"/>
        <v>Expired</v>
      </c>
      <c r="AC147" s="13"/>
      <c r="AD147" s="12">
        <v>45891</v>
      </c>
      <c r="AE147" s="12">
        <v>45891</v>
      </c>
      <c r="AF147" s="12"/>
      <c r="AG147" s="12">
        <v>45917</v>
      </c>
      <c r="AH147" s="11"/>
      <c r="AI147" s="11">
        <v>45951</v>
      </c>
      <c r="AJ147" s="11"/>
      <c r="AK147" s="11"/>
      <c r="AL147" s="11"/>
      <c r="AM147" s="11"/>
      <c r="AN147" s="11">
        <v>45957</v>
      </c>
      <c r="AO147" s="11" t="str">
        <f>+IF(AN147&lt;&gt;"","BAST",IF(AI147&lt;&gt;"","Dismantle",IF(AG147&lt;&gt;"","RFD App",IF(AF147="Drop","Drop",IF(AE147&lt;&gt;"","Survey Report",IF(AD147&lt;&gt;"","Survey","NY Survey"))))))</f>
        <v>BAST</v>
      </c>
      <c r="AP147" s="173"/>
      <c r="AQ147" s="12">
        <v>45939</v>
      </c>
      <c r="AR147" s="12">
        <v>45973</v>
      </c>
      <c r="AS147" s="12"/>
      <c r="AT147" s="12">
        <v>46000</v>
      </c>
      <c r="AU147" s="12">
        <v>46000</v>
      </c>
      <c r="AV147" s="12">
        <v>46003</v>
      </c>
      <c r="AW147" s="11" t="str">
        <f t="shared" si="21"/>
        <v>1st BOQ App on ISAAC</v>
      </c>
      <c r="AX147" s="12"/>
      <c r="AY147" s="12"/>
      <c r="AZ147" s="12"/>
      <c r="BA147" s="12"/>
      <c r="BB147" s="12"/>
      <c r="BC147" s="12"/>
      <c r="BD147" s="11" t="str">
        <f t="shared" si="22"/>
        <v>NY Submit</v>
      </c>
      <c r="BE147" s="174" t="s">
        <v>3355</v>
      </c>
      <c r="BF147" s="12">
        <v>45892</v>
      </c>
      <c r="BG147" s="12">
        <v>45896</v>
      </c>
      <c r="BH147" s="10" t="s">
        <v>3356</v>
      </c>
      <c r="BI147" s="12">
        <v>45895</v>
      </c>
      <c r="BJ147" s="12">
        <v>45898</v>
      </c>
      <c r="BK147" s="200" t="s">
        <v>3357</v>
      </c>
      <c r="BL147" s="12" t="str">
        <f t="shared" si="23"/>
        <v>Approved</v>
      </c>
      <c r="BM147" s="12" t="str">
        <f t="shared" si="24"/>
        <v>Approved</v>
      </c>
      <c r="BN147" s="12">
        <v>45965</v>
      </c>
      <c r="BO147" s="12">
        <v>45965</v>
      </c>
      <c r="BP147" s="155" t="s">
        <v>1760</v>
      </c>
      <c r="BQ147" s="12" t="s">
        <v>3358</v>
      </c>
      <c r="BR147" s="12">
        <v>46022</v>
      </c>
      <c r="BS147" s="143">
        <f t="shared" ca="1" si="25"/>
        <v>19</v>
      </c>
      <c r="BT147" s="176"/>
      <c r="BU147" s="12"/>
      <c r="BV147" s="143">
        <f t="shared" ca="1" si="26"/>
        <v>0</v>
      </c>
      <c r="BW147" s="12"/>
      <c r="BX147" s="12"/>
      <c r="BY147" s="143"/>
      <c r="BZ147" s="13" t="s">
        <v>3262</v>
      </c>
      <c r="CA147" s="13" t="s">
        <v>3263</v>
      </c>
      <c r="CB147" s="13" t="s">
        <v>2984</v>
      </c>
      <c r="CC147" s="13"/>
      <c r="CD147" s="13"/>
      <c r="CE147" s="198"/>
      <c r="CF147" s="198"/>
      <c r="CG147" s="272"/>
      <c r="CH147" s="272"/>
      <c r="CI147" s="198"/>
      <c r="CJ147" s="198"/>
      <c r="CK147" s="198"/>
      <c r="CL147" s="198"/>
    </row>
    <row r="148" spans="1:90">
      <c r="A148" s="187">
        <v>143</v>
      </c>
      <c r="B148" s="190" t="s">
        <v>2486</v>
      </c>
      <c r="C148" s="190" t="s">
        <v>2487</v>
      </c>
      <c r="D148" s="190" t="s">
        <v>135</v>
      </c>
      <c r="E148" s="8" t="e">
        <f ca="1">+_xlfn.CONCAT(G148,"-",B148,"_",C148,"_",_xlfn.XLOOKUP(BP148,Account!M:M,Account!N:N))</f>
        <v>#NAME?</v>
      </c>
      <c r="F148" s="12">
        <v>45888</v>
      </c>
      <c r="G148" s="190" t="s">
        <v>567</v>
      </c>
      <c r="H148" s="190" t="s">
        <v>3350</v>
      </c>
      <c r="I148" s="10" t="s">
        <v>568</v>
      </c>
      <c r="J148" s="190">
        <v>16</v>
      </c>
      <c r="K148" s="190" t="s">
        <v>2486</v>
      </c>
      <c r="L148" s="190" t="s">
        <v>1230</v>
      </c>
      <c r="M148" s="190" t="s">
        <v>2562</v>
      </c>
      <c r="N148" s="10" t="s">
        <v>3351</v>
      </c>
      <c r="O148" s="178" t="s">
        <v>3352</v>
      </c>
      <c r="P148" s="178" t="s">
        <v>3353</v>
      </c>
      <c r="Q148" s="327">
        <v>1193.68</v>
      </c>
      <c r="R148" s="190">
        <v>12</v>
      </c>
      <c r="S148" s="190"/>
      <c r="T148" s="190" t="s">
        <v>2518</v>
      </c>
      <c r="U148" s="190" t="s">
        <v>3354</v>
      </c>
      <c r="V148" s="8" t="s">
        <v>2011</v>
      </c>
      <c r="W148" s="10"/>
      <c r="X148" s="9"/>
      <c r="Y148" s="172" t="s">
        <v>2496</v>
      </c>
      <c r="Z148" s="172">
        <v>45942</v>
      </c>
      <c r="AA148" s="172">
        <v>45948</v>
      </c>
      <c r="AB148" s="143" t="str">
        <f t="shared" ca="1" si="20"/>
        <v>Expired</v>
      </c>
      <c r="AC148" s="13"/>
      <c r="AD148" s="12">
        <v>45891</v>
      </c>
      <c r="AE148" s="12">
        <v>45891</v>
      </c>
      <c r="AF148" s="12"/>
      <c r="AG148" s="12"/>
      <c r="AH148" s="11">
        <v>45951</v>
      </c>
      <c r="AI148" s="11"/>
      <c r="AJ148" s="11">
        <v>45942</v>
      </c>
      <c r="AK148" s="11"/>
      <c r="AL148" s="11"/>
      <c r="AM148" s="11">
        <v>45942</v>
      </c>
      <c r="AN148" s="11"/>
      <c r="AO148" s="11" t="str">
        <f>+IF(AM148&lt;&gt;"","ATP App MS",IF(AJ148&lt;&gt;"","Inbound",IF(AH148&lt;&gt;"","Dismantle Perangkat",IF(AF148="Drop","Drop",IF(AE148&lt;&gt;"","Survey Report",IF(AD148&lt;&gt;"","Survey","NY Survey"))))))</f>
        <v>ATP App MS</v>
      </c>
      <c r="AP148" s="173" t="s">
        <v>3359</v>
      </c>
      <c r="AQ148" s="12">
        <v>45939</v>
      </c>
      <c r="AR148" s="12">
        <v>45973</v>
      </c>
      <c r="AS148" s="12"/>
      <c r="AT148" s="12"/>
      <c r="AU148" s="12">
        <v>46000</v>
      </c>
      <c r="AV148" s="12">
        <v>46003</v>
      </c>
      <c r="AW148" s="11" t="str">
        <f t="shared" si="21"/>
        <v>1st BOQ App on ISAAC</v>
      </c>
      <c r="AX148" s="12"/>
      <c r="AY148" s="12"/>
      <c r="AZ148" s="12"/>
      <c r="BA148" s="12"/>
      <c r="BB148" s="12"/>
      <c r="BC148" s="12"/>
      <c r="BD148" s="11" t="str">
        <f t="shared" si="22"/>
        <v>NY Submit</v>
      </c>
      <c r="BE148" s="174"/>
      <c r="BF148" s="12">
        <v>45892</v>
      </c>
      <c r="BG148" s="12">
        <v>45896</v>
      </c>
      <c r="BH148" s="10" t="s">
        <v>3356</v>
      </c>
      <c r="BI148" s="12">
        <v>45895</v>
      </c>
      <c r="BJ148" s="12"/>
      <c r="BK148" s="174"/>
      <c r="BL148" s="12" t="str">
        <f t="shared" si="23"/>
        <v>Approved</v>
      </c>
      <c r="BM148" s="12" t="str">
        <f t="shared" si="24"/>
        <v>Submit</v>
      </c>
      <c r="BN148" s="12">
        <v>45965</v>
      </c>
      <c r="BO148" s="12">
        <v>45965</v>
      </c>
      <c r="BP148" s="155" t="s">
        <v>2011</v>
      </c>
      <c r="BQ148" s="12" t="s">
        <v>2968</v>
      </c>
      <c r="BR148" s="12">
        <v>46022</v>
      </c>
      <c r="BS148" s="143">
        <f t="shared" ca="1" si="25"/>
        <v>19</v>
      </c>
      <c r="BT148" s="176"/>
      <c r="BU148" s="12"/>
      <c r="BV148" s="143">
        <f t="shared" ca="1" si="26"/>
        <v>0</v>
      </c>
      <c r="BW148" s="12"/>
      <c r="BX148" s="12"/>
      <c r="BY148" s="143"/>
      <c r="BZ148" s="13" t="s">
        <v>3360</v>
      </c>
      <c r="CA148" s="13" t="s">
        <v>2406</v>
      </c>
      <c r="CB148" s="13" t="s">
        <v>2984</v>
      </c>
      <c r="CC148" s="13"/>
      <c r="CD148" s="13"/>
      <c r="CE148" s="198"/>
      <c r="CF148" s="198"/>
      <c r="CG148" s="272"/>
      <c r="CH148" s="272"/>
      <c r="CI148" s="198"/>
      <c r="CJ148" s="198"/>
      <c r="CK148" s="198"/>
      <c r="CL148" s="198"/>
    </row>
    <row r="149" spans="1:90" ht="30" customHeight="1">
      <c r="A149" s="187">
        <v>144</v>
      </c>
      <c r="B149" s="190" t="s">
        <v>2486</v>
      </c>
      <c r="C149" s="190" t="s">
        <v>2487</v>
      </c>
      <c r="D149" s="190" t="s">
        <v>135</v>
      </c>
      <c r="E149" s="8" t="e">
        <f ca="1">+_xlfn.CONCAT(G149,"-",B149,"_",C149,"_",_xlfn.XLOOKUP(BP149,Account!M:M,Account!N:N))</f>
        <v>#NAME?</v>
      </c>
      <c r="F149" s="12">
        <v>45888</v>
      </c>
      <c r="G149" s="190" t="s">
        <v>81</v>
      </c>
      <c r="H149" s="190" t="s">
        <v>3361</v>
      </c>
      <c r="I149" s="10" t="s">
        <v>82</v>
      </c>
      <c r="J149" s="190">
        <v>10</v>
      </c>
      <c r="K149" s="190" t="s">
        <v>2038</v>
      </c>
      <c r="L149" s="190" t="s">
        <v>3156</v>
      </c>
      <c r="M149" s="190" t="s">
        <v>3362</v>
      </c>
      <c r="N149" s="10" t="s">
        <v>3363</v>
      </c>
      <c r="O149" s="178" t="s">
        <v>3364</v>
      </c>
      <c r="P149" s="178" t="s">
        <v>3365</v>
      </c>
      <c r="Q149" s="327">
        <v>182.92</v>
      </c>
      <c r="R149" s="190">
        <v>3</v>
      </c>
      <c r="S149" s="190"/>
      <c r="T149" s="190" t="s">
        <v>2518</v>
      </c>
      <c r="U149" s="190" t="s">
        <v>2565</v>
      </c>
      <c r="V149" s="8" t="s">
        <v>1760</v>
      </c>
      <c r="W149" s="10" t="s">
        <v>3148</v>
      </c>
      <c r="X149" s="9"/>
      <c r="Y149" s="172"/>
      <c r="Z149" s="172"/>
      <c r="AA149" s="172"/>
      <c r="AB149" s="143" t="str">
        <f t="shared" ca="1" si="20"/>
        <v>NY Submit</v>
      </c>
      <c r="AC149" s="13"/>
      <c r="AD149" s="12">
        <v>45892</v>
      </c>
      <c r="AE149" s="12">
        <v>45893</v>
      </c>
      <c r="AF149" s="12"/>
      <c r="AG149" s="12"/>
      <c r="AH149" s="11"/>
      <c r="AI149" s="11">
        <v>45911</v>
      </c>
      <c r="AJ149" s="11"/>
      <c r="AK149" s="11"/>
      <c r="AL149" s="11"/>
      <c r="AM149" s="11">
        <v>45911</v>
      </c>
      <c r="AN149" s="11">
        <v>45911</v>
      </c>
      <c r="AO149" s="11" t="str">
        <f>+IF(AN149&lt;&gt;"","BAST",IF(AI149&lt;&gt;"","Dismantle",IF(AG149&lt;&gt;"","RFD App",IF(AF149="Drop","Drop",IF(AE149&lt;&gt;"","Survey Report",IF(AD149&lt;&gt;"","Survey","NY Survey"))))))</f>
        <v>BAST</v>
      </c>
      <c r="AP149" s="173"/>
      <c r="AQ149" s="12">
        <v>45909</v>
      </c>
      <c r="AR149" s="12">
        <v>45967</v>
      </c>
      <c r="AS149" s="12">
        <v>45909</v>
      </c>
      <c r="AT149" s="12"/>
      <c r="AU149" s="12">
        <v>45967</v>
      </c>
      <c r="AV149" s="12">
        <v>45971</v>
      </c>
      <c r="AW149" s="11" t="str">
        <f t="shared" si="21"/>
        <v>1st BOQ App on ISAAC</v>
      </c>
      <c r="AX149" s="12"/>
      <c r="AY149" s="12"/>
      <c r="AZ149" s="12"/>
      <c r="BA149" s="12"/>
      <c r="BB149" s="12"/>
      <c r="BC149" s="12"/>
      <c r="BD149" s="11" t="str">
        <f t="shared" si="22"/>
        <v>NY Submit</v>
      </c>
      <c r="BE149" s="174"/>
      <c r="BF149" s="12">
        <v>45892</v>
      </c>
      <c r="BG149" s="12">
        <v>45895</v>
      </c>
      <c r="BH149" s="10" t="s">
        <v>3366</v>
      </c>
      <c r="BI149" s="12"/>
      <c r="BJ149" s="12"/>
      <c r="BK149" s="174"/>
      <c r="BL149" s="12" t="str">
        <f t="shared" si="23"/>
        <v>Approved</v>
      </c>
      <c r="BM149" s="12" t="str">
        <f t="shared" si="24"/>
        <v>NY Submit</v>
      </c>
      <c r="BN149" s="12"/>
      <c r="BO149" s="12"/>
      <c r="BP149" s="155" t="s">
        <v>1760</v>
      </c>
      <c r="BQ149" s="12" t="s">
        <v>3367</v>
      </c>
      <c r="BR149" s="12">
        <v>45974</v>
      </c>
      <c r="BS149" s="143">
        <f t="shared" ca="1" si="25"/>
        <v>3</v>
      </c>
      <c r="BT149" s="176"/>
      <c r="BU149" s="12"/>
      <c r="BV149" s="143">
        <f t="shared" ca="1" si="26"/>
        <v>0</v>
      </c>
      <c r="BW149" s="12"/>
      <c r="BX149" s="12"/>
      <c r="BY149" s="143"/>
      <c r="BZ149" s="13" t="s">
        <v>2500</v>
      </c>
      <c r="CA149" s="13"/>
      <c r="CB149" s="13"/>
      <c r="CC149" s="13"/>
      <c r="CD149" s="13"/>
      <c r="CE149" s="198"/>
      <c r="CF149" s="198"/>
      <c r="CG149" s="272"/>
      <c r="CH149" s="272"/>
      <c r="CI149" s="198" t="s">
        <v>3368</v>
      </c>
      <c r="CJ149" s="198"/>
      <c r="CK149" s="198"/>
      <c r="CL149" s="198"/>
    </row>
    <row r="150" spans="1:90" ht="30" customHeight="1">
      <c r="A150" s="187">
        <v>145</v>
      </c>
      <c r="B150" s="190" t="s">
        <v>2486</v>
      </c>
      <c r="C150" s="190" t="s">
        <v>2487</v>
      </c>
      <c r="D150" s="190" t="s">
        <v>135</v>
      </c>
      <c r="E150" s="8" t="e">
        <f ca="1">+_xlfn.CONCAT(G150,"-",B150,"_",C150,"_",_xlfn.XLOOKUP(BP150,Account!M:M,Account!N:N))</f>
        <v>#NAME?</v>
      </c>
      <c r="F150" s="12">
        <v>45888</v>
      </c>
      <c r="G150" s="190" t="s">
        <v>81</v>
      </c>
      <c r="H150" s="190" t="s">
        <v>3361</v>
      </c>
      <c r="I150" s="10" t="s">
        <v>82</v>
      </c>
      <c r="J150" s="190">
        <v>10</v>
      </c>
      <c r="K150" s="190" t="s">
        <v>2038</v>
      </c>
      <c r="L150" s="190" t="s">
        <v>3156</v>
      </c>
      <c r="M150" s="190" t="s">
        <v>3362</v>
      </c>
      <c r="N150" s="10" t="s">
        <v>3363</v>
      </c>
      <c r="O150" s="178" t="s">
        <v>3364</v>
      </c>
      <c r="P150" s="178" t="s">
        <v>3365</v>
      </c>
      <c r="Q150" s="327">
        <v>182.92</v>
      </c>
      <c r="R150" s="190">
        <v>3</v>
      </c>
      <c r="S150" s="190"/>
      <c r="T150" s="190" t="s">
        <v>2518</v>
      </c>
      <c r="U150" s="190" t="s">
        <v>2565</v>
      </c>
      <c r="V150" s="8" t="s">
        <v>2011</v>
      </c>
      <c r="W150" s="10" t="s">
        <v>3148</v>
      </c>
      <c r="X150" s="9"/>
      <c r="Y150" s="172"/>
      <c r="Z150" s="172"/>
      <c r="AA150" s="172"/>
      <c r="AB150" s="143" t="str">
        <f t="shared" ca="1" si="20"/>
        <v>NY Submit</v>
      </c>
      <c r="AC150" s="13"/>
      <c r="AD150" s="12">
        <v>45892</v>
      </c>
      <c r="AE150" s="12">
        <v>45893</v>
      </c>
      <c r="AF150" s="12"/>
      <c r="AG150" s="12"/>
      <c r="AH150" s="11">
        <v>45911</v>
      </c>
      <c r="AI150" s="11"/>
      <c r="AJ150" s="11"/>
      <c r="AK150" s="11"/>
      <c r="AL150" s="11"/>
      <c r="AM150" s="11"/>
      <c r="AN150" s="11"/>
      <c r="AO150" s="11" t="str">
        <f>+IF(AM150&lt;&gt;"","ATP App MS",IF(AJ150&lt;&gt;"","Inbound",IF(AH150&lt;&gt;"","Dismantle Perangkat",IF(AF150="Drop","Drop",IF(AE150&lt;&gt;"","Survey Report",IF(AD150&lt;&gt;"","Survey","NY Survey"))))))</f>
        <v>Dismantle Perangkat</v>
      </c>
      <c r="AP150" s="173" t="s">
        <v>3369</v>
      </c>
      <c r="AQ150" s="12">
        <v>45909</v>
      </c>
      <c r="AR150" s="12">
        <v>45967</v>
      </c>
      <c r="AS150" s="12">
        <v>45909</v>
      </c>
      <c r="AT150" s="12"/>
      <c r="AU150" s="12">
        <v>45967</v>
      </c>
      <c r="AV150" s="12">
        <v>45971</v>
      </c>
      <c r="AW150" s="11" t="str">
        <f t="shared" si="21"/>
        <v>1st BOQ App on ISAAC</v>
      </c>
      <c r="AX150" s="12"/>
      <c r="AY150" s="12"/>
      <c r="AZ150" s="12"/>
      <c r="BA150" s="12"/>
      <c r="BB150" s="12"/>
      <c r="BC150" s="12"/>
      <c r="BD150" s="11" t="str">
        <f t="shared" si="22"/>
        <v>NY Submit</v>
      </c>
      <c r="BE150" s="174"/>
      <c r="BF150" s="12">
        <v>45892</v>
      </c>
      <c r="BG150" s="12">
        <v>45895</v>
      </c>
      <c r="BH150" s="10" t="s">
        <v>3366</v>
      </c>
      <c r="BI150" s="12">
        <v>45894</v>
      </c>
      <c r="BJ150" s="12">
        <v>45896</v>
      </c>
      <c r="BK150" s="200" t="s">
        <v>3370</v>
      </c>
      <c r="BL150" s="12" t="str">
        <f t="shared" si="23"/>
        <v>Approved</v>
      </c>
      <c r="BM150" s="12" t="str">
        <f t="shared" si="24"/>
        <v>Approved</v>
      </c>
      <c r="BN150" s="12"/>
      <c r="BO150" s="12"/>
      <c r="BP150" s="155" t="s">
        <v>2011</v>
      </c>
      <c r="BQ150" s="12" t="s">
        <v>2968</v>
      </c>
      <c r="BR150" s="12">
        <v>45974</v>
      </c>
      <c r="BS150" s="143">
        <f t="shared" ca="1" si="25"/>
        <v>3</v>
      </c>
      <c r="BT150" s="176"/>
      <c r="BU150" s="12"/>
      <c r="BV150" s="143">
        <f t="shared" ca="1" si="26"/>
        <v>0</v>
      </c>
      <c r="BW150" s="12"/>
      <c r="BX150" s="12"/>
      <c r="BY150" s="143"/>
      <c r="BZ150" s="13" t="s">
        <v>2500</v>
      </c>
      <c r="CA150" s="13"/>
      <c r="CB150" s="13"/>
      <c r="CC150" s="13"/>
      <c r="CD150" s="13"/>
      <c r="CE150" s="198"/>
      <c r="CF150" s="198"/>
      <c r="CG150" s="272"/>
      <c r="CH150" s="272"/>
      <c r="CI150" s="198" t="s">
        <v>3368</v>
      </c>
      <c r="CJ150" s="198"/>
      <c r="CK150" s="198"/>
      <c r="CL150" s="198"/>
    </row>
    <row r="151" spans="1:90">
      <c r="A151" s="191">
        <v>146</v>
      </c>
      <c r="B151" s="190" t="s">
        <v>2486</v>
      </c>
      <c r="C151" s="190" t="s">
        <v>2487</v>
      </c>
      <c r="D151" s="190" t="s">
        <v>135</v>
      </c>
      <c r="E151" s="8" t="e">
        <f ca="1">+_xlfn.CONCAT(G151,"-",B151,"_",C151,"_",_xlfn.XLOOKUP(BP151,Account!M:M,Account!N:N))</f>
        <v>#NAME?</v>
      </c>
      <c r="F151" s="12">
        <v>45888</v>
      </c>
      <c r="G151" s="190" t="s">
        <v>81</v>
      </c>
      <c r="H151" s="190" t="s">
        <v>3361</v>
      </c>
      <c r="I151" s="10" t="s">
        <v>82</v>
      </c>
      <c r="J151" s="190">
        <v>10</v>
      </c>
      <c r="K151" s="190" t="s">
        <v>2038</v>
      </c>
      <c r="L151" s="190" t="s">
        <v>3156</v>
      </c>
      <c r="M151" s="190" t="s">
        <v>3362</v>
      </c>
      <c r="N151" s="10" t="s">
        <v>3363</v>
      </c>
      <c r="O151" s="178" t="s">
        <v>3364</v>
      </c>
      <c r="P151" s="178" t="s">
        <v>3365</v>
      </c>
      <c r="Q151" s="327">
        <v>182.92</v>
      </c>
      <c r="R151" s="190">
        <v>3</v>
      </c>
      <c r="S151" s="190"/>
      <c r="T151" s="190" t="s">
        <v>2518</v>
      </c>
      <c r="U151" s="190" t="s">
        <v>2565</v>
      </c>
      <c r="V151" s="8" t="s">
        <v>3371</v>
      </c>
      <c r="W151" s="10" t="s">
        <v>3148</v>
      </c>
      <c r="X151" s="9"/>
      <c r="Y151" s="172"/>
      <c r="Z151" s="172"/>
      <c r="AA151" s="172"/>
      <c r="AB151" s="143" t="str">
        <f t="shared" ca="1" si="20"/>
        <v>NY Submit</v>
      </c>
      <c r="AC151" s="13"/>
      <c r="AD151" s="12">
        <v>45892</v>
      </c>
      <c r="AE151" s="12">
        <v>45893</v>
      </c>
      <c r="AF151" s="12"/>
      <c r="AG151" s="12"/>
      <c r="AH151" s="11"/>
      <c r="AI151" s="11"/>
      <c r="AJ151" s="11"/>
      <c r="AK151" s="11"/>
      <c r="AL151" s="11"/>
      <c r="AM151" s="11"/>
      <c r="AN151" s="11"/>
      <c r="AO151" s="11" t="str">
        <f>+IF(AM151&lt;&gt;"","ATP App MS",IF(AL151&lt;&gt;"","OA/RFS",IF(AK151&lt;&gt;"","Install",IF(AH151&lt;&gt;"","Dismantle Perangkat",IF(AF151="Drop","Drop",IF(AE151&lt;&gt;"","Survey Report",IF(AD151&lt;&gt;"","Survey","NY Survey")))))))</f>
        <v>Survey Report</v>
      </c>
      <c r="AP151" s="173"/>
      <c r="AQ151" s="12">
        <v>46038</v>
      </c>
      <c r="AR151" s="12">
        <v>46062</v>
      </c>
      <c r="AS151" s="12"/>
      <c r="AT151" s="12">
        <v>46114</v>
      </c>
      <c r="AU151" s="12"/>
      <c r="AV151" s="12"/>
      <c r="AW151" s="11" t="str">
        <f t="shared" si="21"/>
        <v>BAN App</v>
      </c>
      <c r="AX151" s="12"/>
      <c r="AY151" s="12"/>
      <c r="AZ151" s="12"/>
      <c r="BA151" s="12"/>
      <c r="BB151" s="12"/>
      <c r="BC151" s="12"/>
      <c r="BD151" s="11" t="str">
        <f t="shared" si="22"/>
        <v>NY Submit</v>
      </c>
      <c r="BE151" s="174"/>
      <c r="BF151" s="12">
        <v>45892</v>
      </c>
      <c r="BG151" s="12">
        <v>45895</v>
      </c>
      <c r="BH151" s="10" t="s">
        <v>3366</v>
      </c>
      <c r="BI151" s="12">
        <v>45894</v>
      </c>
      <c r="BJ151" s="12"/>
      <c r="BK151" s="174"/>
      <c r="BL151" s="12" t="str">
        <f t="shared" si="23"/>
        <v>Approved</v>
      </c>
      <c r="BM151" s="12" t="str">
        <f t="shared" si="24"/>
        <v>Submit</v>
      </c>
      <c r="BN151" s="12"/>
      <c r="BO151" s="12"/>
      <c r="BP151" s="155" t="s">
        <v>1768</v>
      </c>
      <c r="BQ151" s="12" t="s">
        <v>3372</v>
      </c>
      <c r="BR151" s="12">
        <v>46162</v>
      </c>
      <c r="BS151" s="143">
        <f t="shared" ca="1" si="25"/>
        <v>0</v>
      </c>
      <c r="BT151" s="176"/>
      <c r="BU151" s="12"/>
      <c r="BV151" s="143">
        <f t="shared" ca="1" si="26"/>
        <v>0</v>
      </c>
      <c r="BW151" s="12"/>
      <c r="BX151" s="12"/>
      <c r="BY151" s="143"/>
      <c r="BZ151" s="13" t="s">
        <v>3373</v>
      </c>
      <c r="CA151" s="13"/>
      <c r="CB151" s="13" t="s">
        <v>2486</v>
      </c>
      <c r="CC151" s="13"/>
      <c r="CD151" s="13"/>
      <c r="CE151" s="198"/>
      <c r="CF151" s="198"/>
      <c r="CG151" s="272"/>
      <c r="CH151" s="272"/>
      <c r="CI151" s="198"/>
      <c r="CJ151" s="198"/>
      <c r="CK151" s="198"/>
      <c r="CL151" s="198"/>
    </row>
    <row r="152" spans="1:90">
      <c r="A152" s="187">
        <v>147</v>
      </c>
      <c r="B152" s="190" t="s">
        <v>2486</v>
      </c>
      <c r="C152" s="190" t="s">
        <v>2487</v>
      </c>
      <c r="D152" s="190" t="s">
        <v>135</v>
      </c>
      <c r="E152" s="8" t="e">
        <f ca="1">+_xlfn.CONCAT(G152,"-",B152,"_",C152,"_",_xlfn.XLOOKUP(BP152,Account!M:M,Account!N:N))</f>
        <v>#NAME?</v>
      </c>
      <c r="F152" s="12">
        <v>45888</v>
      </c>
      <c r="G152" s="190" t="s">
        <v>1950</v>
      </c>
      <c r="H152" s="190" t="s">
        <v>3374</v>
      </c>
      <c r="I152" s="10" t="s">
        <v>1951</v>
      </c>
      <c r="J152" s="190">
        <v>7</v>
      </c>
      <c r="K152" s="190" t="s">
        <v>2038</v>
      </c>
      <c r="L152" s="190" t="s">
        <v>2894</v>
      </c>
      <c r="M152" s="190" t="s">
        <v>3375</v>
      </c>
      <c r="N152" s="10" t="s">
        <v>3376</v>
      </c>
      <c r="O152" s="178" t="s">
        <v>3377</v>
      </c>
      <c r="P152" s="178" t="s">
        <v>3378</v>
      </c>
      <c r="Q152" s="327">
        <v>8487.2800000000007</v>
      </c>
      <c r="R152" s="190">
        <v>42</v>
      </c>
      <c r="S152" s="190"/>
      <c r="T152" s="190" t="s">
        <v>2494</v>
      </c>
      <c r="U152" s="190" t="s">
        <v>2495</v>
      </c>
      <c r="V152" s="8" t="s">
        <v>1760</v>
      </c>
      <c r="W152" s="10"/>
      <c r="X152" s="9"/>
      <c r="Y152" s="172"/>
      <c r="Z152" s="172">
        <v>46127</v>
      </c>
      <c r="AA152" s="172">
        <v>46133</v>
      </c>
      <c r="AB152" s="143" t="str">
        <f t="shared" ca="1" si="20"/>
        <v>Expired</v>
      </c>
      <c r="AC152" s="13"/>
      <c r="AD152" s="12">
        <v>45891</v>
      </c>
      <c r="AE152" s="12">
        <v>45892</v>
      </c>
      <c r="AF152" s="12"/>
      <c r="AG152" s="12">
        <v>46094</v>
      </c>
      <c r="AH152" s="11"/>
      <c r="AI152" s="11">
        <v>46137</v>
      </c>
      <c r="AJ152" s="11"/>
      <c r="AK152" s="11"/>
      <c r="AL152" s="11"/>
      <c r="AM152" s="11"/>
      <c r="AN152" s="11">
        <v>46138</v>
      </c>
      <c r="AO152" s="11" t="str">
        <f>+IF(AN152&lt;&gt;"","BAST",IF(AI152&lt;&gt;"","Dismantle",IF(AG152&lt;&gt;"","RFD App",IF(AF152="Drop","Drop",IF(AE152&lt;&gt;"","Survey Report",IF(AD152&lt;&gt;"","Survey","NY Survey"))))))</f>
        <v>BAST</v>
      </c>
      <c r="AP152" s="173"/>
      <c r="AQ152" s="12">
        <v>46030</v>
      </c>
      <c r="AR152" s="12">
        <v>46036</v>
      </c>
      <c r="AS152" s="12">
        <v>46030</v>
      </c>
      <c r="AT152" s="12"/>
      <c r="AU152" s="12">
        <v>46119</v>
      </c>
      <c r="AV152" s="12">
        <v>46126</v>
      </c>
      <c r="AW152" s="11" t="str">
        <f t="shared" si="21"/>
        <v>1st BOQ App on ISAAC</v>
      </c>
      <c r="AX152" s="12"/>
      <c r="AY152" s="12"/>
      <c r="AZ152" s="12"/>
      <c r="BA152" s="12"/>
      <c r="BB152" s="12"/>
      <c r="BC152" s="12"/>
      <c r="BD152" s="11" t="str">
        <f t="shared" si="22"/>
        <v>NY Submit</v>
      </c>
      <c r="BE152" s="174" t="s">
        <v>3379</v>
      </c>
      <c r="BF152" s="12">
        <v>45891</v>
      </c>
      <c r="BG152" s="12">
        <v>45895</v>
      </c>
      <c r="BH152" s="10" t="s">
        <v>3380</v>
      </c>
      <c r="BI152" s="12">
        <v>45895</v>
      </c>
      <c r="BJ152" s="12">
        <v>45896</v>
      </c>
      <c r="BK152" s="174" t="s">
        <v>3381</v>
      </c>
      <c r="BL152" s="12" t="str">
        <f t="shared" si="23"/>
        <v>Approved</v>
      </c>
      <c r="BM152" s="12" t="str">
        <f t="shared" si="24"/>
        <v>Approved</v>
      </c>
      <c r="BN152" s="12">
        <v>46140</v>
      </c>
      <c r="BO152" s="12">
        <v>46141</v>
      </c>
      <c r="BP152" s="155" t="s">
        <v>1760</v>
      </c>
      <c r="BQ152" s="12" t="s">
        <v>3382</v>
      </c>
      <c r="BR152" s="12">
        <v>46052</v>
      </c>
      <c r="BS152" s="143" t="e">
        <f t="shared" ca="1" si="25"/>
        <v>#NUM!</v>
      </c>
      <c r="BT152" s="176"/>
      <c r="BU152" s="12"/>
      <c r="BV152" s="143">
        <f t="shared" ca="1" si="26"/>
        <v>0</v>
      </c>
      <c r="BW152" s="12"/>
      <c r="BX152" s="12"/>
      <c r="BY152" s="143"/>
      <c r="BZ152" s="13" t="s">
        <v>2500</v>
      </c>
      <c r="CA152" s="13" t="s">
        <v>2406</v>
      </c>
      <c r="CB152" s="13" t="s">
        <v>2984</v>
      </c>
      <c r="CC152" s="13"/>
      <c r="CD152" s="13"/>
      <c r="CE152" s="198"/>
      <c r="CF152" s="198"/>
      <c r="CG152" s="272"/>
      <c r="CH152" s="272"/>
      <c r="CI152" s="198"/>
      <c r="CJ152" s="198"/>
      <c r="CK152" s="198"/>
      <c r="CL152" s="198"/>
    </row>
    <row r="153" spans="1:90" ht="45" customHeight="1">
      <c r="A153" s="181">
        <v>148</v>
      </c>
      <c r="B153" s="190" t="s">
        <v>2486</v>
      </c>
      <c r="C153" s="190" t="s">
        <v>2487</v>
      </c>
      <c r="D153" s="190" t="s">
        <v>135</v>
      </c>
      <c r="E153" s="8" t="e">
        <f ca="1">+_xlfn.CONCAT(G153,"-",B153,"_",C153,"_",_xlfn.XLOOKUP(BP153,Account!M:M,Account!N:N))</f>
        <v>#NAME?</v>
      </c>
      <c r="F153" s="12">
        <v>45888</v>
      </c>
      <c r="G153" s="190" t="s">
        <v>1950</v>
      </c>
      <c r="H153" s="190" t="s">
        <v>3374</v>
      </c>
      <c r="I153" s="10" t="s">
        <v>1951</v>
      </c>
      <c r="J153" s="190">
        <v>7</v>
      </c>
      <c r="K153" s="190" t="s">
        <v>2038</v>
      </c>
      <c r="L153" s="190" t="s">
        <v>2894</v>
      </c>
      <c r="M153" s="190" t="s">
        <v>3375</v>
      </c>
      <c r="N153" s="10" t="s">
        <v>3376</v>
      </c>
      <c r="O153" s="178" t="s">
        <v>3377</v>
      </c>
      <c r="P153" s="178" t="s">
        <v>3378</v>
      </c>
      <c r="Q153" s="327">
        <v>8487.2800000000007</v>
      </c>
      <c r="R153" s="190">
        <v>42</v>
      </c>
      <c r="S153" s="190" t="s">
        <v>3383</v>
      </c>
      <c r="T153" s="190" t="s">
        <v>2494</v>
      </c>
      <c r="U153" s="190" t="s">
        <v>2495</v>
      </c>
      <c r="V153" s="8" t="s">
        <v>2011</v>
      </c>
      <c r="W153" s="10"/>
      <c r="X153" s="9"/>
      <c r="Y153" s="172"/>
      <c r="Z153" s="172"/>
      <c r="AA153" s="172"/>
      <c r="AB153" s="143" t="str">
        <f t="shared" ca="1" si="20"/>
        <v>NY Submit</v>
      </c>
      <c r="AC153" s="13"/>
      <c r="AD153" s="12">
        <v>45891</v>
      </c>
      <c r="AE153" s="12">
        <v>45892</v>
      </c>
      <c r="AF153" s="12"/>
      <c r="AG153" s="12">
        <v>46094</v>
      </c>
      <c r="AH153" s="11">
        <v>46135</v>
      </c>
      <c r="AI153" s="11"/>
      <c r="AJ153" s="11"/>
      <c r="AK153" s="11"/>
      <c r="AL153" s="11"/>
      <c r="AM153" s="11"/>
      <c r="AN153" s="11"/>
      <c r="AO153" s="11" t="str">
        <f>+IF(AM153&lt;&gt;"","ATP App MS",IF(AJ153&lt;&gt;"","Inbound",IF(AH153&lt;&gt;"","Dismantle Perangkat",IF(AF153="Drop","Drop",IF(AE153&lt;&gt;"","Survey Report",IF(AD153&lt;&gt;"","Survey","NY Survey"))))))</f>
        <v>Dismantle Perangkat</v>
      </c>
      <c r="AP153" s="173"/>
      <c r="AQ153" s="12">
        <v>46030</v>
      </c>
      <c r="AR153" s="12">
        <v>46036</v>
      </c>
      <c r="AS153" s="12">
        <v>46030</v>
      </c>
      <c r="AT153" s="12"/>
      <c r="AU153" s="12">
        <v>46119</v>
      </c>
      <c r="AV153" s="12">
        <v>46126</v>
      </c>
      <c r="AW153" s="11" t="str">
        <f t="shared" si="21"/>
        <v>1st BOQ App on ISAAC</v>
      </c>
      <c r="AX153" s="12"/>
      <c r="AY153" s="12"/>
      <c r="AZ153" s="12"/>
      <c r="BA153" s="12"/>
      <c r="BB153" s="12"/>
      <c r="BC153" s="12"/>
      <c r="BD153" s="11" t="str">
        <f t="shared" si="22"/>
        <v>NY Submit</v>
      </c>
      <c r="BE153" s="174" t="s">
        <v>3379</v>
      </c>
      <c r="BF153" s="12">
        <v>45891</v>
      </c>
      <c r="BG153" s="12">
        <v>45895</v>
      </c>
      <c r="BH153" s="10" t="s">
        <v>3380</v>
      </c>
      <c r="BI153" s="12">
        <v>45895</v>
      </c>
      <c r="BJ153" s="12">
        <v>45896</v>
      </c>
      <c r="BK153" s="174"/>
      <c r="BL153" s="12" t="str">
        <f t="shared" si="23"/>
        <v>Approved</v>
      </c>
      <c r="BM153" s="12" t="str">
        <f t="shared" si="24"/>
        <v>Approved</v>
      </c>
      <c r="BN153" s="12"/>
      <c r="BO153" s="12"/>
      <c r="BP153" s="155" t="s">
        <v>2011</v>
      </c>
      <c r="BQ153" s="12" t="s">
        <v>2718</v>
      </c>
      <c r="BR153" s="12">
        <v>46052</v>
      </c>
      <c r="BS153" s="143" t="e">
        <f t="shared" ca="1" si="25"/>
        <v>#NUM!</v>
      </c>
      <c r="BT153" s="176"/>
      <c r="BU153" s="12"/>
      <c r="BV153" s="143">
        <f t="shared" ca="1" si="26"/>
        <v>0</v>
      </c>
      <c r="BW153" s="12"/>
      <c r="BX153" s="12"/>
      <c r="BY153" s="143"/>
      <c r="BZ153" s="279" t="s">
        <v>3384</v>
      </c>
      <c r="CA153" s="13" t="s">
        <v>2555</v>
      </c>
      <c r="CB153" s="13" t="s">
        <v>2984</v>
      </c>
      <c r="CC153" s="13"/>
      <c r="CD153" s="13"/>
      <c r="CE153" s="198"/>
      <c r="CF153" s="198"/>
      <c r="CG153" s="272"/>
      <c r="CH153" s="272"/>
      <c r="CI153" s="198"/>
      <c r="CJ153" s="198"/>
      <c r="CK153" s="198" t="s">
        <v>3385</v>
      </c>
      <c r="CL153" s="198"/>
    </row>
    <row r="154" spans="1:90" ht="60" customHeight="1">
      <c r="A154" s="181">
        <v>149</v>
      </c>
      <c r="B154" s="190" t="s">
        <v>2486</v>
      </c>
      <c r="C154" s="190" t="s">
        <v>2487</v>
      </c>
      <c r="D154" s="190" t="s">
        <v>135</v>
      </c>
      <c r="E154" s="8" t="e">
        <f ca="1">+_xlfn.CONCAT(G154,"-",B154,"_",C154,"_",_xlfn.XLOOKUP(BP154,Account!M:M,Account!N:N))</f>
        <v>#NAME?</v>
      </c>
      <c r="F154" s="12">
        <v>45888</v>
      </c>
      <c r="G154" s="190" t="s">
        <v>1950</v>
      </c>
      <c r="H154" s="190" t="s">
        <v>3374</v>
      </c>
      <c r="I154" s="10" t="s">
        <v>1951</v>
      </c>
      <c r="J154" s="190">
        <v>7</v>
      </c>
      <c r="K154" s="190" t="s">
        <v>2038</v>
      </c>
      <c r="L154" s="190" t="s">
        <v>2894</v>
      </c>
      <c r="M154" s="190" t="s">
        <v>3375</v>
      </c>
      <c r="N154" s="10" t="s">
        <v>3376</v>
      </c>
      <c r="O154" s="178" t="s">
        <v>3377</v>
      </c>
      <c r="P154" s="178" t="s">
        <v>3378</v>
      </c>
      <c r="Q154" s="327">
        <v>8487.2800000000007</v>
      </c>
      <c r="R154" s="190">
        <v>42</v>
      </c>
      <c r="S154" s="190"/>
      <c r="T154" s="190" t="s">
        <v>2494</v>
      </c>
      <c r="U154" s="190" t="s">
        <v>2495</v>
      </c>
      <c r="V154" s="8" t="s">
        <v>1768</v>
      </c>
      <c r="W154" s="10"/>
      <c r="X154" s="9"/>
      <c r="Y154" s="172"/>
      <c r="Z154" s="172"/>
      <c r="AA154" s="172"/>
      <c r="AB154" s="143" t="str">
        <f t="shared" ca="1" si="20"/>
        <v>NY Submit</v>
      </c>
      <c r="AC154" s="13"/>
      <c r="AD154" s="12">
        <v>45891</v>
      </c>
      <c r="AE154" s="12">
        <v>45892</v>
      </c>
      <c r="AF154" s="12"/>
      <c r="AG154" s="12">
        <v>46094</v>
      </c>
      <c r="AH154" s="11"/>
      <c r="AI154" s="11"/>
      <c r="AJ154" s="11"/>
      <c r="AK154" s="11">
        <v>46136</v>
      </c>
      <c r="AL154" s="11">
        <v>46138</v>
      </c>
      <c r="AM154" s="11"/>
      <c r="AN154" s="11"/>
      <c r="AO154" s="11" t="str">
        <f>+IF(AM154&lt;&gt;"","ATP App MS",IF(AL154&lt;&gt;"","OA/RFS",IF(AK154&lt;&gt;"","Install",IF(AH154&lt;&gt;"","Dismantle Perangkat",IF(AF154="Drop","Drop",IF(AE154&lt;&gt;"","Survey Report",IF(AD154&lt;&gt;"","Survey","NY Survey")))))))</f>
        <v>OA/RFS</v>
      </c>
      <c r="AP154" s="173" t="s">
        <v>3386</v>
      </c>
      <c r="AQ154" s="12">
        <v>46030</v>
      </c>
      <c r="AR154" s="12">
        <v>46036</v>
      </c>
      <c r="AS154" s="12">
        <v>46030</v>
      </c>
      <c r="AT154" s="12"/>
      <c r="AU154" s="12">
        <v>46119</v>
      </c>
      <c r="AV154" s="12">
        <v>46126</v>
      </c>
      <c r="AW154" s="11" t="str">
        <f t="shared" si="21"/>
        <v>1st BOQ App on ISAAC</v>
      </c>
      <c r="AX154" s="12">
        <v>46140</v>
      </c>
      <c r="AY154" s="12"/>
      <c r="AZ154" s="12"/>
      <c r="BA154" s="12">
        <v>46149</v>
      </c>
      <c r="BB154" s="12"/>
      <c r="BC154" s="12">
        <v>46150</v>
      </c>
      <c r="BD154" s="11" t="str">
        <f t="shared" si="22"/>
        <v>2nd BOQ App on ISAAC</v>
      </c>
      <c r="BE154" s="174" t="s">
        <v>3379</v>
      </c>
      <c r="BF154" s="12">
        <v>45891</v>
      </c>
      <c r="BG154" s="12">
        <v>45895</v>
      </c>
      <c r="BH154" s="10" t="s">
        <v>3380</v>
      </c>
      <c r="BI154" s="12">
        <v>45895</v>
      </c>
      <c r="BJ154" s="12">
        <v>45896</v>
      </c>
      <c r="BK154" s="174"/>
      <c r="BL154" s="12" t="str">
        <f t="shared" si="23"/>
        <v>Approved</v>
      </c>
      <c r="BM154" s="12" t="str">
        <f t="shared" si="24"/>
        <v>Approved</v>
      </c>
      <c r="BN154" s="12"/>
      <c r="BO154" s="12"/>
      <c r="BP154" s="155" t="s">
        <v>1768</v>
      </c>
      <c r="BQ154" s="12" t="s">
        <v>3387</v>
      </c>
      <c r="BR154" s="12">
        <v>46052</v>
      </c>
      <c r="BS154" s="143" t="e">
        <f t="shared" ca="1" si="25"/>
        <v>#NUM!</v>
      </c>
      <c r="BT154" s="176" t="s">
        <v>3388</v>
      </c>
      <c r="BU154" s="12">
        <v>46171</v>
      </c>
      <c r="BV154" s="143">
        <f t="shared" ca="1" si="26"/>
        <v>21</v>
      </c>
      <c r="BW154" s="12"/>
      <c r="BX154" s="12"/>
      <c r="BY154" s="143"/>
      <c r="BZ154" s="279" t="s">
        <v>3384</v>
      </c>
      <c r="CA154" s="13" t="s">
        <v>2555</v>
      </c>
      <c r="CB154" s="13" t="s">
        <v>2984</v>
      </c>
      <c r="CC154" s="13"/>
      <c r="CD154" s="13"/>
      <c r="CE154" s="198" t="s">
        <v>3389</v>
      </c>
      <c r="CF154" s="198" t="s">
        <v>3390</v>
      </c>
      <c r="CG154" s="272"/>
      <c r="CH154" s="272"/>
      <c r="CI154" s="198" t="s">
        <v>3391</v>
      </c>
      <c r="CJ154" s="198" t="s">
        <v>3392</v>
      </c>
      <c r="CK154" s="198" t="s">
        <v>3385</v>
      </c>
      <c r="CL154" s="198"/>
    </row>
    <row r="155" spans="1:90">
      <c r="A155" s="186">
        <v>150</v>
      </c>
      <c r="B155" s="190" t="s">
        <v>2486</v>
      </c>
      <c r="C155" s="190" t="s">
        <v>2487</v>
      </c>
      <c r="D155" s="190" t="s">
        <v>135</v>
      </c>
      <c r="E155" s="8" t="e">
        <f ca="1">+_xlfn.CONCAT(G155,"-",B155,"_",C155,"_",_xlfn.XLOOKUP(BP155,Account!M:M,Account!N:N))</f>
        <v>#NAME?</v>
      </c>
      <c r="F155" s="12">
        <v>45889</v>
      </c>
      <c r="G155" s="190" t="s">
        <v>2027</v>
      </c>
      <c r="H155" s="190" t="s">
        <v>3393</v>
      </c>
      <c r="I155" s="10" t="s">
        <v>2028</v>
      </c>
      <c r="J155" s="190">
        <v>11</v>
      </c>
      <c r="K155" s="190" t="s">
        <v>2038</v>
      </c>
      <c r="L155" s="190" t="s">
        <v>1263</v>
      </c>
      <c r="M155" s="190" t="s">
        <v>3394</v>
      </c>
      <c r="N155" s="10" t="s">
        <v>3395</v>
      </c>
      <c r="O155" s="178" t="s">
        <v>3396</v>
      </c>
      <c r="P155" s="178" t="s">
        <v>3397</v>
      </c>
      <c r="Q155" s="327">
        <v>13032.3</v>
      </c>
      <c r="R155" s="190">
        <v>52</v>
      </c>
      <c r="S155" s="190" t="s">
        <v>2840</v>
      </c>
      <c r="T155" s="190" t="s">
        <v>2494</v>
      </c>
      <c r="U155" s="190" t="s">
        <v>2495</v>
      </c>
      <c r="V155" s="8" t="s">
        <v>1760</v>
      </c>
      <c r="W155" s="10"/>
      <c r="X155" s="9"/>
      <c r="Y155" s="172" t="s">
        <v>2432</v>
      </c>
      <c r="Z155" s="172">
        <v>46153</v>
      </c>
      <c r="AA155" s="172">
        <v>46159</v>
      </c>
      <c r="AB155" s="143" t="str">
        <f t="shared" ca="1" si="20"/>
        <v>Expired</v>
      </c>
      <c r="AC155" s="13"/>
      <c r="AD155" s="12">
        <v>46154</v>
      </c>
      <c r="AE155" s="12">
        <v>46164</v>
      </c>
      <c r="AF155" s="12">
        <v>46251</v>
      </c>
      <c r="AG155" s="12"/>
      <c r="AH155" s="11"/>
      <c r="AI155" s="11"/>
      <c r="AJ155" s="11"/>
      <c r="AK155" s="11"/>
      <c r="AL155" s="11"/>
      <c r="AM155" s="11"/>
      <c r="AN155" s="11"/>
      <c r="AO155" s="11" t="str">
        <f>+IF(AN155&lt;&gt;"","BAST",IF(AI155&lt;&gt;"","Dismantle",IF(AG155&lt;&gt;"","RFD App",IF(AF155="Drop","Drop",IF(AE155&lt;&gt;"","Survey Report",IF(AD155&lt;&gt;"","Survey","NY Survey"))))))</f>
        <v>Survey Report</v>
      </c>
      <c r="AP155" s="173"/>
      <c r="AQ155" s="12">
        <v>46227</v>
      </c>
      <c r="AR155" s="12"/>
      <c r="AS155" s="12">
        <v>46230</v>
      </c>
      <c r="AT155" s="12"/>
      <c r="AU155" s="12"/>
      <c r="AV155" s="12"/>
      <c r="AW155" s="11" t="str">
        <f t="shared" si="21"/>
        <v>Engineering Structural Manager App</v>
      </c>
      <c r="AX155" s="12"/>
      <c r="AY155" s="12"/>
      <c r="AZ155" s="12"/>
      <c r="BA155" s="12" t="s">
        <v>1754</v>
      </c>
      <c r="BB155" s="12"/>
      <c r="BC155" s="12"/>
      <c r="BD155" s="11" t="str">
        <f t="shared" si="22"/>
        <v>need DRM</v>
      </c>
      <c r="BE155" s="281" t="s">
        <v>3398</v>
      </c>
      <c r="BF155" s="12">
        <v>46212</v>
      </c>
      <c r="BG155" s="12">
        <v>46226</v>
      </c>
      <c r="BH155" s="10" t="s">
        <v>3399</v>
      </c>
      <c r="BI155" s="12">
        <v>46212</v>
      </c>
      <c r="BJ155" s="12">
        <v>46218</v>
      </c>
      <c r="BK155" s="174" t="s">
        <v>3400</v>
      </c>
      <c r="BL155" s="12" t="str">
        <f t="shared" si="23"/>
        <v>Approved</v>
      </c>
      <c r="BM155" s="12" t="str">
        <f t="shared" si="24"/>
        <v>Approved</v>
      </c>
      <c r="BN155" s="12"/>
      <c r="BO155" s="12"/>
      <c r="BP155" s="155" t="s">
        <v>1760</v>
      </c>
      <c r="BQ155" s="12" t="s">
        <v>3106</v>
      </c>
      <c r="BR155" s="12"/>
      <c r="BS155" s="143">
        <f t="shared" ca="1" si="25"/>
        <v>0</v>
      </c>
      <c r="BT155" s="176"/>
      <c r="BU155" s="12"/>
      <c r="BV155" s="143">
        <f t="shared" ca="1" si="26"/>
        <v>0</v>
      </c>
      <c r="BW155" s="12"/>
      <c r="BX155" s="12"/>
      <c r="BY155" s="143"/>
      <c r="BZ155" s="13" t="s">
        <v>3401</v>
      </c>
      <c r="CA155" s="13" t="s">
        <v>3186</v>
      </c>
      <c r="CB155" s="13" t="s">
        <v>2984</v>
      </c>
      <c r="CC155" s="13"/>
      <c r="CD155" s="13"/>
      <c r="CE155" s="198"/>
      <c r="CF155" s="198"/>
      <c r="CG155" s="272"/>
      <c r="CH155" s="272"/>
      <c r="CI155" s="198"/>
      <c r="CJ155" s="198"/>
      <c r="CK155" s="198"/>
      <c r="CL155" s="198"/>
    </row>
    <row r="156" spans="1:90">
      <c r="A156" s="186">
        <v>151</v>
      </c>
      <c r="B156" s="190" t="s">
        <v>2486</v>
      </c>
      <c r="C156" s="190" t="s">
        <v>2487</v>
      </c>
      <c r="D156" s="190" t="s">
        <v>135</v>
      </c>
      <c r="E156" s="8" t="e">
        <f ca="1">+_xlfn.CONCAT(G156,"-",B156,"_",C156,"_",_xlfn.XLOOKUP(BP156,Account!M:M,Account!N:N))</f>
        <v>#NAME?</v>
      </c>
      <c r="F156" s="12">
        <v>45889</v>
      </c>
      <c r="G156" s="190" t="s">
        <v>2027</v>
      </c>
      <c r="H156" s="190" t="s">
        <v>3393</v>
      </c>
      <c r="I156" s="10" t="s">
        <v>2028</v>
      </c>
      <c r="J156" s="190">
        <v>11</v>
      </c>
      <c r="K156" s="190" t="s">
        <v>2038</v>
      </c>
      <c r="L156" s="190" t="s">
        <v>1263</v>
      </c>
      <c r="M156" s="190" t="s">
        <v>3394</v>
      </c>
      <c r="N156" s="10" t="s">
        <v>3395</v>
      </c>
      <c r="O156" s="178" t="s">
        <v>3396</v>
      </c>
      <c r="P156" s="178" t="s">
        <v>3397</v>
      </c>
      <c r="Q156" s="327">
        <v>13032.3</v>
      </c>
      <c r="R156" s="190">
        <v>52</v>
      </c>
      <c r="S156" s="190"/>
      <c r="T156" s="190" t="s">
        <v>2494</v>
      </c>
      <c r="U156" s="190" t="s">
        <v>2495</v>
      </c>
      <c r="V156" s="8" t="s">
        <v>2011</v>
      </c>
      <c r="W156" s="10"/>
      <c r="X156" s="9"/>
      <c r="Y156" s="172" t="s">
        <v>2432</v>
      </c>
      <c r="Z156" s="172">
        <v>46153</v>
      </c>
      <c r="AA156" s="172">
        <v>46159</v>
      </c>
      <c r="AB156" s="143" t="str">
        <f t="shared" ca="1" si="20"/>
        <v>Expired</v>
      </c>
      <c r="AC156" s="13"/>
      <c r="AD156" s="12">
        <v>46154</v>
      </c>
      <c r="AE156" s="12">
        <v>46164</v>
      </c>
      <c r="AF156" s="12">
        <v>46251</v>
      </c>
      <c r="AG156" s="12"/>
      <c r="AH156" s="11"/>
      <c r="AI156" s="11"/>
      <c r="AJ156" s="11"/>
      <c r="AK156" s="11"/>
      <c r="AL156" s="11"/>
      <c r="AM156" s="11"/>
      <c r="AN156" s="11"/>
      <c r="AO156" s="11" t="str">
        <f>+IF(AM156&lt;&gt;"","ATP App MS",IF(AJ156&lt;&gt;"","Inbound",IF(AH156&lt;&gt;"","Dismantle Perangkat",IF(AF156="Drop","Drop",IF(AE156&lt;&gt;"","Survey Report",IF(AD156&lt;&gt;"","Survey","NY Survey"))))))</f>
        <v>Survey Report</v>
      </c>
      <c r="AP156" s="173"/>
      <c r="AQ156" s="12">
        <v>46227</v>
      </c>
      <c r="AR156" s="12"/>
      <c r="AS156" s="12">
        <v>46230</v>
      </c>
      <c r="AT156" s="12"/>
      <c r="AU156" s="12"/>
      <c r="AV156" s="12"/>
      <c r="AW156" s="11" t="str">
        <f t="shared" si="21"/>
        <v>Engineering Structural Manager App</v>
      </c>
      <c r="AX156" s="12"/>
      <c r="AY156" s="12"/>
      <c r="AZ156" s="12"/>
      <c r="BA156" s="12" t="s">
        <v>1754</v>
      </c>
      <c r="BB156" s="12"/>
      <c r="BC156" s="12"/>
      <c r="BD156" s="11" t="str">
        <f t="shared" si="22"/>
        <v>need DRM</v>
      </c>
      <c r="BE156" s="281" t="s">
        <v>3398</v>
      </c>
      <c r="BF156" s="12">
        <v>46212</v>
      </c>
      <c r="BG156" s="12">
        <v>46226</v>
      </c>
      <c r="BH156" s="10"/>
      <c r="BI156" s="12">
        <v>46212</v>
      </c>
      <c r="BJ156" s="12">
        <v>46218</v>
      </c>
      <c r="BK156" s="174"/>
      <c r="BL156" s="12" t="str">
        <f t="shared" si="23"/>
        <v>Approved</v>
      </c>
      <c r="BM156" s="12" t="str">
        <f t="shared" si="24"/>
        <v>Approved</v>
      </c>
      <c r="BN156" s="12"/>
      <c r="BO156" s="12"/>
      <c r="BP156" s="155" t="s">
        <v>2011</v>
      </c>
      <c r="BQ156" s="12" t="s">
        <v>3106</v>
      </c>
      <c r="BR156" s="12"/>
      <c r="BS156" s="143">
        <f t="shared" ca="1" si="25"/>
        <v>0</v>
      </c>
      <c r="BT156" s="176"/>
      <c r="BU156" s="12"/>
      <c r="BV156" s="143">
        <f t="shared" ca="1" si="26"/>
        <v>0</v>
      </c>
      <c r="BW156" s="12"/>
      <c r="BX156" s="12"/>
      <c r="BY156" s="143"/>
      <c r="BZ156" s="13" t="s">
        <v>3401</v>
      </c>
      <c r="CA156" s="13" t="s">
        <v>3186</v>
      </c>
      <c r="CB156" s="13" t="s">
        <v>2984</v>
      </c>
      <c r="CC156" s="13"/>
      <c r="CD156" s="13"/>
      <c r="CE156" s="198"/>
      <c r="CF156" s="198"/>
      <c r="CG156" s="272"/>
      <c r="CH156" s="272"/>
      <c r="CI156" s="198"/>
      <c r="CJ156" s="198"/>
      <c r="CK156" s="198"/>
      <c r="CL156" s="198"/>
    </row>
    <row r="157" spans="1:90">
      <c r="A157" s="186">
        <v>152</v>
      </c>
      <c r="B157" s="190" t="s">
        <v>2486</v>
      </c>
      <c r="C157" s="190" t="s">
        <v>2487</v>
      </c>
      <c r="D157" s="190" t="s">
        <v>135</v>
      </c>
      <c r="E157" s="8" t="e">
        <f ca="1">+_xlfn.CONCAT(G157,"-",B157,"_",C157,"_",_xlfn.XLOOKUP(BP157,Account!M:M,Account!N:N))</f>
        <v>#NAME?</v>
      </c>
      <c r="F157" s="12">
        <v>45889</v>
      </c>
      <c r="G157" s="157" t="s">
        <v>2027</v>
      </c>
      <c r="H157" s="190" t="s">
        <v>3393</v>
      </c>
      <c r="I157" s="10" t="s">
        <v>2028</v>
      </c>
      <c r="J157" s="190">
        <v>11</v>
      </c>
      <c r="K157" s="190" t="s">
        <v>2038</v>
      </c>
      <c r="L157" s="190" t="s">
        <v>1263</v>
      </c>
      <c r="M157" s="190" t="s">
        <v>3394</v>
      </c>
      <c r="N157" s="10" t="s">
        <v>3395</v>
      </c>
      <c r="O157" s="178" t="s">
        <v>3396</v>
      </c>
      <c r="P157" s="178" t="s">
        <v>3397</v>
      </c>
      <c r="Q157" s="327">
        <v>13032.3</v>
      </c>
      <c r="R157" s="190">
        <v>52</v>
      </c>
      <c r="S157" s="190" t="s">
        <v>2840</v>
      </c>
      <c r="T157" s="190" t="s">
        <v>2494</v>
      </c>
      <c r="U157" s="190" t="s">
        <v>2495</v>
      </c>
      <c r="V157" s="8" t="s">
        <v>1768</v>
      </c>
      <c r="W157" s="10"/>
      <c r="X157" s="9"/>
      <c r="Y157" s="172" t="s">
        <v>2432</v>
      </c>
      <c r="Z157" s="172">
        <v>46153</v>
      </c>
      <c r="AA157" s="172">
        <v>46159</v>
      </c>
      <c r="AB157" s="143" t="str">
        <f t="shared" ca="1" si="20"/>
        <v>Expired</v>
      </c>
      <c r="AC157" s="13"/>
      <c r="AD157" s="12">
        <v>46154</v>
      </c>
      <c r="AE157" s="12">
        <v>46164</v>
      </c>
      <c r="AF157" s="12">
        <v>46251</v>
      </c>
      <c r="AG157" s="12"/>
      <c r="AH157" s="11"/>
      <c r="AI157" s="11"/>
      <c r="AJ157" s="11"/>
      <c r="AK157" s="11"/>
      <c r="AL157" s="11"/>
      <c r="AM157" s="11"/>
      <c r="AN157" s="11"/>
      <c r="AO157" s="11" t="str">
        <f>+IF(AM157&lt;&gt;"","ATP App MS",IF(AL157&lt;&gt;"","OA/RFS",IF(AK157&lt;&gt;"","Install",IF(AH157&lt;&gt;"","Dismantle Perangkat",IF(AF157="Drop","Drop",IF(AE157&lt;&gt;"","Survey Report",IF(AD157&lt;&gt;"","Survey","NY Survey")))))))</f>
        <v>Survey Report</v>
      </c>
      <c r="AP157" s="173"/>
      <c r="AQ157" s="12">
        <v>46227</v>
      </c>
      <c r="AR157" s="12"/>
      <c r="AS157" s="12">
        <v>46230</v>
      </c>
      <c r="AT157" s="12"/>
      <c r="AU157" s="12"/>
      <c r="AV157" s="12"/>
      <c r="AW157" s="11" t="str">
        <f t="shared" si="21"/>
        <v>Engineering Structural Manager App</v>
      </c>
      <c r="AX157" s="12"/>
      <c r="AY157" s="12"/>
      <c r="AZ157" s="12"/>
      <c r="BA157" s="12" t="s">
        <v>1754</v>
      </c>
      <c r="BB157" s="12"/>
      <c r="BC157" s="12"/>
      <c r="BD157" s="11" t="str">
        <f t="shared" si="22"/>
        <v>need DRM</v>
      </c>
      <c r="BE157" s="281" t="s">
        <v>3398</v>
      </c>
      <c r="BF157" s="12"/>
      <c r="BG157" s="12"/>
      <c r="BH157" s="10"/>
      <c r="BI157" s="12"/>
      <c r="BJ157" s="12"/>
      <c r="BK157" s="174"/>
      <c r="BL157" s="12" t="str">
        <f t="shared" si="23"/>
        <v>NY Submit</v>
      </c>
      <c r="BM157" s="12" t="str">
        <f t="shared" si="24"/>
        <v>NY Submit</v>
      </c>
      <c r="BN157" s="12"/>
      <c r="BO157" s="12"/>
      <c r="BP157" s="155" t="s">
        <v>1768</v>
      </c>
      <c r="BQ157" s="12" t="s">
        <v>3106</v>
      </c>
      <c r="BR157" s="12"/>
      <c r="BS157" s="143">
        <f t="shared" ca="1" si="25"/>
        <v>0</v>
      </c>
      <c r="BT157" s="176"/>
      <c r="BU157" s="12"/>
      <c r="BV157" s="143">
        <f t="shared" ca="1" si="26"/>
        <v>0</v>
      </c>
      <c r="BW157" s="12"/>
      <c r="BX157" s="12"/>
      <c r="BY157" s="143"/>
      <c r="BZ157" s="13" t="s">
        <v>3401</v>
      </c>
      <c r="CA157" s="13" t="s">
        <v>3186</v>
      </c>
      <c r="CB157" s="13" t="s">
        <v>2984</v>
      </c>
      <c r="CC157" s="13"/>
      <c r="CD157" s="13"/>
      <c r="CE157" s="198"/>
      <c r="CF157" s="198"/>
      <c r="CG157" s="272"/>
      <c r="CH157" s="272"/>
      <c r="CI157" s="198"/>
      <c r="CJ157" s="198"/>
      <c r="CK157" s="198"/>
      <c r="CL157" s="198"/>
    </row>
    <row r="158" spans="1:90">
      <c r="A158" s="187">
        <v>153</v>
      </c>
      <c r="B158" s="190" t="s">
        <v>2486</v>
      </c>
      <c r="C158" s="190" t="s">
        <v>2487</v>
      </c>
      <c r="D158" s="190" t="s">
        <v>135</v>
      </c>
      <c r="E158" s="8" t="e">
        <f ca="1">+_xlfn.CONCAT(G158,"-",B158,"_",C158,"_",_xlfn.XLOOKUP(BP158,Account!M:M,Account!N:N))</f>
        <v>#NAME?</v>
      </c>
      <c r="F158" s="12">
        <v>45897</v>
      </c>
      <c r="G158" s="190" t="s">
        <v>2199</v>
      </c>
      <c r="H158" s="190" t="s">
        <v>3402</v>
      </c>
      <c r="I158" s="10" t="s">
        <v>2200</v>
      </c>
      <c r="J158" s="190">
        <v>11</v>
      </c>
      <c r="K158" s="190" t="s">
        <v>2038</v>
      </c>
      <c r="L158" s="190" t="s">
        <v>1263</v>
      </c>
      <c r="M158" s="190" t="s">
        <v>3403</v>
      </c>
      <c r="N158" s="10" t="s">
        <v>3404</v>
      </c>
      <c r="O158" s="178" t="s">
        <v>3405</v>
      </c>
      <c r="P158" s="178" t="s">
        <v>3406</v>
      </c>
      <c r="Q158" s="327">
        <v>322.3845</v>
      </c>
      <c r="R158" s="190"/>
      <c r="S158" s="190"/>
      <c r="T158" s="190" t="s">
        <v>2494</v>
      </c>
      <c r="U158" s="190" t="s">
        <v>3407</v>
      </c>
      <c r="V158" s="8" t="s">
        <v>2011</v>
      </c>
      <c r="W158" s="10"/>
      <c r="X158" s="9"/>
      <c r="Y158" s="172"/>
      <c r="Z158" s="172"/>
      <c r="AA158" s="172"/>
      <c r="AB158" s="143" t="str">
        <f t="shared" ca="1" si="20"/>
        <v>NY Submit</v>
      </c>
      <c r="AC158" s="13"/>
      <c r="AD158" s="12">
        <v>45899</v>
      </c>
      <c r="AE158" s="12"/>
      <c r="AF158" s="12"/>
      <c r="AG158" s="12"/>
      <c r="AH158" s="11">
        <v>45916</v>
      </c>
      <c r="AI158" s="11"/>
      <c r="AJ158" s="11"/>
      <c r="AK158" s="11"/>
      <c r="AL158" s="11"/>
      <c r="AM158" s="11">
        <v>45918</v>
      </c>
      <c r="AN158" s="11"/>
      <c r="AO158" s="11" t="str">
        <f>+IF(AM158&lt;&gt;"","ATP App MS",IF(AJ158&lt;&gt;"","Inbound",IF(AH158&lt;&gt;"","Dismantle Perangkat",IF(AF158="Drop","Drop",IF(AE158&lt;&gt;"","Survey Report",IF(AD158&lt;&gt;"","Survey","NY Survey"))))))</f>
        <v>ATP App MS</v>
      </c>
      <c r="AP158" s="173"/>
      <c r="AQ158" s="12">
        <v>45902</v>
      </c>
      <c r="AR158" s="12">
        <v>45939</v>
      </c>
      <c r="AS158" s="12"/>
      <c r="AT158" s="12"/>
      <c r="AU158" s="12">
        <v>45967</v>
      </c>
      <c r="AV158" s="12">
        <v>45967</v>
      </c>
      <c r="AW158" s="11" t="str">
        <f t="shared" si="21"/>
        <v>1st BOQ App on ISAAC</v>
      </c>
      <c r="AX158" s="12"/>
      <c r="AY158" s="12"/>
      <c r="AZ158" s="12"/>
      <c r="BA158" s="12"/>
      <c r="BB158" s="12"/>
      <c r="BC158" s="12"/>
      <c r="BD158" s="11" t="str">
        <f t="shared" si="22"/>
        <v>NY Submit</v>
      </c>
      <c r="BE158" s="174"/>
      <c r="BF158" s="12"/>
      <c r="BG158" s="12"/>
      <c r="BH158" s="10" t="s">
        <v>3408</v>
      </c>
      <c r="BI158" s="12"/>
      <c r="BJ158" s="12"/>
      <c r="BK158" s="174"/>
      <c r="BL158" s="12" t="str">
        <f t="shared" si="23"/>
        <v>NY Submit</v>
      </c>
      <c r="BM158" s="12" t="str">
        <f t="shared" si="24"/>
        <v>NY Submit</v>
      </c>
      <c r="BN158" s="11">
        <v>45918</v>
      </c>
      <c r="BO158" s="12">
        <v>45933</v>
      </c>
      <c r="BP158" s="155" t="s">
        <v>2011</v>
      </c>
      <c r="BQ158" s="12" t="s">
        <v>2718</v>
      </c>
      <c r="BR158" s="12">
        <v>46007</v>
      </c>
      <c r="BS158" s="143">
        <f t="shared" ca="1" si="25"/>
        <v>40</v>
      </c>
      <c r="BT158" s="176"/>
      <c r="BU158" s="12"/>
      <c r="BV158" s="143">
        <f t="shared" ca="1" si="26"/>
        <v>0</v>
      </c>
      <c r="BW158" s="12"/>
      <c r="BX158" s="12"/>
      <c r="BY158" s="143"/>
      <c r="BZ158" s="13" t="s">
        <v>2500</v>
      </c>
      <c r="CA158" s="13" t="s">
        <v>2984</v>
      </c>
      <c r="CB158" s="13"/>
      <c r="CC158" s="13"/>
      <c r="CD158" s="13"/>
      <c r="CE158" s="198"/>
      <c r="CF158" s="198"/>
      <c r="CG158" s="273" t="s">
        <v>3409</v>
      </c>
      <c r="CH158" s="273" t="s">
        <v>3410</v>
      </c>
      <c r="CI158" s="198"/>
      <c r="CJ158" s="198"/>
      <c r="CK158" s="198"/>
      <c r="CL158" s="198"/>
    </row>
    <row r="159" spans="1:90">
      <c r="A159" s="187">
        <v>154</v>
      </c>
      <c r="B159" s="190" t="s">
        <v>2486</v>
      </c>
      <c r="C159" s="190" t="s">
        <v>2487</v>
      </c>
      <c r="D159" s="190" t="s">
        <v>135</v>
      </c>
      <c r="E159" s="8" t="e">
        <f ca="1">+_xlfn.CONCAT(G159,"-",B159,"_",C159,"_",_xlfn.XLOOKUP(BP159,Account!M:M,Account!N:N))</f>
        <v>#NAME?</v>
      </c>
      <c r="F159" s="12">
        <v>45897</v>
      </c>
      <c r="G159" s="190" t="s">
        <v>2199</v>
      </c>
      <c r="H159" s="190" t="s">
        <v>3402</v>
      </c>
      <c r="I159" s="10" t="s">
        <v>2200</v>
      </c>
      <c r="J159" s="190">
        <v>11</v>
      </c>
      <c r="K159" s="190" t="s">
        <v>2038</v>
      </c>
      <c r="L159" s="190" t="s">
        <v>1263</v>
      </c>
      <c r="M159" s="190" t="s">
        <v>3403</v>
      </c>
      <c r="N159" s="10" t="s">
        <v>3404</v>
      </c>
      <c r="O159" s="178" t="s">
        <v>3405</v>
      </c>
      <c r="P159" s="178" t="s">
        <v>3406</v>
      </c>
      <c r="Q159" s="327">
        <v>322.3845</v>
      </c>
      <c r="R159" s="190"/>
      <c r="S159" s="190"/>
      <c r="T159" s="190" t="s">
        <v>2494</v>
      </c>
      <c r="U159" s="190" t="s">
        <v>3407</v>
      </c>
      <c r="V159" s="8" t="s">
        <v>1768</v>
      </c>
      <c r="W159" s="10" t="s">
        <v>2556</v>
      </c>
      <c r="X159" s="9"/>
      <c r="Y159" s="172"/>
      <c r="Z159" s="172"/>
      <c r="AA159" s="172"/>
      <c r="AB159" s="143" t="str">
        <f t="shared" ca="1" si="20"/>
        <v>NY Submit</v>
      </c>
      <c r="AC159" s="13"/>
      <c r="AD159" s="12">
        <v>45899</v>
      </c>
      <c r="AE159" s="12"/>
      <c r="AF159" s="12"/>
      <c r="AG159" s="12"/>
      <c r="AH159" s="11"/>
      <c r="AI159" s="11"/>
      <c r="AJ159" s="11"/>
      <c r="AK159" s="11">
        <v>45917</v>
      </c>
      <c r="AL159" s="11">
        <v>45917</v>
      </c>
      <c r="AM159" s="11">
        <v>45918</v>
      </c>
      <c r="AN159" s="11"/>
      <c r="AO159" s="11" t="str">
        <f>+IF(AM159&lt;&gt;"","ATP App MS",IF(AL159&lt;&gt;"","OA/RFS",IF(AK159&lt;&gt;"","Install",IF(AH159&lt;&gt;"","Dismantle Perangkat",IF(AF159="Drop","Drop",IF(AE159&lt;&gt;"","Survey Report",IF(AD159&lt;&gt;"","Survey","NY Survey")))))))</f>
        <v>ATP App MS</v>
      </c>
      <c r="AP159" s="173"/>
      <c r="AQ159" s="12">
        <v>45902</v>
      </c>
      <c r="AR159" s="12">
        <v>45939</v>
      </c>
      <c r="AS159" s="12"/>
      <c r="AT159" s="12">
        <v>45965</v>
      </c>
      <c r="AU159" s="12">
        <v>45967</v>
      </c>
      <c r="AV159" s="12">
        <v>45967</v>
      </c>
      <c r="AW159" s="11" t="str">
        <f t="shared" si="21"/>
        <v>1st BOQ App on ISAAC</v>
      </c>
      <c r="AX159" s="12"/>
      <c r="AY159" s="12"/>
      <c r="AZ159" s="12"/>
      <c r="BA159" s="12"/>
      <c r="BB159" s="12"/>
      <c r="BC159" s="12"/>
      <c r="BD159" s="11" t="str">
        <f t="shared" si="22"/>
        <v>NY Submit</v>
      </c>
      <c r="BE159" s="174" t="s">
        <v>3308</v>
      </c>
      <c r="BF159" s="12"/>
      <c r="BG159" s="12"/>
      <c r="BH159" s="10" t="s">
        <v>3408</v>
      </c>
      <c r="BI159" s="12"/>
      <c r="BJ159" s="12"/>
      <c r="BK159" s="174"/>
      <c r="BL159" s="12" t="str">
        <f t="shared" si="23"/>
        <v>NY Submit</v>
      </c>
      <c r="BM159" s="12" t="str">
        <f t="shared" si="24"/>
        <v>NY Submit</v>
      </c>
      <c r="BN159" s="11">
        <v>45918</v>
      </c>
      <c r="BO159" s="12">
        <v>45933</v>
      </c>
      <c r="BP159" s="155" t="s">
        <v>1768</v>
      </c>
      <c r="BQ159" s="12" t="s">
        <v>3411</v>
      </c>
      <c r="BR159" s="12">
        <v>46007</v>
      </c>
      <c r="BS159" s="143">
        <f t="shared" ca="1" si="25"/>
        <v>40</v>
      </c>
      <c r="BT159" s="176"/>
      <c r="BU159" s="12"/>
      <c r="BV159" s="143">
        <f t="shared" ca="1" si="26"/>
        <v>0</v>
      </c>
      <c r="BW159" s="12"/>
      <c r="BX159" s="12"/>
      <c r="BY159" s="143"/>
      <c r="BZ159" s="13" t="s">
        <v>2500</v>
      </c>
      <c r="CA159" s="13" t="s">
        <v>2984</v>
      </c>
      <c r="CB159" s="13"/>
      <c r="CC159" s="13"/>
      <c r="CD159" s="13"/>
      <c r="CE159" s="198"/>
      <c r="CF159" s="198"/>
      <c r="CG159" s="273" t="s">
        <v>3409</v>
      </c>
      <c r="CH159" s="273" t="s">
        <v>3410</v>
      </c>
      <c r="CI159" s="198"/>
      <c r="CJ159" s="198"/>
      <c r="CK159" s="198"/>
      <c r="CL159" s="198"/>
    </row>
    <row r="160" spans="1:90">
      <c r="A160" s="187">
        <v>155</v>
      </c>
      <c r="B160" s="190" t="s">
        <v>2486</v>
      </c>
      <c r="C160" s="190" t="s">
        <v>2487</v>
      </c>
      <c r="D160" s="190" t="s">
        <v>135</v>
      </c>
      <c r="E160" s="8" t="e">
        <f ca="1">+_xlfn.CONCAT(G160,"-",B160,"_",C160,"_",_xlfn.XLOOKUP(BP160,Account!M:M,Account!N:N))</f>
        <v>#NAME?</v>
      </c>
      <c r="F160" s="12">
        <v>45903</v>
      </c>
      <c r="G160" s="190" t="s">
        <v>3412</v>
      </c>
      <c r="H160" s="190" t="s">
        <v>3413</v>
      </c>
      <c r="I160" s="10" t="s">
        <v>3414</v>
      </c>
      <c r="J160" s="190">
        <v>13</v>
      </c>
      <c r="K160" s="190" t="s">
        <v>2038</v>
      </c>
      <c r="L160" s="190" t="s">
        <v>1279</v>
      </c>
      <c r="M160" s="190" t="s">
        <v>2884</v>
      </c>
      <c r="N160" s="10" t="s">
        <v>3415</v>
      </c>
      <c r="O160" s="178" t="s">
        <v>3416</v>
      </c>
      <c r="P160" s="178" t="s">
        <v>3417</v>
      </c>
      <c r="Q160" s="327">
        <v>5987.15</v>
      </c>
      <c r="R160" s="190">
        <v>30</v>
      </c>
      <c r="S160" s="190"/>
      <c r="T160" s="190" t="s">
        <v>2494</v>
      </c>
      <c r="U160" s="190" t="s">
        <v>2495</v>
      </c>
      <c r="V160" s="8" t="s">
        <v>1760</v>
      </c>
      <c r="W160" s="10"/>
      <c r="X160" s="9"/>
      <c r="Y160" s="172" t="s">
        <v>2432</v>
      </c>
      <c r="Z160" s="172"/>
      <c r="AA160" s="172"/>
      <c r="AB160" s="143" t="str">
        <f t="shared" ca="1" si="20"/>
        <v>NY Submit</v>
      </c>
      <c r="AC160" s="13"/>
      <c r="AD160" s="12">
        <v>45903</v>
      </c>
      <c r="AE160" s="12">
        <v>45915</v>
      </c>
      <c r="AF160" s="12"/>
      <c r="AG160" s="12">
        <v>45929</v>
      </c>
      <c r="AH160" s="11"/>
      <c r="AI160" s="11">
        <v>45940</v>
      </c>
      <c r="AJ160" s="11"/>
      <c r="AK160" s="11"/>
      <c r="AL160" s="11"/>
      <c r="AM160" s="11">
        <v>45941</v>
      </c>
      <c r="AN160" s="11">
        <v>45941</v>
      </c>
      <c r="AO160" s="11" t="str">
        <f>+IF(AN160&lt;&gt;"","BAST",IF(AI160&lt;&gt;"","Dismantle",IF(AG160&lt;&gt;"","RFD App",IF(AF160="Drop","Drop",IF(AE160&lt;&gt;"","Survey Report",IF(AD160&lt;&gt;"","Survey","NY Survey"))))))</f>
        <v>BAST</v>
      </c>
      <c r="AP160" s="173"/>
      <c r="AQ160" s="12">
        <v>45939</v>
      </c>
      <c r="AR160" s="12">
        <v>46048</v>
      </c>
      <c r="AS160" s="12">
        <v>45940</v>
      </c>
      <c r="AT160" s="12"/>
      <c r="AU160" s="12">
        <v>46049</v>
      </c>
      <c r="AV160" s="12">
        <v>46049</v>
      </c>
      <c r="AW160" s="11" t="str">
        <f t="shared" si="21"/>
        <v>1st BOQ App on ISAAC</v>
      </c>
      <c r="AX160" s="12"/>
      <c r="AY160" s="12"/>
      <c r="AZ160" s="12"/>
      <c r="BA160" s="12"/>
      <c r="BB160" s="12"/>
      <c r="BC160" s="12"/>
      <c r="BD160" s="11" t="str">
        <f t="shared" si="22"/>
        <v>NY Submit</v>
      </c>
      <c r="BE160" s="174"/>
      <c r="BF160" s="12">
        <v>45915</v>
      </c>
      <c r="BG160" s="12">
        <v>45916</v>
      </c>
      <c r="BH160" s="10" t="s">
        <v>3418</v>
      </c>
      <c r="BI160" s="12">
        <v>45915</v>
      </c>
      <c r="BJ160" s="12">
        <v>45916</v>
      </c>
      <c r="BK160" s="200" t="s">
        <v>3419</v>
      </c>
      <c r="BL160" s="12" t="str">
        <f t="shared" si="23"/>
        <v>Approved</v>
      </c>
      <c r="BM160" s="12" t="str">
        <f t="shared" si="24"/>
        <v>Approved</v>
      </c>
      <c r="BN160" s="12">
        <v>45943</v>
      </c>
      <c r="BO160" s="12">
        <v>45947</v>
      </c>
      <c r="BP160" s="155" t="s">
        <v>1760</v>
      </c>
      <c r="BQ160" s="12" t="s">
        <v>3420</v>
      </c>
      <c r="BR160" s="12">
        <v>46059</v>
      </c>
      <c r="BS160" s="143">
        <f t="shared" ca="1" si="25"/>
        <v>10</v>
      </c>
      <c r="BT160" s="176"/>
      <c r="BU160" s="12"/>
      <c r="BV160" s="143">
        <f t="shared" ca="1" si="26"/>
        <v>0</v>
      </c>
      <c r="BW160" s="12"/>
      <c r="BX160" s="12"/>
      <c r="BY160" s="143"/>
      <c r="BZ160" s="13" t="s">
        <v>2500</v>
      </c>
      <c r="CA160" s="13"/>
      <c r="CB160" s="13"/>
      <c r="CC160" s="13"/>
      <c r="CD160" s="13"/>
      <c r="CE160" s="198"/>
      <c r="CF160" s="198"/>
      <c r="CG160" s="272"/>
      <c r="CH160" s="272"/>
      <c r="CI160" s="198"/>
      <c r="CJ160" s="198"/>
      <c r="CK160" s="198"/>
      <c r="CL160" s="198"/>
    </row>
    <row r="161" spans="1:90" ht="30" customHeight="1">
      <c r="A161" s="187">
        <v>156</v>
      </c>
      <c r="B161" s="190" t="s">
        <v>2486</v>
      </c>
      <c r="C161" s="190" t="s">
        <v>2487</v>
      </c>
      <c r="D161" s="190" t="s">
        <v>135</v>
      </c>
      <c r="E161" s="8" t="e">
        <f ca="1">+_xlfn.CONCAT(G161,"-",B161,"_",C161,"_",_xlfn.XLOOKUP(BP161,Account!M:M,Account!N:N))</f>
        <v>#NAME?</v>
      </c>
      <c r="F161" s="12">
        <v>45735</v>
      </c>
      <c r="G161" s="190" t="s">
        <v>2096</v>
      </c>
      <c r="H161" s="190" t="s">
        <v>2835</v>
      </c>
      <c r="I161" s="10" t="s">
        <v>2097</v>
      </c>
      <c r="J161" s="190">
        <v>15</v>
      </c>
      <c r="K161" s="190" t="s">
        <v>2038</v>
      </c>
      <c r="L161" s="190" t="s">
        <v>1279</v>
      </c>
      <c r="M161" s="190" t="s">
        <v>2836</v>
      </c>
      <c r="N161" s="10" t="s">
        <v>2837</v>
      </c>
      <c r="O161" s="178" t="s">
        <v>2838</v>
      </c>
      <c r="P161" s="178" t="s">
        <v>2839</v>
      </c>
      <c r="Q161" s="327">
        <v>18868.810000000001</v>
      </c>
      <c r="R161" s="190">
        <v>70</v>
      </c>
      <c r="S161" s="190" t="s">
        <v>404</v>
      </c>
      <c r="T161" s="190" t="s">
        <v>2494</v>
      </c>
      <c r="U161" s="190" t="s">
        <v>2495</v>
      </c>
      <c r="V161" s="8" t="s">
        <v>3421</v>
      </c>
      <c r="W161" s="10"/>
      <c r="X161" s="9"/>
      <c r="Y161" s="172"/>
      <c r="Z161" s="172"/>
      <c r="AA161" s="172"/>
      <c r="AB161" s="143" t="str">
        <f t="shared" ca="1" si="20"/>
        <v>NY Submit</v>
      </c>
      <c r="AC161" s="13"/>
      <c r="AD161" s="12">
        <v>45909</v>
      </c>
      <c r="AE161" s="12">
        <v>45909</v>
      </c>
      <c r="AF161" s="12"/>
      <c r="AG161" s="12"/>
      <c r="AH161" s="11"/>
      <c r="AI161" s="11"/>
      <c r="AJ161" s="11"/>
      <c r="AK161" s="11"/>
      <c r="AL161" s="11"/>
      <c r="AM161" s="11">
        <v>45912</v>
      </c>
      <c r="AN161" s="11"/>
      <c r="AO161" s="11" t="str">
        <f>+IF(AM161&lt;&gt;"","Survey LOS App",IF(AF161="Drop","Drop",IF(AE161&lt;&gt;"","Survey Report",IF(AD161&lt;&gt;"","Survey","NY Survey"))))</f>
        <v>Survey LOS App</v>
      </c>
      <c r="AP161" s="173"/>
      <c r="AQ161" s="12"/>
      <c r="AR161" s="12"/>
      <c r="AS161" s="12"/>
      <c r="AT161" s="12"/>
      <c r="AU161" s="12"/>
      <c r="AV161" s="12"/>
      <c r="AW161" s="11" t="str">
        <f t="shared" si="21"/>
        <v>NY Submit</v>
      </c>
      <c r="AX161" s="12"/>
      <c r="AY161" s="12"/>
      <c r="AZ161" s="12"/>
      <c r="BA161" s="12"/>
      <c r="BB161" s="12"/>
      <c r="BC161" s="12"/>
      <c r="BD161" s="11" t="str">
        <f t="shared" si="22"/>
        <v>NY Submit</v>
      </c>
      <c r="BE161" s="174"/>
      <c r="BF161" s="12"/>
      <c r="BG161" s="12"/>
      <c r="BH161" s="10" t="s">
        <v>2842</v>
      </c>
      <c r="BI161" s="12"/>
      <c r="BJ161" s="12"/>
      <c r="BK161" s="174"/>
      <c r="BL161" s="12" t="str">
        <f t="shared" si="23"/>
        <v>NY Submit</v>
      </c>
      <c r="BM161" s="12" t="str">
        <f t="shared" si="24"/>
        <v>NY Submit</v>
      </c>
      <c r="BN161" s="12"/>
      <c r="BO161" s="12"/>
      <c r="BP161" s="155" t="s">
        <v>2507</v>
      </c>
      <c r="BQ161" s="12" t="s">
        <v>3318</v>
      </c>
      <c r="BR161" s="12">
        <v>45944</v>
      </c>
      <c r="BS161" s="143">
        <f t="shared" ca="1" si="25"/>
        <v>0</v>
      </c>
      <c r="BT161" s="176"/>
      <c r="BU161" s="12"/>
      <c r="BV161" s="143">
        <f t="shared" ca="1" si="26"/>
        <v>0</v>
      </c>
      <c r="BW161" s="12"/>
      <c r="BX161" s="12"/>
      <c r="BY161" s="143"/>
      <c r="BZ161" s="13" t="s">
        <v>3262</v>
      </c>
      <c r="CA161" s="13" t="s">
        <v>3263</v>
      </c>
      <c r="CB161" s="13" t="s">
        <v>2984</v>
      </c>
      <c r="CC161" s="13"/>
      <c r="CD161" s="13"/>
      <c r="CE161" s="198" t="s">
        <v>3422</v>
      </c>
      <c r="CF161" s="198" t="s">
        <v>3423</v>
      </c>
      <c r="CG161" s="273" t="s">
        <v>3424</v>
      </c>
      <c r="CH161" s="273" t="s">
        <v>3425</v>
      </c>
      <c r="CI161" s="198"/>
      <c r="CJ161" s="198"/>
      <c r="CK161" s="198"/>
      <c r="CL161" s="198"/>
    </row>
    <row r="162" spans="1:90" ht="30" customHeight="1">
      <c r="A162" s="187">
        <v>157</v>
      </c>
      <c r="B162" s="190" t="s">
        <v>2486</v>
      </c>
      <c r="C162" s="190" t="s">
        <v>2487</v>
      </c>
      <c r="D162" s="190" t="s">
        <v>135</v>
      </c>
      <c r="E162" s="8" t="e">
        <f ca="1">+_xlfn.CONCAT(G162,"-",B162,"_",C162,"_",_xlfn.XLOOKUP(BP162,Account!M:M,Account!N:N))</f>
        <v>#NAME?</v>
      </c>
      <c r="F162" s="12">
        <v>45908</v>
      </c>
      <c r="G162" s="190" t="s">
        <v>3426</v>
      </c>
      <c r="H162" s="190" t="s">
        <v>3427</v>
      </c>
      <c r="I162" s="10" t="s">
        <v>3428</v>
      </c>
      <c r="J162" s="190">
        <v>15</v>
      </c>
      <c r="K162" s="190" t="s">
        <v>2038</v>
      </c>
      <c r="L162" s="190" t="s">
        <v>1279</v>
      </c>
      <c r="M162" s="190" t="s">
        <v>2884</v>
      </c>
      <c r="N162" s="10" t="s">
        <v>3429</v>
      </c>
      <c r="O162" s="178" t="s">
        <v>3430</v>
      </c>
      <c r="P162" s="178" t="s">
        <v>3431</v>
      </c>
      <c r="Q162" s="327">
        <v>24838.144</v>
      </c>
      <c r="R162" s="190">
        <v>120</v>
      </c>
      <c r="S162" s="190" t="s">
        <v>68</v>
      </c>
      <c r="T162" s="190" t="s">
        <v>2494</v>
      </c>
      <c r="U162" s="190" t="s">
        <v>2495</v>
      </c>
      <c r="V162" s="8" t="s">
        <v>3432</v>
      </c>
      <c r="W162" s="10" t="s">
        <v>3433</v>
      </c>
      <c r="X162" s="15" t="s">
        <v>3434</v>
      </c>
      <c r="Y162" s="172" t="s">
        <v>1760</v>
      </c>
      <c r="Z162" s="172">
        <v>46035</v>
      </c>
      <c r="AA162" s="172">
        <v>46042</v>
      </c>
      <c r="AB162" s="143" t="str">
        <f t="shared" ca="1" si="20"/>
        <v>Expired</v>
      </c>
      <c r="AC162" s="13"/>
      <c r="AD162" s="12">
        <v>45891</v>
      </c>
      <c r="AE162" s="12">
        <v>45915</v>
      </c>
      <c r="AF162" s="12"/>
      <c r="AG162" s="12"/>
      <c r="AH162" s="11"/>
      <c r="AI162" s="11">
        <v>46146</v>
      </c>
      <c r="AJ162" s="11"/>
      <c r="AK162" s="11"/>
      <c r="AL162" s="11"/>
      <c r="AM162" s="11"/>
      <c r="AN162" s="11">
        <v>46146</v>
      </c>
      <c r="AO162" s="11" t="str">
        <f>+IF(AN162&lt;&gt;"","BAST",IF(AI162&lt;&gt;"","Dismantle",IF(AG162&lt;&gt;"","RFD App",IF(AF162="Drop","Drop",IF(AE162&lt;&gt;"","Survey Report",IF(AD162&lt;&gt;"","Survey","NY Survey"))))))</f>
        <v>BAST</v>
      </c>
      <c r="AP162" s="185" t="s">
        <v>3435</v>
      </c>
      <c r="AQ162" s="12">
        <v>45909</v>
      </c>
      <c r="AR162" s="12"/>
      <c r="AS162" s="12"/>
      <c r="AT162" s="12">
        <v>45910</v>
      </c>
      <c r="AU162" s="12">
        <v>45931</v>
      </c>
      <c r="AV162" s="12"/>
      <c r="AW162" s="11" t="str">
        <f t="shared" si="21"/>
        <v>Upload 1st BOQ &amp; BAN Isaac</v>
      </c>
      <c r="AX162" s="12"/>
      <c r="AY162" s="12"/>
      <c r="AZ162" s="12"/>
      <c r="BA162" s="12"/>
      <c r="BB162" s="12"/>
      <c r="BC162" s="12"/>
      <c r="BD162" s="11" t="str">
        <f t="shared" si="22"/>
        <v>NY Submit</v>
      </c>
      <c r="BE162" s="174"/>
      <c r="BF162" s="12">
        <v>45915</v>
      </c>
      <c r="BG162" s="12">
        <v>45916</v>
      </c>
      <c r="BH162" s="10" t="s">
        <v>3436</v>
      </c>
      <c r="BI162" s="12">
        <v>45915</v>
      </c>
      <c r="BJ162" s="12">
        <v>45916</v>
      </c>
      <c r="BK162" s="174" t="s">
        <v>3437</v>
      </c>
      <c r="BL162" s="12" t="str">
        <f t="shared" si="23"/>
        <v>Approved</v>
      </c>
      <c r="BM162" s="12" t="str">
        <f t="shared" si="24"/>
        <v>Approved</v>
      </c>
      <c r="BN162" s="12"/>
      <c r="BO162" s="12"/>
      <c r="BP162" s="155" t="s">
        <v>1760</v>
      </c>
      <c r="BQ162" s="12" t="s">
        <v>3438</v>
      </c>
      <c r="BR162" s="12">
        <v>45992</v>
      </c>
      <c r="BS162" s="143">
        <f t="shared" ca="1" si="25"/>
        <v>0</v>
      </c>
      <c r="BT162" s="176"/>
      <c r="BU162" s="12"/>
      <c r="BV162" s="143">
        <f t="shared" ca="1" si="26"/>
        <v>0</v>
      </c>
      <c r="BW162" s="12"/>
      <c r="BX162" s="12"/>
      <c r="BY162" s="143"/>
      <c r="BZ162" s="13" t="s">
        <v>2500</v>
      </c>
      <c r="CA162" s="13"/>
      <c r="CB162" s="13" t="s">
        <v>2984</v>
      </c>
      <c r="CC162" s="13"/>
      <c r="CD162" s="13"/>
      <c r="CE162" s="198"/>
      <c r="CF162" s="198"/>
      <c r="CG162" s="272"/>
      <c r="CH162" s="272"/>
      <c r="CI162" s="198"/>
      <c r="CJ162" s="198"/>
      <c r="CK162" s="198"/>
      <c r="CL162" s="198"/>
    </row>
    <row r="163" spans="1:90">
      <c r="A163" s="187">
        <v>158</v>
      </c>
      <c r="B163" s="190" t="s">
        <v>2486</v>
      </c>
      <c r="C163" s="190" t="s">
        <v>2487</v>
      </c>
      <c r="D163" s="190" t="s">
        <v>135</v>
      </c>
      <c r="E163" s="8" t="e">
        <f ca="1">+_xlfn.CONCAT(G163,"-",B163,"_",C163,"_",_xlfn.XLOOKUP(BP163,Account!M:M,Account!N:N))</f>
        <v>#NAME?</v>
      </c>
      <c r="F163" s="12">
        <v>45909</v>
      </c>
      <c r="G163" s="190" t="s">
        <v>1775</v>
      </c>
      <c r="H163" s="190" t="s">
        <v>3439</v>
      </c>
      <c r="I163" s="10" t="s">
        <v>1578</v>
      </c>
      <c r="J163" s="190">
        <v>11</v>
      </c>
      <c r="K163" s="190" t="s">
        <v>2038</v>
      </c>
      <c r="L163" s="190" t="s">
        <v>1263</v>
      </c>
      <c r="M163" s="190" t="s">
        <v>2514</v>
      </c>
      <c r="N163" s="10" t="s">
        <v>3440</v>
      </c>
      <c r="O163" s="178" t="s">
        <v>3441</v>
      </c>
      <c r="P163" s="178" t="s">
        <v>3442</v>
      </c>
      <c r="Q163" s="327">
        <v>773.94</v>
      </c>
      <c r="R163" s="190">
        <v>6</v>
      </c>
      <c r="S163" s="190"/>
      <c r="T163" s="190" t="s">
        <v>2518</v>
      </c>
      <c r="U163" s="190" t="s">
        <v>2565</v>
      </c>
      <c r="V163" s="8" t="s">
        <v>1760</v>
      </c>
      <c r="W163" s="10" t="s">
        <v>3443</v>
      </c>
      <c r="X163" s="9"/>
      <c r="Y163" s="172" t="s">
        <v>2496</v>
      </c>
      <c r="Z163" s="172">
        <v>45965</v>
      </c>
      <c r="AA163" s="172">
        <v>45971</v>
      </c>
      <c r="AB163" s="143" t="str">
        <f t="shared" ca="1" si="20"/>
        <v>Expired</v>
      </c>
      <c r="AC163" s="13"/>
      <c r="AD163" s="12">
        <v>45923</v>
      </c>
      <c r="AE163" s="12">
        <v>45924</v>
      </c>
      <c r="AF163" s="12"/>
      <c r="AG163" s="12"/>
      <c r="AH163" s="11"/>
      <c r="AI163" s="11">
        <v>45971</v>
      </c>
      <c r="AJ163" s="11"/>
      <c r="AK163" s="11"/>
      <c r="AL163" s="11"/>
      <c r="AM163" s="11"/>
      <c r="AN163" s="11">
        <v>45972</v>
      </c>
      <c r="AO163" s="11" t="str">
        <f>+IF(AN163&lt;&gt;"","BAST",IF(AI163&lt;&gt;"","Dismantle",IF(AG163&lt;&gt;"","RFD App",IF(AF163="Drop","Drop",IF(AE163&lt;&gt;"","Survey Report",IF(AD163&lt;&gt;"","Survey","NY Survey"))))))</f>
        <v>BAST</v>
      </c>
      <c r="AP163" s="173"/>
      <c r="AQ163" s="12">
        <v>45978</v>
      </c>
      <c r="AR163" s="12">
        <v>46000</v>
      </c>
      <c r="AS163" s="12">
        <v>45979</v>
      </c>
      <c r="AT163" s="12">
        <v>45663</v>
      </c>
      <c r="AU163" s="12">
        <v>46000</v>
      </c>
      <c r="AV163" s="12">
        <v>46034</v>
      </c>
      <c r="AW163" s="11" t="str">
        <f t="shared" si="21"/>
        <v>1st BOQ App on ISAAC</v>
      </c>
      <c r="AX163" s="12"/>
      <c r="AY163" s="12"/>
      <c r="AZ163" s="12"/>
      <c r="BA163" s="12"/>
      <c r="BB163" s="12"/>
      <c r="BC163" s="12"/>
      <c r="BD163" s="11" t="str">
        <f t="shared" si="22"/>
        <v>NY Submit</v>
      </c>
      <c r="BE163" s="174" t="s">
        <v>3444</v>
      </c>
      <c r="BF163" s="12">
        <v>45924</v>
      </c>
      <c r="BG163" s="12">
        <v>45926</v>
      </c>
      <c r="BH163" s="10" t="s">
        <v>3445</v>
      </c>
      <c r="BI163" s="12">
        <v>45924</v>
      </c>
      <c r="BJ163" s="12">
        <v>45929</v>
      </c>
      <c r="BK163" s="174" t="s">
        <v>3446</v>
      </c>
      <c r="BL163" s="12" t="str">
        <f t="shared" si="23"/>
        <v>Approved</v>
      </c>
      <c r="BM163" s="12" t="str">
        <f t="shared" si="24"/>
        <v>Approved</v>
      </c>
      <c r="BN163" s="12">
        <v>45974</v>
      </c>
      <c r="BO163" s="12"/>
      <c r="BP163" s="190" t="s">
        <v>1760</v>
      </c>
      <c r="BQ163" s="12" t="s">
        <v>3447</v>
      </c>
      <c r="BR163" s="12">
        <v>46052</v>
      </c>
      <c r="BS163" s="143">
        <f t="shared" ca="1" si="25"/>
        <v>18</v>
      </c>
      <c r="BT163" s="176"/>
      <c r="BU163" s="12"/>
      <c r="BV163" s="143">
        <f t="shared" ca="1" si="26"/>
        <v>0</v>
      </c>
      <c r="BW163" s="12"/>
      <c r="BX163" s="12"/>
      <c r="BY163" s="143"/>
      <c r="BZ163" s="13" t="s">
        <v>3448</v>
      </c>
      <c r="CA163" s="13" t="s">
        <v>2555</v>
      </c>
      <c r="CB163" s="13" t="s">
        <v>2486</v>
      </c>
      <c r="CC163" s="13"/>
      <c r="CD163" s="13"/>
      <c r="CE163" s="198"/>
      <c r="CF163" s="198"/>
      <c r="CG163" s="272"/>
      <c r="CH163" s="272"/>
      <c r="CI163" s="198"/>
      <c r="CJ163" s="198"/>
      <c r="CK163" s="198"/>
      <c r="CL163" s="198"/>
    </row>
    <row r="164" spans="1:90">
      <c r="A164" s="187">
        <v>159</v>
      </c>
      <c r="B164" s="190" t="s">
        <v>2486</v>
      </c>
      <c r="C164" s="190" t="s">
        <v>2487</v>
      </c>
      <c r="D164" s="190" t="s">
        <v>135</v>
      </c>
      <c r="E164" s="8" t="e">
        <f ca="1">+_xlfn.CONCAT(G164,"-",B164,"_",C164,"_",_xlfn.XLOOKUP(BP164,Account!M:M,Account!N:N))</f>
        <v>#NAME?</v>
      </c>
      <c r="F164" s="12">
        <v>45909</v>
      </c>
      <c r="G164" s="190" t="s">
        <v>3449</v>
      </c>
      <c r="H164" s="190" t="s">
        <v>3450</v>
      </c>
      <c r="I164" s="10" t="s">
        <v>3451</v>
      </c>
      <c r="J164" s="190">
        <v>15</v>
      </c>
      <c r="K164" s="190" t="s">
        <v>2486</v>
      </c>
      <c r="L164" s="190" t="s">
        <v>1279</v>
      </c>
      <c r="M164" s="190" t="s">
        <v>2676</v>
      </c>
      <c r="N164" s="10" t="s">
        <v>3452</v>
      </c>
      <c r="O164" s="178" t="s">
        <v>3453</v>
      </c>
      <c r="P164" s="178" t="s">
        <v>3454</v>
      </c>
      <c r="Q164" s="327">
        <v>6159</v>
      </c>
      <c r="R164" s="190">
        <v>42</v>
      </c>
      <c r="S164" s="190"/>
      <c r="T164" s="190" t="s">
        <v>2494</v>
      </c>
      <c r="U164" s="190" t="s">
        <v>2495</v>
      </c>
      <c r="V164" s="8" t="s">
        <v>1760</v>
      </c>
      <c r="W164" s="10" t="s">
        <v>3455</v>
      </c>
      <c r="X164" s="9"/>
      <c r="Y164" s="172" t="s">
        <v>2432</v>
      </c>
      <c r="Z164" s="172"/>
      <c r="AA164" s="172"/>
      <c r="AB164" s="143" t="str">
        <f t="shared" ca="1" si="20"/>
        <v>NY Submit</v>
      </c>
      <c r="AC164" s="13"/>
      <c r="AD164" s="12">
        <v>45911</v>
      </c>
      <c r="AE164" s="12">
        <v>45912</v>
      </c>
      <c r="AF164" s="12"/>
      <c r="AG164" s="12">
        <v>45929</v>
      </c>
      <c r="AH164" s="11"/>
      <c r="AI164" s="11">
        <v>45943</v>
      </c>
      <c r="AJ164" s="11"/>
      <c r="AK164" s="11"/>
      <c r="AL164" s="11"/>
      <c r="AM164" s="11"/>
      <c r="AN164" s="11">
        <v>45943</v>
      </c>
      <c r="AO164" s="11" t="str">
        <f>+IF(AN164&lt;&gt;"","BAST",IF(AI164&lt;&gt;"","Dismantle",IF(AG164&lt;&gt;"","RFD App",IF(AF164="Drop","Drop",IF(AE164&lt;&gt;"","Survey Report",IF(AD164&lt;&gt;"","Survey","NY Survey"))))))</f>
        <v>BAST</v>
      </c>
      <c r="AP164" s="173"/>
      <c r="AQ164" s="12">
        <v>45939</v>
      </c>
      <c r="AR164" s="12">
        <v>45950</v>
      </c>
      <c r="AS164" s="12"/>
      <c r="AT164" s="12">
        <v>45989</v>
      </c>
      <c r="AU164" s="12">
        <v>45996</v>
      </c>
      <c r="AV164" s="12">
        <v>45996</v>
      </c>
      <c r="AW164" s="11" t="str">
        <f t="shared" si="21"/>
        <v>1st BOQ App on ISAAC</v>
      </c>
      <c r="AX164" s="12"/>
      <c r="AY164" s="12"/>
      <c r="AZ164" s="12"/>
      <c r="BA164" s="12"/>
      <c r="BB164" s="12"/>
      <c r="BC164" s="12"/>
      <c r="BD164" s="11" t="str">
        <f t="shared" si="22"/>
        <v>NY Submit</v>
      </c>
      <c r="BE164" s="174" t="s">
        <v>3456</v>
      </c>
      <c r="BF164" s="12">
        <v>45912</v>
      </c>
      <c r="BG164" s="12">
        <v>45912</v>
      </c>
      <c r="BH164" s="10" t="s">
        <v>3457</v>
      </c>
      <c r="BI164" s="12">
        <v>45915</v>
      </c>
      <c r="BJ164" s="12">
        <v>45917</v>
      </c>
      <c r="BK164" s="200" t="s">
        <v>3458</v>
      </c>
      <c r="BL164" s="12" t="str">
        <f t="shared" si="23"/>
        <v>Approved</v>
      </c>
      <c r="BM164" s="12" t="str">
        <f t="shared" si="24"/>
        <v>Approved</v>
      </c>
      <c r="BN164" s="12">
        <v>45944</v>
      </c>
      <c r="BO164" s="12">
        <v>45950</v>
      </c>
      <c r="BP164" s="190" t="s">
        <v>1760</v>
      </c>
      <c r="BQ164" s="12" t="s">
        <v>3459</v>
      </c>
      <c r="BR164" s="12">
        <v>46008</v>
      </c>
      <c r="BS164" s="143">
        <f t="shared" ca="1" si="25"/>
        <v>12</v>
      </c>
      <c r="BT164" s="176"/>
      <c r="BU164" s="12"/>
      <c r="BV164" s="143">
        <f t="shared" ca="1" si="26"/>
        <v>0</v>
      </c>
      <c r="BW164" s="12"/>
      <c r="BX164" s="12"/>
      <c r="BY164" s="143"/>
      <c r="BZ164" s="13" t="s">
        <v>3262</v>
      </c>
      <c r="CA164" s="13" t="s">
        <v>3263</v>
      </c>
      <c r="CB164" s="13" t="s">
        <v>2984</v>
      </c>
      <c r="CC164" s="13"/>
      <c r="CD164" s="13"/>
      <c r="CE164" s="198"/>
      <c r="CF164" s="198"/>
      <c r="CG164" s="272"/>
      <c r="CH164" s="272"/>
      <c r="CI164" s="198"/>
      <c r="CJ164" s="198"/>
      <c r="CK164" s="198"/>
      <c r="CL164" s="198"/>
    </row>
    <row r="165" spans="1:90">
      <c r="A165" s="187">
        <v>160</v>
      </c>
      <c r="B165" s="190" t="s">
        <v>2486</v>
      </c>
      <c r="C165" s="190" t="s">
        <v>2487</v>
      </c>
      <c r="D165" s="190" t="s">
        <v>135</v>
      </c>
      <c r="E165" s="8" t="e">
        <f ca="1">+_xlfn.CONCAT(G165,"-",B165,"_",C165,"_",_xlfn.XLOOKUP(BP165,Account!M:M,Account!N:N))</f>
        <v>#NAME?</v>
      </c>
      <c r="F165" s="12">
        <v>45909</v>
      </c>
      <c r="G165" s="190" t="s">
        <v>3460</v>
      </c>
      <c r="H165" s="190" t="s">
        <v>3461</v>
      </c>
      <c r="I165" s="10" t="s">
        <v>3462</v>
      </c>
      <c r="J165" s="190">
        <v>11</v>
      </c>
      <c r="K165" s="190" t="s">
        <v>2486</v>
      </c>
      <c r="L165" s="190" t="s">
        <v>1263</v>
      </c>
      <c r="M165" s="190" t="s">
        <v>3463</v>
      </c>
      <c r="N165" s="10" t="s">
        <v>3464</v>
      </c>
      <c r="O165" s="178" t="s">
        <v>3465</v>
      </c>
      <c r="P165" s="178" t="s">
        <v>3466</v>
      </c>
      <c r="Q165" s="327">
        <v>9996</v>
      </c>
      <c r="R165" s="190"/>
      <c r="S165" s="190"/>
      <c r="T165" s="190" t="s">
        <v>2494</v>
      </c>
      <c r="U165" s="190"/>
      <c r="V165" s="8" t="s">
        <v>1760</v>
      </c>
      <c r="W165" s="10" t="s">
        <v>3443</v>
      </c>
      <c r="X165" s="9"/>
      <c r="Y165" s="172" t="s">
        <v>2496</v>
      </c>
      <c r="Z165" s="172">
        <v>45958</v>
      </c>
      <c r="AA165" s="172">
        <v>45965</v>
      </c>
      <c r="AB165" s="143" t="str">
        <f t="shared" ca="1" si="20"/>
        <v>Expired</v>
      </c>
      <c r="AC165" s="13"/>
      <c r="AD165" s="12">
        <v>45925</v>
      </c>
      <c r="AE165" s="12">
        <v>45925</v>
      </c>
      <c r="AF165" s="12"/>
      <c r="AG165" s="12">
        <v>45938</v>
      </c>
      <c r="AH165" s="11"/>
      <c r="AI165" s="11">
        <v>45962</v>
      </c>
      <c r="AJ165" s="11"/>
      <c r="AK165" s="11"/>
      <c r="AL165" s="11"/>
      <c r="AM165" s="11">
        <v>45962</v>
      </c>
      <c r="AN165" s="11">
        <v>45962</v>
      </c>
      <c r="AO165" s="11" t="str">
        <f>+IF(AN165&lt;&gt;"","BAST",IF(AI165&lt;&gt;"","Dismantle",IF(AG165&lt;&gt;"","RFD App",IF(AF165="Drop","Drop",IF(AE165&lt;&gt;"","Survey Report",IF(AD165&lt;&gt;"","Survey","NY Survey"))))))</f>
        <v>BAST</v>
      </c>
      <c r="AP165" s="173" t="s">
        <v>3467</v>
      </c>
      <c r="AQ165" s="12">
        <v>45958</v>
      </c>
      <c r="AR165" s="12">
        <v>45973</v>
      </c>
      <c r="AS165" s="12">
        <v>45960</v>
      </c>
      <c r="AT165" s="12">
        <v>45989</v>
      </c>
      <c r="AU165" s="12">
        <v>45992</v>
      </c>
      <c r="AV165" s="12">
        <v>45996</v>
      </c>
      <c r="AW165" s="11" t="str">
        <f t="shared" si="21"/>
        <v>1st BOQ App on ISAAC</v>
      </c>
      <c r="AX165" s="12"/>
      <c r="AY165" s="12"/>
      <c r="AZ165" s="12"/>
      <c r="BA165" s="12"/>
      <c r="BB165" s="12"/>
      <c r="BC165" s="12"/>
      <c r="BD165" s="11" t="str">
        <f t="shared" si="22"/>
        <v>NY Submit</v>
      </c>
      <c r="BE165" s="174" t="s">
        <v>3468</v>
      </c>
      <c r="BF165" s="12">
        <v>45925</v>
      </c>
      <c r="BG165" s="12">
        <v>45926</v>
      </c>
      <c r="BH165" s="10" t="s">
        <v>3469</v>
      </c>
      <c r="BI165" s="12">
        <v>45925</v>
      </c>
      <c r="BJ165" s="12">
        <v>45929</v>
      </c>
      <c r="BK165" s="174" t="s">
        <v>3470</v>
      </c>
      <c r="BL165" s="12" t="str">
        <f t="shared" si="23"/>
        <v>Approved</v>
      </c>
      <c r="BM165" s="12" t="str">
        <f t="shared" si="24"/>
        <v>Approved</v>
      </c>
      <c r="BN165" s="12">
        <v>45966</v>
      </c>
      <c r="BO165" s="12">
        <v>45966</v>
      </c>
      <c r="BP165" s="190" t="s">
        <v>1760</v>
      </c>
      <c r="BQ165" s="12" t="s">
        <v>3471</v>
      </c>
      <c r="BR165" s="12">
        <v>46008</v>
      </c>
      <c r="BS165" s="143">
        <f t="shared" ca="1" si="25"/>
        <v>12</v>
      </c>
      <c r="BT165" s="176"/>
      <c r="BU165" s="12"/>
      <c r="BV165" s="143">
        <f t="shared" ca="1" si="26"/>
        <v>0</v>
      </c>
      <c r="BW165" s="12"/>
      <c r="BX165" s="12"/>
      <c r="BY165" s="143"/>
      <c r="BZ165" s="13" t="s">
        <v>3262</v>
      </c>
      <c r="CA165" s="13" t="s">
        <v>3263</v>
      </c>
      <c r="CB165" s="13" t="s">
        <v>2984</v>
      </c>
      <c r="CC165" s="13"/>
      <c r="CD165" s="13"/>
      <c r="CE165" s="198"/>
      <c r="CF165" s="198"/>
      <c r="CG165" s="272"/>
      <c r="CH165" s="272"/>
      <c r="CI165" s="198"/>
      <c r="CJ165" s="198"/>
      <c r="CK165" s="198"/>
      <c r="CL165" s="198"/>
    </row>
    <row r="166" spans="1:90" ht="30" customHeight="1">
      <c r="A166" s="187">
        <v>161</v>
      </c>
      <c r="B166" s="190" t="s">
        <v>2486</v>
      </c>
      <c r="C166" s="190" t="s">
        <v>2487</v>
      </c>
      <c r="D166" s="190" t="s">
        <v>135</v>
      </c>
      <c r="E166" s="8" t="e">
        <f ca="1">+_xlfn.CONCAT(G166,"-",B166,"_",C166,"_",_xlfn.XLOOKUP(BP166,Account!M:M,Account!N:N))</f>
        <v>#NAME?</v>
      </c>
      <c r="F166" s="12">
        <v>45831</v>
      </c>
      <c r="G166" s="190" t="s">
        <v>1859</v>
      </c>
      <c r="H166" s="190" t="s">
        <v>3136</v>
      </c>
      <c r="I166" s="10" t="s">
        <v>1860</v>
      </c>
      <c r="J166" s="190">
        <v>6</v>
      </c>
      <c r="K166" s="190" t="s">
        <v>2038</v>
      </c>
      <c r="L166" s="190" t="s">
        <v>3052</v>
      </c>
      <c r="M166" s="190" t="s">
        <v>3137</v>
      </c>
      <c r="N166" s="10" t="s">
        <v>3138</v>
      </c>
      <c r="O166" s="178" t="s">
        <v>3139</v>
      </c>
      <c r="P166" s="178" t="s">
        <v>3140</v>
      </c>
      <c r="Q166" s="327">
        <v>22120.78</v>
      </c>
      <c r="R166" s="190">
        <v>70</v>
      </c>
      <c r="S166" s="190" t="s">
        <v>330</v>
      </c>
      <c r="T166" s="190" t="s">
        <v>2494</v>
      </c>
      <c r="U166" s="190" t="s">
        <v>2495</v>
      </c>
      <c r="V166" s="8" t="s">
        <v>3472</v>
      </c>
      <c r="W166" s="10"/>
      <c r="X166" s="9"/>
      <c r="Y166" s="172"/>
      <c r="Z166" s="172"/>
      <c r="AA166" s="172"/>
      <c r="AB166" s="143" t="str">
        <f t="shared" ca="1" si="20"/>
        <v>NY Submit</v>
      </c>
      <c r="AC166" s="13"/>
      <c r="AD166" s="12">
        <v>45883</v>
      </c>
      <c r="AE166" s="12">
        <v>45909</v>
      </c>
      <c r="AF166" s="12"/>
      <c r="AG166" s="12"/>
      <c r="AH166" s="11"/>
      <c r="AI166" s="11"/>
      <c r="AJ166" s="11"/>
      <c r="AK166" s="11"/>
      <c r="AL166" s="11"/>
      <c r="AM166" s="11">
        <v>45912</v>
      </c>
      <c r="AN166" s="11"/>
      <c r="AO166" s="11" t="str">
        <f>+IF(AM166&lt;&gt;"","Survey LOS App",IF(AF166="Drop","Drop",IF(AE166&lt;&gt;"","Survey Report",IF(AD166&lt;&gt;"","Survey","NY Survey"))))</f>
        <v>Survey LOS App</v>
      </c>
      <c r="AP166" s="173"/>
      <c r="AQ166" s="12"/>
      <c r="AR166" s="12"/>
      <c r="AS166" s="12"/>
      <c r="AT166" s="12"/>
      <c r="AU166" s="12"/>
      <c r="AV166" s="12"/>
      <c r="AW166" s="11" t="str">
        <f t="shared" si="21"/>
        <v>NY Submit</v>
      </c>
      <c r="AX166" s="12"/>
      <c r="AY166" s="12"/>
      <c r="AZ166" s="12"/>
      <c r="BA166" s="12"/>
      <c r="BB166" s="12"/>
      <c r="BC166" s="12"/>
      <c r="BD166" s="11" t="str">
        <f t="shared" si="22"/>
        <v>NY Submit</v>
      </c>
      <c r="BE166" s="174"/>
      <c r="BF166" s="12"/>
      <c r="BG166" s="12"/>
      <c r="BH166" s="10"/>
      <c r="BI166" s="12"/>
      <c r="BJ166" s="12"/>
      <c r="BK166" s="174"/>
      <c r="BL166" s="12" t="str">
        <f t="shared" si="23"/>
        <v>NY Submit</v>
      </c>
      <c r="BM166" s="12" t="str">
        <f t="shared" si="24"/>
        <v>NY Submit</v>
      </c>
      <c r="BN166" s="12"/>
      <c r="BO166" s="12"/>
      <c r="BP166" s="155" t="s">
        <v>2507</v>
      </c>
      <c r="BQ166" s="12" t="s">
        <v>3318</v>
      </c>
      <c r="BR166" s="12">
        <v>45944</v>
      </c>
      <c r="BS166" s="143">
        <f t="shared" ca="1" si="25"/>
        <v>0</v>
      </c>
      <c r="BT166" s="176"/>
      <c r="BU166" s="12"/>
      <c r="BV166" s="143">
        <f t="shared" ca="1" si="26"/>
        <v>0</v>
      </c>
      <c r="BW166" s="12"/>
      <c r="BX166" s="12"/>
      <c r="BY166" s="143"/>
      <c r="BZ166" s="13" t="s">
        <v>2500</v>
      </c>
      <c r="CA166" s="13" t="s">
        <v>3263</v>
      </c>
      <c r="CB166" s="13" t="s">
        <v>2984</v>
      </c>
      <c r="CC166" s="13"/>
      <c r="CD166" s="13"/>
      <c r="CE166" s="198" t="s">
        <v>3473</v>
      </c>
      <c r="CF166" s="198" t="s">
        <v>3474</v>
      </c>
      <c r="CG166" s="273" t="s">
        <v>3475</v>
      </c>
      <c r="CH166" s="273" t="s">
        <v>3476</v>
      </c>
      <c r="CI166" s="198"/>
      <c r="CJ166" s="198"/>
      <c r="CK166" s="198"/>
      <c r="CL166" s="198"/>
    </row>
    <row r="167" spans="1:90">
      <c r="A167" s="187">
        <v>162</v>
      </c>
      <c r="B167" s="190" t="s">
        <v>2486</v>
      </c>
      <c r="C167" s="190" t="s">
        <v>2487</v>
      </c>
      <c r="D167" s="190" t="s">
        <v>135</v>
      </c>
      <c r="E167" s="8" t="e">
        <f ca="1">+_xlfn.CONCAT(G167,"-",B167,"_",C167,"_",_xlfn.XLOOKUP(BP167,Account!M:M,Account!N:N))</f>
        <v>#NAME?</v>
      </c>
      <c r="F167" s="12">
        <v>45910</v>
      </c>
      <c r="G167" s="190" t="s">
        <v>3477</v>
      </c>
      <c r="H167" s="190" t="s">
        <v>3478</v>
      </c>
      <c r="I167" s="10" t="s">
        <v>3479</v>
      </c>
      <c r="J167" s="190">
        <v>15</v>
      </c>
      <c r="K167" s="190" t="s">
        <v>2486</v>
      </c>
      <c r="L167" s="190" t="s">
        <v>1279</v>
      </c>
      <c r="M167" s="190" t="s">
        <v>2676</v>
      </c>
      <c r="N167" s="10" t="s">
        <v>3480</v>
      </c>
      <c r="O167" s="178" t="s">
        <v>3481</v>
      </c>
      <c r="P167" s="178" t="s">
        <v>3482</v>
      </c>
      <c r="Q167" s="327">
        <v>3713.64</v>
      </c>
      <c r="R167" s="190">
        <v>25</v>
      </c>
      <c r="S167" s="190"/>
      <c r="T167" s="190" t="s">
        <v>2494</v>
      </c>
      <c r="U167" s="190" t="s">
        <v>3483</v>
      </c>
      <c r="V167" s="8" t="s">
        <v>1760</v>
      </c>
      <c r="W167" s="10" t="s">
        <v>3455</v>
      </c>
      <c r="X167" s="9"/>
      <c r="Y167" s="172" t="s">
        <v>2432</v>
      </c>
      <c r="Z167" s="172"/>
      <c r="AA167" s="172"/>
      <c r="AB167" s="143" t="str">
        <f t="shared" ca="1" si="20"/>
        <v>NY Submit</v>
      </c>
      <c r="AC167" s="13"/>
      <c r="AD167" s="12">
        <v>45915</v>
      </c>
      <c r="AE167" s="12">
        <v>45916</v>
      </c>
      <c r="AF167" s="12"/>
      <c r="AG167" s="12"/>
      <c r="AH167" s="11"/>
      <c r="AI167" s="11">
        <v>45948</v>
      </c>
      <c r="AJ167" s="11"/>
      <c r="AK167" s="11"/>
      <c r="AL167" s="11"/>
      <c r="AM167" s="11">
        <v>45950</v>
      </c>
      <c r="AN167" s="11">
        <v>45950</v>
      </c>
      <c r="AO167" s="11" t="str">
        <f>+IF(AN167&lt;&gt;"","BAST",IF(AI167&lt;&gt;"","Dismantle",IF(AG167&lt;&gt;"","RFD App",IF(AF167="Drop","Drop",IF(AE167&lt;&gt;"","Survey Report",IF(AD167&lt;&gt;"","Survey","NY Survey"))))))</f>
        <v>BAST</v>
      </c>
      <c r="AP167" s="173" t="s">
        <v>3484</v>
      </c>
      <c r="AQ167" s="12">
        <v>46003</v>
      </c>
      <c r="AR167" s="12">
        <v>46010</v>
      </c>
      <c r="AS167" s="12">
        <v>46003</v>
      </c>
      <c r="AT167" s="12"/>
      <c r="AU167" s="12">
        <v>46010</v>
      </c>
      <c r="AV167" s="12">
        <v>46010</v>
      </c>
      <c r="AW167" s="11" t="str">
        <f t="shared" si="21"/>
        <v>1st BOQ App on ISAAC</v>
      </c>
      <c r="AX167" s="12"/>
      <c r="AY167" s="12"/>
      <c r="AZ167" s="12"/>
      <c r="BA167" s="12"/>
      <c r="BB167" s="12"/>
      <c r="BC167" s="12"/>
      <c r="BD167" s="11" t="str">
        <f t="shared" si="22"/>
        <v>NY Submit</v>
      </c>
      <c r="BE167" s="174"/>
      <c r="BF167" s="12">
        <v>45916</v>
      </c>
      <c r="BG167" s="12">
        <v>45919</v>
      </c>
      <c r="BH167" s="10" t="s">
        <v>3485</v>
      </c>
      <c r="BI167" s="12">
        <v>45916</v>
      </c>
      <c r="BJ167" s="12">
        <v>45922</v>
      </c>
      <c r="BK167" s="174" t="s">
        <v>3486</v>
      </c>
      <c r="BL167" s="12" t="str">
        <f t="shared" si="23"/>
        <v>Approved</v>
      </c>
      <c r="BM167" s="12" t="str">
        <f t="shared" si="24"/>
        <v>Approved</v>
      </c>
      <c r="BN167" s="12">
        <v>45950</v>
      </c>
      <c r="BO167" s="12">
        <v>45950</v>
      </c>
      <c r="BP167" s="190" t="s">
        <v>1760</v>
      </c>
      <c r="BQ167" s="12" t="s">
        <v>3487</v>
      </c>
      <c r="BR167" s="12">
        <v>46022</v>
      </c>
      <c r="BS167" s="143">
        <f t="shared" ref="BS167:BS198" ca="1" si="27">IF(AO167="Drop",
"Drop",
IF(ISBLANK(AV167),
0,
IF(ISBLANK(BR167),
DATEDIF(AV167,TODAY(),"d"),
DATEDIF(AV167,BR167,"d")
)
)
)</f>
        <v>12</v>
      </c>
      <c r="BT167" s="176"/>
      <c r="BU167" s="12"/>
      <c r="BV167" s="143">
        <f t="shared" ref="BV167:BV198" ca="1" si="28">IF(AO167="Drop",
"Drop",
IF(ISBLANK(BC167),
0,
IF(ISBLANK(BU167),
DATEDIF(BC167,TODAY(),"d"),
DATEDIF(BC167,BU167,"d")
)
)
)</f>
        <v>0</v>
      </c>
      <c r="BW167" s="12"/>
      <c r="BX167" s="12"/>
      <c r="BY167" s="143"/>
      <c r="BZ167" s="13" t="s">
        <v>3262</v>
      </c>
      <c r="CA167" s="13" t="s">
        <v>3263</v>
      </c>
      <c r="CB167" s="13" t="s">
        <v>2984</v>
      </c>
      <c r="CC167" s="13"/>
      <c r="CD167" s="13"/>
      <c r="CE167" s="198"/>
      <c r="CF167" s="198"/>
      <c r="CG167" s="272"/>
      <c r="CH167" s="272"/>
      <c r="CI167" s="198"/>
      <c r="CJ167" s="198"/>
      <c r="CK167" s="198"/>
      <c r="CL167" s="198"/>
    </row>
    <row r="168" spans="1:90">
      <c r="A168" s="187">
        <v>163</v>
      </c>
      <c r="B168" s="190" t="s">
        <v>2486</v>
      </c>
      <c r="C168" s="190" t="s">
        <v>2487</v>
      </c>
      <c r="D168" s="190" t="s">
        <v>135</v>
      </c>
      <c r="E168" s="8" t="e">
        <f ca="1">+_xlfn.CONCAT(G168,"-",B168,"_",C168,"_",_xlfn.XLOOKUP(BP168,Account!M:M,Account!N:N))</f>
        <v>#NAME?</v>
      </c>
      <c r="F168" s="12">
        <v>45912</v>
      </c>
      <c r="G168" s="190" t="s">
        <v>3488</v>
      </c>
      <c r="H168" s="190" t="s">
        <v>3489</v>
      </c>
      <c r="I168" s="10" t="s">
        <v>1584</v>
      </c>
      <c r="J168" s="190">
        <v>16</v>
      </c>
      <c r="K168" s="190" t="s">
        <v>2486</v>
      </c>
      <c r="L168" s="190" t="s">
        <v>3490</v>
      </c>
      <c r="M168" s="190" t="s">
        <v>3491</v>
      </c>
      <c r="N168" s="10" t="s">
        <v>3492</v>
      </c>
      <c r="O168" s="178" t="s">
        <v>3493</v>
      </c>
      <c r="P168" s="178" t="s">
        <v>3494</v>
      </c>
      <c r="Q168" s="327">
        <v>6828.53</v>
      </c>
      <c r="R168" s="190">
        <v>51</v>
      </c>
      <c r="S168" s="190"/>
      <c r="T168" s="190" t="s">
        <v>2494</v>
      </c>
      <c r="U168" s="190" t="s">
        <v>2495</v>
      </c>
      <c r="V168" s="8" t="s">
        <v>1760</v>
      </c>
      <c r="W168" s="10" t="s">
        <v>3443</v>
      </c>
      <c r="X168" s="9"/>
      <c r="Y168" s="172" t="s">
        <v>2496</v>
      </c>
      <c r="Z168" s="172">
        <v>46033</v>
      </c>
      <c r="AA168" s="172">
        <v>46040</v>
      </c>
      <c r="AB168" s="143" t="str">
        <f t="shared" ca="1" si="20"/>
        <v>Expired</v>
      </c>
      <c r="AC168" s="13"/>
      <c r="AD168" s="12">
        <v>45923</v>
      </c>
      <c r="AE168" s="12">
        <v>45924</v>
      </c>
      <c r="AF168" s="12"/>
      <c r="AG168" s="12">
        <v>45931</v>
      </c>
      <c r="AH168" s="11"/>
      <c r="AI168" s="11">
        <v>46045</v>
      </c>
      <c r="AJ168" s="11"/>
      <c r="AK168" s="11"/>
      <c r="AL168" s="11"/>
      <c r="AM168" s="11">
        <v>46045</v>
      </c>
      <c r="AN168" s="11">
        <v>46045</v>
      </c>
      <c r="AO168" s="11" t="str">
        <f>+IF(AN168&lt;&gt;"","BAST",IF(AI168&lt;&gt;"","Dismantle",IF(AG168&lt;&gt;"","RFD App",IF(AF168="Drop","Drop",IF(AE168&lt;&gt;"","Survey Report",IF(AD168&lt;&gt;"","Survey","NY Survey"))))))</f>
        <v>BAST</v>
      </c>
      <c r="AP168" s="173" t="s">
        <v>3495</v>
      </c>
      <c r="AQ168" s="12">
        <v>46003</v>
      </c>
      <c r="AR168" s="12">
        <v>46034</v>
      </c>
      <c r="AS168" s="12">
        <v>46003</v>
      </c>
      <c r="AT168" s="12"/>
      <c r="AU168" s="12">
        <v>46034</v>
      </c>
      <c r="AV168" s="12">
        <v>46034</v>
      </c>
      <c r="AW168" s="11" t="str">
        <f t="shared" si="21"/>
        <v>1st BOQ App on ISAAC</v>
      </c>
      <c r="AX168" s="12"/>
      <c r="AY168" s="12"/>
      <c r="AZ168" s="12"/>
      <c r="BA168" s="12"/>
      <c r="BB168" s="12"/>
      <c r="BC168" s="12"/>
      <c r="BD168" s="11" t="str">
        <f t="shared" si="22"/>
        <v>NY Submit</v>
      </c>
      <c r="BE168" s="174"/>
      <c r="BF168" s="12">
        <v>45924</v>
      </c>
      <c r="BG168" s="12">
        <v>45926</v>
      </c>
      <c r="BH168" s="10" t="s">
        <v>3496</v>
      </c>
      <c r="BI168" s="12">
        <v>45924</v>
      </c>
      <c r="BJ168" s="12">
        <v>45929</v>
      </c>
      <c r="BK168" s="200" t="s">
        <v>3497</v>
      </c>
      <c r="BL168" s="12" t="str">
        <f t="shared" si="23"/>
        <v>Approved</v>
      </c>
      <c r="BM168" s="12" t="str">
        <f t="shared" si="24"/>
        <v>Approved</v>
      </c>
      <c r="BN168" s="12">
        <v>46048</v>
      </c>
      <c r="BO168" s="12">
        <v>46049</v>
      </c>
      <c r="BP168" s="190" t="s">
        <v>1760</v>
      </c>
      <c r="BQ168" s="12" t="s">
        <v>3498</v>
      </c>
      <c r="BR168" s="12">
        <v>46052</v>
      </c>
      <c r="BS168" s="143">
        <f t="shared" ca="1" si="27"/>
        <v>18</v>
      </c>
      <c r="BT168" s="176"/>
      <c r="BU168" s="12"/>
      <c r="BV168" s="143">
        <f t="shared" ca="1" si="28"/>
        <v>0</v>
      </c>
      <c r="BW168" s="12"/>
      <c r="BX168" s="12"/>
      <c r="BY168" s="143"/>
      <c r="BZ168" s="13" t="s">
        <v>3499</v>
      </c>
      <c r="CA168" s="13" t="s">
        <v>3263</v>
      </c>
      <c r="CB168" s="13" t="s">
        <v>2984</v>
      </c>
      <c r="CC168" s="13"/>
      <c r="CD168" s="13"/>
      <c r="CE168" s="198"/>
      <c r="CF168" s="198"/>
      <c r="CG168" s="272"/>
      <c r="CH168" s="272"/>
      <c r="CI168" s="198"/>
      <c r="CJ168" s="198"/>
      <c r="CK168" s="198"/>
      <c r="CL168" s="198"/>
    </row>
    <row r="169" spans="1:90">
      <c r="A169" s="187">
        <v>164</v>
      </c>
      <c r="B169" s="190" t="s">
        <v>2486</v>
      </c>
      <c r="C169" s="190" t="s">
        <v>2487</v>
      </c>
      <c r="D169" s="190" t="s">
        <v>135</v>
      </c>
      <c r="E169" s="8" t="e">
        <f ca="1">+_xlfn.CONCAT(G169,"-",B169,"_",C169,"_",_xlfn.XLOOKUP(BP169,Account!M:M,Account!N:N))</f>
        <v>#NAME?</v>
      </c>
      <c r="F169" s="12">
        <v>45912</v>
      </c>
      <c r="G169" s="190" t="s">
        <v>1938</v>
      </c>
      <c r="H169" s="190" t="s">
        <v>3500</v>
      </c>
      <c r="I169" s="10" t="s">
        <v>1939</v>
      </c>
      <c r="J169" s="190">
        <v>16</v>
      </c>
      <c r="K169" s="190" t="s">
        <v>2038</v>
      </c>
      <c r="L169" s="190" t="s">
        <v>2725</v>
      </c>
      <c r="M169" s="190" t="s">
        <v>3501</v>
      </c>
      <c r="N169" s="10" t="s">
        <v>3502</v>
      </c>
      <c r="O169" s="178" t="s">
        <v>3503</v>
      </c>
      <c r="P169" s="178" t="s">
        <v>3504</v>
      </c>
      <c r="Q169" s="327">
        <v>22120.78</v>
      </c>
      <c r="R169" s="190">
        <v>72</v>
      </c>
      <c r="S169" s="190"/>
      <c r="T169" s="190" t="s">
        <v>2494</v>
      </c>
      <c r="U169" s="190" t="s">
        <v>2495</v>
      </c>
      <c r="V169" s="8" t="s">
        <v>1760</v>
      </c>
      <c r="W169" s="10" t="s">
        <v>3443</v>
      </c>
      <c r="X169" s="9"/>
      <c r="Y169" s="172" t="s">
        <v>2432</v>
      </c>
      <c r="Z169" s="172">
        <v>46128</v>
      </c>
      <c r="AA169" s="172">
        <v>46134</v>
      </c>
      <c r="AB169" s="143" t="str">
        <f t="shared" ca="1" si="20"/>
        <v>Expired</v>
      </c>
      <c r="AC169" s="13"/>
      <c r="AD169" s="12">
        <v>45924</v>
      </c>
      <c r="AE169" s="12">
        <v>45925</v>
      </c>
      <c r="AF169" s="12"/>
      <c r="AG169" s="12"/>
      <c r="AH169" s="11"/>
      <c r="AI169" s="11">
        <v>46137</v>
      </c>
      <c r="AJ169" s="11"/>
      <c r="AK169" s="11"/>
      <c r="AL169" s="11"/>
      <c r="AM169" s="11">
        <v>46140</v>
      </c>
      <c r="AN169" s="11">
        <v>46140</v>
      </c>
      <c r="AO169" s="11" t="str">
        <f>+IF(AN169&lt;&gt;"","BAST",IF(AI169&lt;&gt;"","Dismantle",IF(AG169&lt;&gt;"","RFD App",IF(AF169="Drop","Drop",IF(AE169&lt;&gt;"","Survey Report",IF(AD169&lt;&gt;"","Survey","NY Survey"))))))</f>
        <v>BAST</v>
      </c>
      <c r="AP169" s="173" t="s">
        <v>3194</v>
      </c>
      <c r="AQ169" s="12">
        <v>46112</v>
      </c>
      <c r="AR169" s="12">
        <v>46114</v>
      </c>
      <c r="AS169" s="12">
        <v>46118</v>
      </c>
      <c r="AT169" s="12" t="s">
        <v>1754</v>
      </c>
      <c r="AU169" s="12">
        <v>46118</v>
      </c>
      <c r="AV169" s="12">
        <v>46118</v>
      </c>
      <c r="AW169" s="11" t="str">
        <f t="shared" si="21"/>
        <v>1st BOQ App on ISAAC</v>
      </c>
      <c r="AX169" s="12">
        <v>46128</v>
      </c>
      <c r="AY169" s="12">
        <v>46141</v>
      </c>
      <c r="AZ169" s="12"/>
      <c r="BA169" s="12">
        <v>46147</v>
      </c>
      <c r="BB169" s="12">
        <v>46153</v>
      </c>
      <c r="BC169" s="12">
        <v>46154</v>
      </c>
      <c r="BD169" s="11" t="str">
        <f t="shared" si="22"/>
        <v>2nd BOQ App on ISAAC</v>
      </c>
      <c r="BE169" s="174" t="s">
        <v>3379</v>
      </c>
      <c r="BF169" s="12">
        <v>45925</v>
      </c>
      <c r="BG169" s="12">
        <v>45929</v>
      </c>
      <c r="BH169" s="10" t="s">
        <v>3505</v>
      </c>
      <c r="BI169" s="12">
        <v>45925</v>
      </c>
      <c r="BJ169" s="12">
        <v>45929</v>
      </c>
      <c r="BK169" s="174" t="s">
        <v>3506</v>
      </c>
      <c r="BL169" s="12" t="str">
        <f t="shared" si="23"/>
        <v>Approved</v>
      </c>
      <c r="BM169" s="12" t="str">
        <f t="shared" si="24"/>
        <v>Approved</v>
      </c>
      <c r="BN169" s="12">
        <v>46140</v>
      </c>
      <c r="BO169" s="12">
        <v>46140</v>
      </c>
      <c r="BP169" s="190" t="s">
        <v>1760</v>
      </c>
      <c r="BQ169" s="12" t="s">
        <v>3507</v>
      </c>
      <c r="BR169" s="12">
        <v>46126</v>
      </c>
      <c r="BS169" s="143">
        <f t="shared" ca="1" si="27"/>
        <v>8</v>
      </c>
      <c r="BT169" s="176" t="s">
        <v>3508</v>
      </c>
      <c r="BU169" s="12"/>
      <c r="BV169" s="143">
        <f t="shared" ca="1" si="28"/>
        <v>85</v>
      </c>
      <c r="BW169" s="12"/>
      <c r="BX169" s="12"/>
      <c r="BY169" s="143"/>
      <c r="BZ169" s="13"/>
      <c r="CA169" s="13"/>
      <c r="CB169" s="13"/>
      <c r="CC169" s="13"/>
      <c r="CD169" s="13"/>
      <c r="CE169" s="198"/>
      <c r="CF169" s="198"/>
      <c r="CG169" s="272"/>
      <c r="CH169" s="272"/>
      <c r="CI169" s="198"/>
      <c r="CJ169" s="198"/>
      <c r="CK169" s="198"/>
      <c r="CL169" s="198"/>
    </row>
    <row r="170" spans="1:90">
      <c r="A170" s="187">
        <v>165</v>
      </c>
      <c r="B170" s="190" t="s">
        <v>2486</v>
      </c>
      <c r="C170" s="190" t="s">
        <v>2487</v>
      </c>
      <c r="D170" s="190" t="s">
        <v>135</v>
      </c>
      <c r="E170" s="8" t="e">
        <f ca="1">+_xlfn.CONCAT(G170,"-",B170,"_",C170,"_",_xlfn.XLOOKUP(BP170,Account!M:M,Account!N:N))</f>
        <v>#NAME?</v>
      </c>
      <c r="F170" s="12">
        <v>45922</v>
      </c>
      <c r="G170" s="190" t="s">
        <v>3509</v>
      </c>
      <c r="H170" s="190" t="s">
        <v>3510</v>
      </c>
      <c r="I170" s="10" t="s">
        <v>3511</v>
      </c>
      <c r="J170" s="190">
        <v>13</v>
      </c>
      <c r="K170" s="190" t="s">
        <v>2486</v>
      </c>
      <c r="L170" s="190" t="s">
        <v>1279</v>
      </c>
      <c r="M170" s="190" t="s">
        <v>2884</v>
      </c>
      <c r="N170" s="10" t="s">
        <v>3512</v>
      </c>
      <c r="O170" s="178" t="s">
        <v>3513</v>
      </c>
      <c r="P170" s="178" t="s">
        <v>3514</v>
      </c>
      <c r="Q170" s="327">
        <v>302.01749999999998</v>
      </c>
      <c r="R170" s="190">
        <v>6</v>
      </c>
      <c r="S170" s="190" t="s">
        <v>330</v>
      </c>
      <c r="T170" s="190" t="s">
        <v>2518</v>
      </c>
      <c r="U170" s="190" t="s">
        <v>3354</v>
      </c>
      <c r="V170" s="8" t="s">
        <v>1760</v>
      </c>
      <c r="W170" s="10" t="s">
        <v>2989</v>
      </c>
      <c r="X170" s="9"/>
      <c r="Y170" s="172" t="s">
        <v>2432</v>
      </c>
      <c r="Z170" s="172">
        <v>45973</v>
      </c>
      <c r="AA170" s="172">
        <v>45987</v>
      </c>
      <c r="AB170" s="143" t="str">
        <f t="shared" ca="1" si="20"/>
        <v>Expired</v>
      </c>
      <c r="AC170" s="13"/>
      <c r="AD170" s="12">
        <v>45939</v>
      </c>
      <c r="AE170" s="12">
        <v>45939</v>
      </c>
      <c r="AF170" s="12"/>
      <c r="AG170" s="12"/>
      <c r="AH170" s="11"/>
      <c r="AI170" s="11">
        <v>45978</v>
      </c>
      <c r="AJ170" s="11"/>
      <c r="AK170" s="11"/>
      <c r="AL170" s="11"/>
      <c r="AM170" s="11">
        <v>45980</v>
      </c>
      <c r="AN170" s="11">
        <v>45980</v>
      </c>
      <c r="AO170" s="11" t="str">
        <f>+IF(AN170&lt;&gt;"","BAST",IF(AI170&lt;&gt;"","Dismantle",IF(AG170&lt;&gt;"","RFD App",IF(AF170="Drop","Drop",IF(AE170&lt;&gt;"","Survey Report",IF(AD170&lt;&gt;"","Survey","NY Survey"))))))</f>
        <v>BAST</v>
      </c>
      <c r="AP170" s="173"/>
      <c r="AQ170" s="12">
        <v>45972</v>
      </c>
      <c r="AR170" s="12">
        <v>46034</v>
      </c>
      <c r="AS170" s="12">
        <v>46030</v>
      </c>
      <c r="AT170" s="12"/>
      <c r="AU170" s="12">
        <v>46034</v>
      </c>
      <c r="AV170" s="12">
        <v>46034</v>
      </c>
      <c r="AW170" s="11" t="str">
        <f t="shared" si="21"/>
        <v>1st BOQ App on ISAAC</v>
      </c>
      <c r="AX170" s="12"/>
      <c r="AY170" s="12"/>
      <c r="AZ170" s="12"/>
      <c r="BA170" s="12"/>
      <c r="BB170" s="12"/>
      <c r="BC170" s="12"/>
      <c r="BD170" s="11" t="str">
        <f t="shared" si="22"/>
        <v>NY Submit</v>
      </c>
      <c r="BE170" s="174"/>
      <c r="BF170" s="12">
        <v>45939</v>
      </c>
      <c r="BG170" s="12">
        <v>45940</v>
      </c>
      <c r="BH170" s="10" t="s">
        <v>3515</v>
      </c>
      <c r="BI170" s="12">
        <v>45939</v>
      </c>
      <c r="BJ170" s="12">
        <v>45940</v>
      </c>
      <c r="BK170" s="174" t="s">
        <v>3516</v>
      </c>
      <c r="BL170" s="12" t="str">
        <f t="shared" si="23"/>
        <v>Approved</v>
      </c>
      <c r="BM170" s="12" t="str">
        <f t="shared" si="24"/>
        <v>Approved</v>
      </c>
      <c r="BN170" s="12">
        <v>45980</v>
      </c>
      <c r="BO170" s="12">
        <v>45981</v>
      </c>
      <c r="BP170" s="190" t="s">
        <v>1760</v>
      </c>
      <c r="BQ170" s="12" t="s">
        <v>3517</v>
      </c>
      <c r="BR170" s="12">
        <v>46052</v>
      </c>
      <c r="BS170" s="143">
        <f t="shared" ca="1" si="27"/>
        <v>18</v>
      </c>
      <c r="BT170" s="176"/>
      <c r="BU170" s="12"/>
      <c r="BV170" s="143">
        <f t="shared" ca="1" si="28"/>
        <v>0</v>
      </c>
      <c r="BW170" s="12"/>
      <c r="BX170" s="12"/>
      <c r="BY170" s="143"/>
      <c r="BZ170" s="13" t="s">
        <v>3499</v>
      </c>
      <c r="CA170" s="13" t="s">
        <v>3263</v>
      </c>
      <c r="CB170" s="13" t="s">
        <v>2984</v>
      </c>
      <c r="CC170" s="13"/>
      <c r="CD170" s="13"/>
      <c r="CE170" s="198"/>
      <c r="CF170" s="198"/>
      <c r="CG170" s="272"/>
      <c r="CH170" s="272"/>
      <c r="CI170" s="198"/>
      <c r="CJ170" s="198"/>
      <c r="CK170" s="198"/>
      <c r="CL170" s="198"/>
    </row>
    <row r="171" spans="1:90">
      <c r="A171" s="187">
        <v>166</v>
      </c>
      <c r="B171" s="190" t="s">
        <v>2486</v>
      </c>
      <c r="C171" s="190" t="s">
        <v>2487</v>
      </c>
      <c r="D171" s="190" t="s">
        <v>135</v>
      </c>
      <c r="E171" s="8" t="e">
        <f ca="1">+_xlfn.CONCAT(G171,"-",B171,"_",C171,"_",_xlfn.XLOOKUP(BP171,Account!M:M,Account!N:N))</f>
        <v>#NAME?</v>
      </c>
      <c r="F171" s="12">
        <v>45916</v>
      </c>
      <c r="G171" s="190" t="s">
        <v>3518</v>
      </c>
      <c r="H171" s="190" t="s">
        <v>3519</v>
      </c>
      <c r="I171" s="10" t="s">
        <v>3520</v>
      </c>
      <c r="J171" s="190">
        <v>10</v>
      </c>
      <c r="K171" s="190" t="s">
        <v>2038</v>
      </c>
      <c r="L171" s="190" t="s">
        <v>3156</v>
      </c>
      <c r="M171" s="190" t="s">
        <v>3157</v>
      </c>
      <c r="N171" s="10" t="s">
        <v>3521</v>
      </c>
      <c r="O171" s="177" t="s">
        <v>3522</v>
      </c>
      <c r="P171" s="177" t="s">
        <v>3523</v>
      </c>
      <c r="Q171" s="327"/>
      <c r="R171" s="190"/>
      <c r="S171" s="190" t="s">
        <v>3234</v>
      </c>
      <c r="T171" s="190" t="s">
        <v>2494</v>
      </c>
      <c r="U171" s="190" t="s">
        <v>2495</v>
      </c>
      <c r="V171" s="8" t="s">
        <v>3235</v>
      </c>
      <c r="W171" s="10" t="s">
        <v>3148</v>
      </c>
      <c r="X171" s="9"/>
      <c r="Y171" s="172"/>
      <c r="Z171" s="172"/>
      <c r="AA171" s="172"/>
      <c r="AB171" s="143" t="str">
        <f t="shared" ca="1" si="20"/>
        <v>NY Submit</v>
      </c>
      <c r="AC171" s="13"/>
      <c r="AD171" s="12">
        <v>45918</v>
      </c>
      <c r="AE171" s="12"/>
      <c r="AF171" s="12"/>
      <c r="AG171" s="12"/>
      <c r="AH171" s="11">
        <v>45940</v>
      </c>
      <c r="AI171" s="11"/>
      <c r="AJ171" s="11"/>
      <c r="AK171" s="11"/>
      <c r="AL171" s="11"/>
      <c r="AM171" s="11">
        <v>45951</v>
      </c>
      <c r="AN171" s="11"/>
      <c r="AO171" s="11" t="str">
        <f>+IF(AM171&lt;&gt;"","ATP App MS",IF(AJ171&lt;&gt;"","Inbound",IF(AH171&lt;&gt;"","Dismantle Perangkat",IF(AF171="Drop","Drop",IF(AE171&lt;&gt;"","Survey Report",IF(AD171&lt;&gt;"","Survey","NY Survey"))))))</f>
        <v>ATP App MS</v>
      </c>
      <c r="AP171" s="173"/>
      <c r="AQ171" s="12">
        <v>45930</v>
      </c>
      <c r="AR171" s="12">
        <v>45937</v>
      </c>
      <c r="AS171" s="12">
        <v>45938</v>
      </c>
      <c r="AT171" s="12"/>
      <c r="AU171" s="12">
        <v>45938</v>
      </c>
      <c r="AV171" s="12">
        <v>45938</v>
      </c>
      <c r="AW171" s="11" t="str">
        <f t="shared" si="21"/>
        <v>1st BOQ App on ISAAC</v>
      </c>
      <c r="AX171" s="12"/>
      <c r="AY171" s="12"/>
      <c r="AZ171" s="12"/>
      <c r="BA171" s="12"/>
      <c r="BB171" s="12"/>
      <c r="BC171" s="12"/>
      <c r="BD171" s="11" t="str">
        <f t="shared" si="22"/>
        <v>NY Submit</v>
      </c>
      <c r="BE171" s="174"/>
      <c r="BF171" s="12"/>
      <c r="BG171" s="12"/>
      <c r="BH171" s="10"/>
      <c r="BI171" s="12"/>
      <c r="BJ171" s="12"/>
      <c r="BK171" s="174"/>
      <c r="BL171" s="12" t="str">
        <f t="shared" si="23"/>
        <v>NY Submit</v>
      </c>
      <c r="BM171" s="12" t="str">
        <f t="shared" si="24"/>
        <v>NY Submit</v>
      </c>
      <c r="BN171" s="12"/>
      <c r="BO171" s="12"/>
      <c r="BP171" s="155" t="s">
        <v>2011</v>
      </c>
      <c r="BQ171" s="12" t="s">
        <v>3237</v>
      </c>
      <c r="BR171" s="12">
        <v>45947</v>
      </c>
      <c r="BS171" s="143">
        <f t="shared" ca="1" si="27"/>
        <v>9</v>
      </c>
      <c r="BT171" s="176"/>
      <c r="BU171" s="12"/>
      <c r="BV171" s="143">
        <f t="shared" ca="1" si="28"/>
        <v>0</v>
      </c>
      <c r="BW171" s="12"/>
      <c r="BX171" s="12"/>
      <c r="BY171" s="143"/>
      <c r="BZ171" s="13" t="s">
        <v>3237</v>
      </c>
      <c r="CA171" s="13" t="s">
        <v>2555</v>
      </c>
      <c r="CB171" s="13" t="s">
        <v>2486</v>
      </c>
      <c r="CC171" s="13"/>
      <c r="CD171" s="13"/>
      <c r="CE171" s="198"/>
      <c r="CF171" s="198"/>
      <c r="CG171" s="272"/>
      <c r="CH171" s="272"/>
      <c r="CI171" s="198"/>
      <c r="CJ171" s="198"/>
      <c r="CK171" s="198"/>
      <c r="CL171" s="198"/>
    </row>
    <row r="172" spans="1:90">
      <c r="A172" s="187">
        <v>167</v>
      </c>
      <c r="B172" s="190" t="s">
        <v>2486</v>
      </c>
      <c r="C172" s="190" t="s">
        <v>2487</v>
      </c>
      <c r="D172" s="190" t="s">
        <v>135</v>
      </c>
      <c r="E172" s="8" t="e">
        <f ca="1">+_xlfn.CONCAT(G172,"-",B172,"_",C172,"_",_xlfn.XLOOKUP(BP172,Account!M:M,Account!N:N))</f>
        <v>#NAME?</v>
      </c>
      <c r="F172" s="12">
        <v>45916</v>
      </c>
      <c r="G172" s="190" t="s">
        <v>3518</v>
      </c>
      <c r="H172" s="190" t="s">
        <v>3519</v>
      </c>
      <c r="I172" s="10" t="s">
        <v>3520</v>
      </c>
      <c r="J172" s="190">
        <v>10</v>
      </c>
      <c r="K172" s="190" t="s">
        <v>2038</v>
      </c>
      <c r="L172" s="190" t="s">
        <v>3156</v>
      </c>
      <c r="M172" s="190" t="s">
        <v>3157</v>
      </c>
      <c r="N172" s="10" t="s">
        <v>3521</v>
      </c>
      <c r="O172" s="177" t="s">
        <v>3522</v>
      </c>
      <c r="P172" s="177" t="s">
        <v>3523</v>
      </c>
      <c r="Q172" s="327"/>
      <c r="R172" s="190"/>
      <c r="S172" s="190" t="s">
        <v>3234</v>
      </c>
      <c r="T172" s="190" t="s">
        <v>2494</v>
      </c>
      <c r="U172" s="190" t="s">
        <v>2495</v>
      </c>
      <c r="V172" s="8" t="s">
        <v>3239</v>
      </c>
      <c r="W172" s="10" t="s">
        <v>3148</v>
      </c>
      <c r="X172" s="9"/>
      <c r="Y172" s="172"/>
      <c r="Z172" s="172"/>
      <c r="AA172" s="172"/>
      <c r="AB172" s="143" t="str">
        <f t="shared" ca="1" si="20"/>
        <v>NY Submit</v>
      </c>
      <c r="AC172" s="13"/>
      <c r="AD172" s="12">
        <v>45918</v>
      </c>
      <c r="AE172" s="12"/>
      <c r="AF172" s="12"/>
      <c r="AG172" s="12"/>
      <c r="AH172" s="11"/>
      <c r="AI172" s="11"/>
      <c r="AJ172" s="11"/>
      <c r="AK172" s="11">
        <v>45940</v>
      </c>
      <c r="AL172" s="11">
        <v>45940</v>
      </c>
      <c r="AM172" s="11">
        <v>45951</v>
      </c>
      <c r="AN172" s="11">
        <v>45951</v>
      </c>
      <c r="AO172" s="11" t="str">
        <f>+IF(AM172&lt;&gt;"","ATP App MS",IF(AL172&lt;&gt;"","OA/RFS",IF(AK172&lt;&gt;"","Install",IF(AH172&lt;&gt;"","Dismantle Perangkat",IF(AF172="Drop","Drop",IF(AE172&lt;&gt;"","Survey Report",IF(AD172&lt;&gt;"","Survey","NY Survey")))))))</f>
        <v>ATP App MS</v>
      </c>
      <c r="AP172" s="173"/>
      <c r="AQ172" s="12">
        <v>45930</v>
      </c>
      <c r="AR172" s="12">
        <v>45937</v>
      </c>
      <c r="AS172" s="12">
        <v>45938</v>
      </c>
      <c r="AT172" s="12"/>
      <c r="AU172" s="12">
        <v>45938</v>
      </c>
      <c r="AV172" s="12">
        <v>45938</v>
      </c>
      <c r="AW172" s="11" t="str">
        <f t="shared" si="21"/>
        <v>1st BOQ App on ISAAC</v>
      </c>
      <c r="AX172" s="12"/>
      <c r="AY172" s="12"/>
      <c r="AZ172" s="12"/>
      <c r="BA172" s="12"/>
      <c r="BB172" s="12"/>
      <c r="BC172" s="12"/>
      <c r="BD172" s="11" t="str">
        <f t="shared" si="22"/>
        <v>NY Submit</v>
      </c>
      <c r="BE172" s="174"/>
      <c r="BF172" s="12"/>
      <c r="BG172" s="12"/>
      <c r="BH172" s="10"/>
      <c r="BI172" s="12"/>
      <c r="BJ172" s="12"/>
      <c r="BK172" s="174"/>
      <c r="BL172" s="12" t="str">
        <f t="shared" si="23"/>
        <v>NY Submit</v>
      </c>
      <c r="BM172" s="12" t="str">
        <f t="shared" si="24"/>
        <v>NY Submit</v>
      </c>
      <c r="BN172" s="12"/>
      <c r="BO172" s="12"/>
      <c r="BP172" s="155" t="s">
        <v>1768</v>
      </c>
      <c r="BQ172" s="12" t="s">
        <v>3237</v>
      </c>
      <c r="BR172" s="12">
        <v>45947</v>
      </c>
      <c r="BS172" s="143">
        <f t="shared" ca="1" si="27"/>
        <v>9</v>
      </c>
      <c r="BT172" s="176"/>
      <c r="BU172" s="12"/>
      <c r="BV172" s="143">
        <f t="shared" ca="1" si="28"/>
        <v>0</v>
      </c>
      <c r="BW172" s="12"/>
      <c r="BX172" s="12"/>
      <c r="BY172" s="143"/>
      <c r="BZ172" s="13" t="s">
        <v>3237</v>
      </c>
      <c r="CA172" s="13" t="s">
        <v>2555</v>
      </c>
      <c r="CB172" s="13" t="s">
        <v>2486</v>
      </c>
      <c r="CC172" s="13"/>
      <c r="CD172" s="13"/>
      <c r="CE172" s="198"/>
      <c r="CF172" s="198"/>
      <c r="CG172" s="272"/>
      <c r="CH172" s="272"/>
      <c r="CI172" s="198"/>
      <c r="CJ172" s="198"/>
      <c r="CK172" s="198" t="s">
        <v>3524</v>
      </c>
      <c r="CL172" s="198"/>
    </row>
    <row r="173" spans="1:90" ht="45" customHeight="1">
      <c r="A173" s="187">
        <v>168</v>
      </c>
      <c r="B173" s="190" t="s">
        <v>2486</v>
      </c>
      <c r="C173" s="190" t="s">
        <v>2487</v>
      </c>
      <c r="D173" s="190" t="s">
        <v>135</v>
      </c>
      <c r="E173" s="8" t="e">
        <f ca="1">+_xlfn.CONCAT(G173,"-",B173,"_",C173,"_",_xlfn.XLOOKUP(BP173,Account!M:M,Account!N:N))</f>
        <v>#NAME?</v>
      </c>
      <c r="F173" s="12">
        <v>45929</v>
      </c>
      <c r="G173" s="190" t="s">
        <v>1803</v>
      </c>
      <c r="H173" s="190" t="s">
        <v>3525</v>
      </c>
      <c r="I173" s="10" t="s">
        <v>1804</v>
      </c>
      <c r="J173" s="190">
        <v>2</v>
      </c>
      <c r="K173" s="190" t="s">
        <v>2038</v>
      </c>
      <c r="L173" s="190" t="s">
        <v>2780</v>
      </c>
      <c r="M173" s="190" t="s">
        <v>3014</v>
      </c>
      <c r="N173" s="10" t="s">
        <v>3526</v>
      </c>
      <c r="O173" s="178" t="s">
        <v>3527</v>
      </c>
      <c r="P173" s="178" t="s">
        <v>3528</v>
      </c>
      <c r="Q173" s="327">
        <v>1488.16</v>
      </c>
      <c r="R173" s="190">
        <v>7</v>
      </c>
      <c r="S173" s="190"/>
      <c r="T173" s="190" t="s">
        <v>2518</v>
      </c>
      <c r="U173" s="190" t="s">
        <v>3354</v>
      </c>
      <c r="V173" s="8" t="s">
        <v>1760</v>
      </c>
      <c r="W173" s="10"/>
      <c r="X173" s="9"/>
      <c r="Y173" s="172"/>
      <c r="Z173" s="172"/>
      <c r="AA173" s="172"/>
      <c r="AB173" s="143" t="str">
        <f t="shared" ca="1" si="20"/>
        <v>NY Submit</v>
      </c>
      <c r="AC173" s="13"/>
      <c r="AD173" s="12">
        <v>45941</v>
      </c>
      <c r="AE173" s="12">
        <v>45941</v>
      </c>
      <c r="AF173" s="12"/>
      <c r="AG173" s="12">
        <v>45943</v>
      </c>
      <c r="AH173" s="11"/>
      <c r="AI173" s="11">
        <v>45957</v>
      </c>
      <c r="AJ173" s="11"/>
      <c r="AK173" s="11"/>
      <c r="AL173" s="11"/>
      <c r="AM173" s="11">
        <v>45965</v>
      </c>
      <c r="AN173" s="11">
        <v>45965</v>
      </c>
      <c r="AO173" s="11" t="str">
        <f>+IF(AN173&lt;&gt;"","BAST",IF(AI173&lt;&gt;"","Dismantle",IF(AG173&lt;&gt;"","RFD App",IF(AF173="Drop","Drop",IF(AE173&lt;&gt;"","Survey Report",IF(AD173&lt;&gt;"","Survey","NY Survey"))))))</f>
        <v>BAST</v>
      </c>
      <c r="AP173" s="173"/>
      <c r="AQ173" s="12">
        <v>45958</v>
      </c>
      <c r="AR173" s="12">
        <v>45981</v>
      </c>
      <c r="AS173" s="12">
        <v>45960</v>
      </c>
      <c r="AT173" s="12">
        <v>46001</v>
      </c>
      <c r="AU173" s="12">
        <v>46002</v>
      </c>
      <c r="AV173" s="12"/>
      <c r="AW173" s="11" t="str">
        <f t="shared" si="21"/>
        <v>Upload 1st BOQ &amp; BAN Isaac</v>
      </c>
      <c r="AX173" s="12"/>
      <c r="AY173" s="12"/>
      <c r="AZ173" s="12"/>
      <c r="BA173" s="12"/>
      <c r="BB173" s="12"/>
      <c r="BC173" s="12"/>
      <c r="BD173" s="11" t="str">
        <f t="shared" si="22"/>
        <v>NY Submit</v>
      </c>
      <c r="BE173" s="211" t="s">
        <v>3529</v>
      </c>
      <c r="BF173" s="12">
        <v>45941</v>
      </c>
      <c r="BG173" s="12" t="s">
        <v>691</v>
      </c>
      <c r="BH173" s="10" t="s">
        <v>3530</v>
      </c>
      <c r="BI173" s="12">
        <v>45941</v>
      </c>
      <c r="BJ173" s="12">
        <v>45942</v>
      </c>
      <c r="BK173" s="174" t="s">
        <v>3531</v>
      </c>
      <c r="BL173" s="12" t="str">
        <f t="shared" si="23"/>
        <v>Submit</v>
      </c>
      <c r="BM173" s="12" t="str">
        <f t="shared" si="24"/>
        <v>Approved</v>
      </c>
      <c r="BN173" s="12">
        <v>45972</v>
      </c>
      <c r="BO173" s="12">
        <v>45973</v>
      </c>
      <c r="BP173" s="155" t="s">
        <v>1760</v>
      </c>
      <c r="BQ173" s="12" t="s">
        <v>3532</v>
      </c>
      <c r="BR173" s="12">
        <v>46021</v>
      </c>
      <c r="BS173" s="143">
        <f t="shared" ca="1" si="27"/>
        <v>0</v>
      </c>
      <c r="BT173" s="176"/>
      <c r="BU173" s="12"/>
      <c r="BV173" s="143">
        <f t="shared" ca="1" si="28"/>
        <v>0</v>
      </c>
      <c r="BW173" s="12"/>
      <c r="BX173" s="12"/>
      <c r="BY173" s="143"/>
      <c r="BZ173" s="13" t="s">
        <v>2500</v>
      </c>
      <c r="CA173" s="13" t="s">
        <v>3263</v>
      </c>
      <c r="CB173" s="13" t="s">
        <v>2984</v>
      </c>
      <c r="CC173" s="13"/>
      <c r="CD173" s="13"/>
      <c r="CE173" s="198"/>
      <c r="CF173" s="198"/>
      <c r="CG173" s="272"/>
      <c r="CH173" s="272"/>
      <c r="CI173" s="198"/>
      <c r="CJ173" s="198"/>
      <c r="CK173" s="198"/>
      <c r="CL173" s="198"/>
    </row>
    <row r="174" spans="1:90">
      <c r="A174" s="187">
        <v>169</v>
      </c>
      <c r="B174" s="190" t="s">
        <v>2486</v>
      </c>
      <c r="C174" s="190" t="s">
        <v>2487</v>
      </c>
      <c r="D174" s="190" t="s">
        <v>135</v>
      </c>
      <c r="E174" s="8" t="e">
        <f ca="1">+_xlfn.CONCAT(G174,"-",B174,"_",C174,"_",_xlfn.XLOOKUP(BP174,Account!M:M,Account!N:N))</f>
        <v>#NAME?</v>
      </c>
      <c r="F174" s="12">
        <v>45929</v>
      </c>
      <c r="G174" s="190" t="s">
        <v>1803</v>
      </c>
      <c r="H174" s="190" t="s">
        <v>3525</v>
      </c>
      <c r="I174" s="10" t="s">
        <v>1804</v>
      </c>
      <c r="J174" s="190">
        <v>2</v>
      </c>
      <c r="K174" s="190" t="s">
        <v>2038</v>
      </c>
      <c r="L174" s="190" t="s">
        <v>2780</v>
      </c>
      <c r="M174" s="190" t="s">
        <v>3014</v>
      </c>
      <c r="N174" s="10" t="s">
        <v>3526</v>
      </c>
      <c r="O174" s="178" t="s">
        <v>3527</v>
      </c>
      <c r="P174" s="178" t="s">
        <v>3528</v>
      </c>
      <c r="Q174" s="327">
        <v>1488.16</v>
      </c>
      <c r="R174" s="190">
        <v>7</v>
      </c>
      <c r="S174" s="190"/>
      <c r="T174" s="190" t="s">
        <v>2518</v>
      </c>
      <c r="U174" s="190" t="s">
        <v>3354</v>
      </c>
      <c r="V174" s="8" t="s">
        <v>2011</v>
      </c>
      <c r="W174" s="10"/>
      <c r="X174" s="9"/>
      <c r="Y174" s="172"/>
      <c r="Z174" s="172"/>
      <c r="AA174" s="172"/>
      <c r="AB174" s="143" t="str">
        <f t="shared" ca="1" si="20"/>
        <v>NY Submit</v>
      </c>
      <c r="AC174" s="13"/>
      <c r="AD174" s="12">
        <v>45941</v>
      </c>
      <c r="AE174" s="12">
        <v>45941</v>
      </c>
      <c r="AF174" s="12"/>
      <c r="AG174" s="12">
        <v>45943</v>
      </c>
      <c r="AH174" s="11">
        <v>45957</v>
      </c>
      <c r="AI174" s="11"/>
      <c r="AJ174" s="11"/>
      <c r="AK174" s="11"/>
      <c r="AL174" s="11"/>
      <c r="AM174" s="11">
        <v>45965</v>
      </c>
      <c r="AN174" s="11">
        <v>45965</v>
      </c>
      <c r="AO174" s="11" t="str">
        <f>+IF(AM174&lt;&gt;"","ATP App MS",IF(AJ174&lt;&gt;"","Inbound",IF(AH174&lt;&gt;"","Dismantle Perangkat",IF(AF174="Drop","Drop",IF(AE174&lt;&gt;"","Survey Report",IF(AD174&lt;&gt;"","Survey","NY Survey"))))))</f>
        <v>ATP App MS</v>
      </c>
      <c r="AP174" s="173" t="s">
        <v>3533</v>
      </c>
      <c r="AQ174" s="12">
        <v>45958</v>
      </c>
      <c r="AR174" s="12">
        <v>45981</v>
      </c>
      <c r="AS174" s="12">
        <v>45960</v>
      </c>
      <c r="AT174" s="12"/>
      <c r="AU174" s="12">
        <v>46002</v>
      </c>
      <c r="AV174" s="12"/>
      <c r="AW174" s="11" t="str">
        <f t="shared" si="21"/>
        <v>Upload 1st BOQ &amp; BAN Isaac</v>
      </c>
      <c r="AX174" s="12"/>
      <c r="AY174" s="12"/>
      <c r="AZ174" s="12"/>
      <c r="BA174" s="12"/>
      <c r="BB174" s="12"/>
      <c r="BC174" s="12"/>
      <c r="BD174" s="11" t="str">
        <f t="shared" si="22"/>
        <v>NY Submit</v>
      </c>
      <c r="BE174" s="174"/>
      <c r="BF174" s="12">
        <v>45941</v>
      </c>
      <c r="BG174" s="12">
        <v>45942</v>
      </c>
      <c r="BH174" s="10"/>
      <c r="BI174" s="12"/>
      <c r="BJ174" s="12"/>
      <c r="BK174" s="174"/>
      <c r="BL174" s="12" t="str">
        <f t="shared" si="23"/>
        <v>Approved</v>
      </c>
      <c r="BM174" s="12" t="str">
        <f t="shared" si="24"/>
        <v>NY Submit</v>
      </c>
      <c r="BN174" s="12">
        <v>45972</v>
      </c>
      <c r="BO174" s="12">
        <v>45973</v>
      </c>
      <c r="BP174" s="155" t="s">
        <v>2011</v>
      </c>
      <c r="BQ174" s="12" t="s">
        <v>2968</v>
      </c>
      <c r="BR174" s="12">
        <v>46021</v>
      </c>
      <c r="BS174" s="143">
        <f t="shared" ca="1" si="27"/>
        <v>0</v>
      </c>
      <c r="BT174" s="176"/>
      <c r="BU174" s="12"/>
      <c r="BV174" s="143">
        <f t="shared" ca="1" si="28"/>
        <v>0</v>
      </c>
      <c r="BW174" s="12"/>
      <c r="BX174" s="12"/>
      <c r="BY174" s="143"/>
      <c r="BZ174" s="13" t="s">
        <v>2500</v>
      </c>
      <c r="CA174" s="13" t="s">
        <v>2555</v>
      </c>
      <c r="CB174" s="13" t="s">
        <v>2486</v>
      </c>
      <c r="CC174" s="13"/>
      <c r="CD174" s="13"/>
      <c r="CE174" s="198"/>
      <c r="CF174" s="198"/>
      <c r="CG174" s="272"/>
      <c r="CH174" s="272"/>
      <c r="CI174" s="198"/>
      <c r="CJ174" s="198"/>
      <c r="CK174" s="198"/>
      <c r="CL174" s="198"/>
    </row>
    <row r="175" spans="1:90">
      <c r="A175" s="187">
        <v>170</v>
      </c>
      <c r="B175" s="190" t="s">
        <v>2486</v>
      </c>
      <c r="C175" s="190" t="s">
        <v>2487</v>
      </c>
      <c r="D175" s="190" t="s">
        <v>135</v>
      </c>
      <c r="E175" s="8" t="e">
        <f ca="1">+_xlfn.CONCAT(G175,"-",B175,"_",C175,"_",_xlfn.XLOOKUP(BP175,Account!M:M,Account!N:N))</f>
        <v>#NAME?</v>
      </c>
      <c r="F175" s="12">
        <v>45930</v>
      </c>
      <c r="G175" s="190" t="s">
        <v>1780</v>
      </c>
      <c r="H175" s="190" t="s">
        <v>3534</v>
      </c>
      <c r="I175" s="10" t="s">
        <v>1781</v>
      </c>
      <c r="J175" s="190">
        <v>2</v>
      </c>
      <c r="K175" s="190" t="s">
        <v>2038</v>
      </c>
      <c r="L175" s="190" t="s">
        <v>2780</v>
      </c>
      <c r="M175" s="190" t="s">
        <v>3014</v>
      </c>
      <c r="N175" s="10" t="s">
        <v>3535</v>
      </c>
      <c r="O175" s="178" t="s">
        <v>3536</v>
      </c>
      <c r="P175" s="178" t="s">
        <v>3537</v>
      </c>
      <c r="Q175" s="327">
        <v>13067.712</v>
      </c>
      <c r="R175" s="190"/>
      <c r="S175" s="190"/>
      <c r="T175" s="190" t="s">
        <v>2494</v>
      </c>
      <c r="U175" s="190" t="s">
        <v>2495</v>
      </c>
      <c r="V175" s="8" t="s">
        <v>1760</v>
      </c>
      <c r="W175" s="10"/>
      <c r="X175" s="9"/>
      <c r="Y175" s="172"/>
      <c r="Z175" s="172"/>
      <c r="AA175" s="172"/>
      <c r="AB175" s="143" t="str">
        <f t="shared" ca="1" si="20"/>
        <v>NY Submit</v>
      </c>
      <c r="AC175" s="13"/>
      <c r="AD175" s="12" t="s">
        <v>3207</v>
      </c>
      <c r="AE175" s="12"/>
      <c r="AF175" s="12"/>
      <c r="AG175" s="12">
        <v>45882</v>
      </c>
      <c r="AH175" s="11"/>
      <c r="AI175" s="11">
        <v>45986</v>
      </c>
      <c r="AJ175" s="11"/>
      <c r="AK175" s="11"/>
      <c r="AL175" s="11"/>
      <c r="AM175" s="11"/>
      <c r="AN175" s="11">
        <v>46020</v>
      </c>
      <c r="AO175" s="11" t="str">
        <f>+IF(AN175&lt;&gt;"","BAST",IF(AI175&lt;&gt;"","Dismantle",IF(AG175&lt;&gt;"","RFD App",IF(AF175="Drop","Drop",IF(AE175&lt;&gt;"","Survey Report",IF(AD175&lt;&gt;"","Survey","NY Survey"))))))</f>
        <v>BAST</v>
      </c>
      <c r="AP175" s="173"/>
      <c r="AQ175" s="12">
        <v>45967</v>
      </c>
      <c r="AR175" s="12">
        <v>45973</v>
      </c>
      <c r="AS175" s="12">
        <v>45979</v>
      </c>
      <c r="AT175" s="12">
        <v>46001</v>
      </c>
      <c r="AU175" s="12">
        <v>46002</v>
      </c>
      <c r="AV175" s="12"/>
      <c r="AW175" s="11" t="str">
        <f t="shared" si="21"/>
        <v>Upload 1st BOQ &amp; BAN Isaac</v>
      </c>
      <c r="AX175" s="12"/>
      <c r="AY175" s="12"/>
      <c r="AZ175" s="12"/>
      <c r="BA175" s="12"/>
      <c r="BB175" s="12"/>
      <c r="BC175" s="12"/>
      <c r="BD175" s="11" t="str">
        <f t="shared" si="22"/>
        <v>NY Submit</v>
      </c>
      <c r="BE175" s="174"/>
      <c r="BF175" s="12"/>
      <c r="BG175" s="12"/>
      <c r="BH175" s="10"/>
      <c r="BI175" s="12"/>
      <c r="BJ175" s="12"/>
      <c r="BK175" s="174"/>
      <c r="BL175" s="12" t="str">
        <f t="shared" si="23"/>
        <v>NY Submit</v>
      </c>
      <c r="BM175" s="12" t="str">
        <f t="shared" si="24"/>
        <v>NY Submit</v>
      </c>
      <c r="BN175" s="11">
        <v>46020</v>
      </c>
      <c r="BO175" s="11">
        <v>46020</v>
      </c>
      <c r="BP175" s="155" t="s">
        <v>1760</v>
      </c>
      <c r="BQ175" s="12" t="s">
        <v>3538</v>
      </c>
      <c r="BR175" s="12">
        <v>46021</v>
      </c>
      <c r="BS175" s="143">
        <f t="shared" ca="1" si="27"/>
        <v>0</v>
      </c>
      <c r="BT175" s="176"/>
      <c r="BU175" s="12"/>
      <c r="BV175" s="143">
        <f t="shared" ca="1" si="28"/>
        <v>0</v>
      </c>
      <c r="BW175" s="12"/>
      <c r="BX175" s="12"/>
      <c r="BY175" s="143"/>
      <c r="BZ175" s="13" t="s">
        <v>2500</v>
      </c>
      <c r="CA175" s="13"/>
      <c r="CB175" s="13"/>
      <c r="CC175" s="13"/>
      <c r="CD175" s="13"/>
      <c r="CE175" s="198"/>
      <c r="CF175" s="198"/>
      <c r="CG175" s="272"/>
      <c r="CH175" s="272"/>
      <c r="CI175" s="198"/>
      <c r="CJ175" s="198"/>
      <c r="CK175" s="198"/>
      <c r="CL175" s="198"/>
    </row>
    <row r="176" spans="1:90" ht="45" customHeight="1">
      <c r="A176" s="187">
        <v>171</v>
      </c>
      <c r="B176" s="190" t="s">
        <v>2486</v>
      </c>
      <c r="C176" s="190" t="s">
        <v>2487</v>
      </c>
      <c r="D176" s="190" t="s">
        <v>135</v>
      </c>
      <c r="E176" s="8" t="e">
        <f ca="1">+_xlfn.CONCAT(G176,"-",B176,"_",C176,"_",_xlfn.XLOOKUP(BP176,Account!M:M,Account!N:N))</f>
        <v>#NAME?</v>
      </c>
      <c r="F176" s="12">
        <v>45930</v>
      </c>
      <c r="G176" s="190" t="s">
        <v>1780</v>
      </c>
      <c r="H176" s="190" t="s">
        <v>3534</v>
      </c>
      <c r="I176" s="10" t="s">
        <v>1781</v>
      </c>
      <c r="J176" s="190">
        <v>2</v>
      </c>
      <c r="K176" s="190" t="s">
        <v>2038</v>
      </c>
      <c r="L176" s="190" t="s">
        <v>2780</v>
      </c>
      <c r="M176" s="190" t="s">
        <v>3014</v>
      </c>
      <c r="N176" s="10" t="s">
        <v>3535</v>
      </c>
      <c r="O176" s="178" t="s">
        <v>3536</v>
      </c>
      <c r="P176" s="178" t="s">
        <v>3537</v>
      </c>
      <c r="Q176" s="327">
        <v>13067.712</v>
      </c>
      <c r="R176" s="190"/>
      <c r="S176" s="190"/>
      <c r="T176" s="190" t="s">
        <v>2494</v>
      </c>
      <c r="U176" s="190" t="s">
        <v>2495</v>
      </c>
      <c r="V176" s="8" t="s">
        <v>2011</v>
      </c>
      <c r="W176" s="10"/>
      <c r="X176" s="9"/>
      <c r="Y176" s="172"/>
      <c r="Z176" s="172"/>
      <c r="AA176" s="172"/>
      <c r="AB176" s="143" t="str">
        <f t="shared" ca="1" si="20"/>
        <v>NY Submit</v>
      </c>
      <c r="AC176" s="13"/>
      <c r="AD176" s="12" t="s">
        <v>3207</v>
      </c>
      <c r="AE176" s="12"/>
      <c r="AF176" s="12"/>
      <c r="AG176" s="12">
        <v>45882</v>
      </c>
      <c r="AH176" s="11">
        <v>45950</v>
      </c>
      <c r="AI176" s="11"/>
      <c r="AJ176" s="11"/>
      <c r="AK176" s="11"/>
      <c r="AL176" s="11"/>
      <c r="AM176" s="11">
        <v>45950</v>
      </c>
      <c r="AN176" s="11"/>
      <c r="AO176" s="11" t="str">
        <f>+IF(AM176&lt;&gt;"","ATP App MS",IF(AJ176&lt;&gt;"","Inbound",IF(AH176&lt;&gt;"","Dismantle Perangkat",IF(AF176="Drop","Drop",IF(AE176&lt;&gt;"","Survey Report",IF(AD176&lt;&gt;"","Survey","NY Survey"))))))</f>
        <v>ATP App MS</v>
      </c>
      <c r="AP176" s="185" t="s">
        <v>3539</v>
      </c>
      <c r="AQ176" s="12">
        <v>45967</v>
      </c>
      <c r="AR176" s="12">
        <v>45973</v>
      </c>
      <c r="AS176" s="12">
        <v>45979</v>
      </c>
      <c r="AT176" s="12"/>
      <c r="AU176" s="12">
        <v>46002</v>
      </c>
      <c r="AV176" s="12"/>
      <c r="AW176" s="11" t="str">
        <f t="shared" si="21"/>
        <v>Upload 1st BOQ &amp; BAN Isaac</v>
      </c>
      <c r="AX176" s="12"/>
      <c r="AY176" s="12"/>
      <c r="AZ176" s="12"/>
      <c r="BA176" s="12"/>
      <c r="BB176" s="12"/>
      <c r="BC176" s="12"/>
      <c r="BD176" s="11" t="str">
        <f t="shared" si="22"/>
        <v>NY Submit</v>
      </c>
      <c r="BE176" s="174"/>
      <c r="BF176" s="12"/>
      <c r="BG176" s="12"/>
      <c r="BH176" s="10"/>
      <c r="BI176" s="12"/>
      <c r="BJ176" s="12"/>
      <c r="BK176" s="174"/>
      <c r="BL176" s="12" t="str">
        <f t="shared" si="23"/>
        <v>NY Submit</v>
      </c>
      <c r="BM176" s="12" t="str">
        <f t="shared" si="24"/>
        <v>NY Submit</v>
      </c>
      <c r="BN176" s="12">
        <v>46041</v>
      </c>
      <c r="BO176" s="12">
        <v>46041</v>
      </c>
      <c r="BP176" s="155" t="s">
        <v>2011</v>
      </c>
      <c r="BQ176" s="12" t="s">
        <v>2718</v>
      </c>
      <c r="BR176" s="12">
        <v>46021</v>
      </c>
      <c r="BS176" s="143">
        <f t="shared" ca="1" si="27"/>
        <v>0</v>
      </c>
      <c r="BT176" s="176"/>
      <c r="BU176" s="12"/>
      <c r="BV176" s="143">
        <f t="shared" ca="1" si="28"/>
        <v>0</v>
      </c>
      <c r="BW176" s="12"/>
      <c r="BX176" s="12"/>
      <c r="BY176" s="143"/>
      <c r="BZ176" s="13" t="s">
        <v>2500</v>
      </c>
      <c r="CA176" s="13"/>
      <c r="CB176" s="13"/>
      <c r="CC176" s="13"/>
      <c r="CD176" s="13"/>
      <c r="CE176" s="198"/>
      <c r="CF176" s="198"/>
      <c r="CG176" s="272"/>
      <c r="CH176" s="272"/>
      <c r="CI176" s="198"/>
      <c r="CJ176" s="198"/>
      <c r="CK176" s="198"/>
      <c r="CL176" s="198"/>
    </row>
    <row r="177" spans="1:90" ht="45" customHeight="1">
      <c r="A177" s="187">
        <v>172</v>
      </c>
      <c r="B177" s="190" t="s">
        <v>2486</v>
      </c>
      <c r="C177" s="190" t="s">
        <v>2487</v>
      </c>
      <c r="D177" s="190" t="s">
        <v>135</v>
      </c>
      <c r="E177" s="8" t="e">
        <f ca="1">+_xlfn.CONCAT(G177,"-",B177,"_",C177,"_",_xlfn.XLOOKUP(BP177,Account!M:M,Account!N:N))</f>
        <v>#NAME?</v>
      </c>
      <c r="F177" s="12">
        <v>45930</v>
      </c>
      <c r="G177" s="190" t="s">
        <v>1780</v>
      </c>
      <c r="H177" s="190" t="s">
        <v>3534</v>
      </c>
      <c r="I177" s="10" t="s">
        <v>1781</v>
      </c>
      <c r="J177" s="190">
        <v>2</v>
      </c>
      <c r="K177" s="190" t="s">
        <v>2038</v>
      </c>
      <c r="L177" s="190" t="s">
        <v>2780</v>
      </c>
      <c r="M177" s="190" t="s">
        <v>3014</v>
      </c>
      <c r="N177" s="10" t="s">
        <v>3535</v>
      </c>
      <c r="O177" s="178" t="s">
        <v>3536</v>
      </c>
      <c r="P177" s="178" t="s">
        <v>3537</v>
      </c>
      <c r="Q177" s="327">
        <v>13067.712</v>
      </c>
      <c r="R177" s="190"/>
      <c r="S177" s="190"/>
      <c r="T177" s="190" t="s">
        <v>2494</v>
      </c>
      <c r="U177" s="190" t="s">
        <v>2495</v>
      </c>
      <c r="V177" s="8" t="s">
        <v>1768</v>
      </c>
      <c r="W177" s="10"/>
      <c r="X177" s="9"/>
      <c r="Y177" s="172"/>
      <c r="Z177" s="172"/>
      <c r="AA177" s="172"/>
      <c r="AB177" s="143" t="str">
        <f t="shared" ca="1" si="20"/>
        <v>NY Submit</v>
      </c>
      <c r="AC177" s="13"/>
      <c r="AD177" s="12" t="s">
        <v>3207</v>
      </c>
      <c r="AE177" s="12"/>
      <c r="AF177" s="12"/>
      <c r="AG177" s="12">
        <v>45882</v>
      </c>
      <c r="AH177" s="11"/>
      <c r="AI177" s="11"/>
      <c r="AJ177" s="11"/>
      <c r="AK177" s="11">
        <v>45986</v>
      </c>
      <c r="AL177" s="11">
        <v>45960</v>
      </c>
      <c r="AM177" s="11"/>
      <c r="AN177" s="11"/>
      <c r="AO177" s="11" t="str">
        <f>+IF(AM177&lt;&gt;"","ATP App MS",IF(AL177&lt;&gt;"","OA/RFS",IF(AK177&lt;&gt;"","Install",IF(AH177&lt;&gt;"","Dismantle Perangkat",IF(AF177="Drop","Drop",IF(AE177&lt;&gt;"","Survey Report",IF(AD177&lt;&gt;"","Survey","NY Survey")))))))</f>
        <v>OA/RFS</v>
      </c>
      <c r="AP177" s="185" t="s">
        <v>3540</v>
      </c>
      <c r="AQ177" s="12">
        <v>45967</v>
      </c>
      <c r="AR177" s="12">
        <v>45973</v>
      </c>
      <c r="AS177" s="12">
        <v>45979</v>
      </c>
      <c r="AT177" s="12">
        <v>46001</v>
      </c>
      <c r="AU177" s="12">
        <v>46002</v>
      </c>
      <c r="AV177" s="12"/>
      <c r="AW177" s="11" t="str">
        <f t="shared" si="21"/>
        <v>Upload 1st BOQ &amp; BAN Isaac</v>
      </c>
      <c r="AX177" s="12"/>
      <c r="AY177" s="12"/>
      <c r="AZ177" s="12"/>
      <c r="BA177" s="12"/>
      <c r="BB177" s="12"/>
      <c r="BC177" s="12"/>
      <c r="BD177" s="11" t="str">
        <f t="shared" si="22"/>
        <v>NY Submit</v>
      </c>
      <c r="BE177" s="174"/>
      <c r="BF177" s="12"/>
      <c r="BG177" s="12"/>
      <c r="BH177" s="10"/>
      <c r="BI177" s="12"/>
      <c r="BJ177" s="12"/>
      <c r="BK177" s="174"/>
      <c r="BL177" s="12" t="str">
        <f t="shared" si="23"/>
        <v>NY Submit</v>
      </c>
      <c r="BM177" s="12" t="str">
        <f t="shared" si="24"/>
        <v>NY Submit</v>
      </c>
      <c r="BN177" s="12">
        <v>46041</v>
      </c>
      <c r="BO177" s="12">
        <v>46041</v>
      </c>
      <c r="BP177" s="155" t="s">
        <v>1768</v>
      </c>
      <c r="BQ177" s="12" t="s">
        <v>3541</v>
      </c>
      <c r="BR177" s="12">
        <v>46021</v>
      </c>
      <c r="BS177" s="143">
        <f t="shared" ca="1" si="27"/>
        <v>0</v>
      </c>
      <c r="BT177" s="176"/>
      <c r="BU177" s="12"/>
      <c r="BV177" s="143">
        <f t="shared" ca="1" si="28"/>
        <v>0</v>
      </c>
      <c r="BW177" s="12"/>
      <c r="BX177" s="12"/>
      <c r="BY177" s="143"/>
      <c r="BZ177" s="13" t="s">
        <v>2500</v>
      </c>
      <c r="CA177" s="13"/>
      <c r="CB177" s="13"/>
      <c r="CC177" s="13"/>
      <c r="CD177" s="13"/>
      <c r="CE177" s="198" t="s">
        <v>3542</v>
      </c>
      <c r="CF177" s="198" t="s">
        <v>3543</v>
      </c>
      <c r="CG177" s="272"/>
      <c r="CH177" s="272"/>
      <c r="CI177" s="198"/>
      <c r="CJ177" s="198" t="s">
        <v>3544</v>
      </c>
      <c r="CK177" s="198" t="s">
        <v>3545</v>
      </c>
      <c r="CL177" s="198"/>
    </row>
    <row r="178" spans="1:90" ht="45" customHeight="1">
      <c r="A178" s="187">
        <v>173</v>
      </c>
      <c r="B178" s="190" t="s">
        <v>2486</v>
      </c>
      <c r="C178" s="190" t="s">
        <v>2487</v>
      </c>
      <c r="D178" s="190" t="s">
        <v>135</v>
      </c>
      <c r="E178" s="8" t="e">
        <f ca="1">+_xlfn.CONCAT(G178,"-",B178,"_",C178,"_",_xlfn.XLOOKUP(BP178,Account!M:M,Account!N:N))</f>
        <v>#NAME?</v>
      </c>
      <c r="F178" s="12">
        <v>45930</v>
      </c>
      <c r="G178" s="190" t="s">
        <v>186</v>
      </c>
      <c r="H178" s="190" t="s">
        <v>3546</v>
      </c>
      <c r="I178" s="10" t="s">
        <v>187</v>
      </c>
      <c r="J178" s="190">
        <v>15</v>
      </c>
      <c r="K178" s="190" t="s">
        <v>2038</v>
      </c>
      <c r="L178" s="190" t="s">
        <v>1279</v>
      </c>
      <c r="M178" s="190" t="s">
        <v>2676</v>
      </c>
      <c r="N178" s="10" t="s">
        <v>3547</v>
      </c>
      <c r="O178" s="178" t="s">
        <v>3548</v>
      </c>
      <c r="P178" s="178" t="s">
        <v>3417</v>
      </c>
      <c r="Q178" s="327">
        <v>7491.54</v>
      </c>
      <c r="R178" s="190"/>
      <c r="S178" s="190"/>
      <c r="T178" s="190" t="s">
        <v>2494</v>
      </c>
      <c r="U178" s="190" t="s">
        <v>2495</v>
      </c>
      <c r="V178" s="8" t="s">
        <v>1760</v>
      </c>
      <c r="W178" s="10"/>
      <c r="X178" s="9"/>
      <c r="Y178" s="172" t="s">
        <v>2496</v>
      </c>
      <c r="Z178" s="172">
        <v>46298</v>
      </c>
      <c r="AA178" s="172">
        <v>46091</v>
      </c>
      <c r="AB178" s="143" t="str">
        <f t="shared" ca="1" si="20"/>
        <v>Expired</v>
      </c>
      <c r="AC178" s="13"/>
      <c r="AD178" s="12">
        <v>46073</v>
      </c>
      <c r="AE178" s="12">
        <v>46071</v>
      </c>
      <c r="AF178" s="12"/>
      <c r="AG178" s="12">
        <v>46085</v>
      </c>
      <c r="AH178" s="11"/>
      <c r="AI178" s="11">
        <v>46094</v>
      </c>
      <c r="AJ178" s="11"/>
      <c r="AK178" s="11"/>
      <c r="AL178" s="11"/>
      <c r="AM178" s="11"/>
      <c r="AN178" s="11">
        <v>46093</v>
      </c>
      <c r="AO178" s="11" t="str">
        <f>+IF(AN178&lt;&gt;"","BAST",IF(AI178&lt;&gt;"","Dismantle",IF(AG178&lt;&gt;"","RFD App",IF(AF178="Drop","Drop",IF(AE178&lt;&gt;"","Survey Report",IF(AD178&lt;&gt;"","Survey","NY Survey"))))))</f>
        <v>BAST</v>
      </c>
      <c r="AP178" s="185" t="s">
        <v>3549</v>
      </c>
      <c r="AQ178" s="12">
        <v>46076</v>
      </c>
      <c r="AR178" s="12">
        <v>46078</v>
      </c>
      <c r="AS178" s="12">
        <v>46076</v>
      </c>
      <c r="AT178" s="12"/>
      <c r="AU178" s="12">
        <v>46078</v>
      </c>
      <c r="AV178" s="12"/>
      <c r="AW178" s="11" t="str">
        <f t="shared" si="21"/>
        <v>Upload 1st BOQ &amp; BAN Isaac</v>
      </c>
      <c r="AX178" s="12"/>
      <c r="AY178" s="12"/>
      <c r="AZ178" s="12"/>
      <c r="BA178" s="12"/>
      <c r="BB178" s="12"/>
      <c r="BC178" s="12"/>
      <c r="BD178" s="11" t="str">
        <f t="shared" si="22"/>
        <v>NY Submit</v>
      </c>
      <c r="BE178" s="174"/>
      <c r="BF178" s="12">
        <v>46074</v>
      </c>
      <c r="BG178" s="12">
        <v>46083</v>
      </c>
      <c r="BH178" s="10" t="s">
        <v>3550</v>
      </c>
      <c r="BI178" s="12">
        <v>46074</v>
      </c>
      <c r="BJ178" s="12">
        <v>46074</v>
      </c>
      <c r="BK178" s="174" t="s">
        <v>3551</v>
      </c>
      <c r="BL178" s="12" t="str">
        <f t="shared" si="23"/>
        <v>Approved</v>
      </c>
      <c r="BM178" s="12" t="str">
        <f t="shared" si="24"/>
        <v>Approved</v>
      </c>
      <c r="BN178" s="12">
        <v>46097</v>
      </c>
      <c r="BO178" s="12">
        <v>46097</v>
      </c>
      <c r="BP178" s="155" t="s">
        <v>1760</v>
      </c>
      <c r="BQ178" s="12" t="s">
        <v>3552</v>
      </c>
      <c r="BR178" s="12">
        <v>46097</v>
      </c>
      <c r="BS178" s="143">
        <f t="shared" ca="1" si="27"/>
        <v>0</v>
      </c>
      <c r="BT178" s="176"/>
      <c r="BU178" s="12"/>
      <c r="BV178" s="143">
        <f t="shared" ca="1" si="28"/>
        <v>0</v>
      </c>
      <c r="BW178" s="12"/>
      <c r="BX178" s="12"/>
      <c r="BY178" s="143"/>
      <c r="BZ178" s="13" t="s">
        <v>2500</v>
      </c>
      <c r="CA178" s="13"/>
      <c r="CB178" s="13"/>
      <c r="CC178" s="13"/>
      <c r="CD178" s="13"/>
      <c r="CE178" s="198"/>
      <c r="CF178" s="198"/>
      <c r="CG178" s="272"/>
      <c r="CH178" s="272"/>
      <c r="CI178" s="198"/>
      <c r="CJ178" s="198"/>
      <c r="CK178" s="198"/>
      <c r="CL178" s="198"/>
    </row>
    <row r="179" spans="1:90" ht="75" customHeight="1">
      <c r="A179" s="187">
        <v>174</v>
      </c>
      <c r="B179" s="190" t="s">
        <v>2486</v>
      </c>
      <c r="C179" s="190" t="s">
        <v>2487</v>
      </c>
      <c r="D179" s="190" t="s">
        <v>135</v>
      </c>
      <c r="E179" s="8" t="e">
        <f ca="1">+_xlfn.CONCAT(G179,"-",B179,"_",C179,"_",_xlfn.XLOOKUP(BP179,Account!M:M,Account!N:N))</f>
        <v>#NAME?</v>
      </c>
      <c r="F179" s="12">
        <v>45930</v>
      </c>
      <c r="G179" s="157" t="s">
        <v>186</v>
      </c>
      <c r="H179" s="190" t="s">
        <v>3546</v>
      </c>
      <c r="I179" s="10" t="s">
        <v>187</v>
      </c>
      <c r="J179" s="190">
        <v>15</v>
      </c>
      <c r="K179" s="190" t="s">
        <v>2038</v>
      </c>
      <c r="L179" s="190" t="s">
        <v>1279</v>
      </c>
      <c r="M179" s="190" t="s">
        <v>2676</v>
      </c>
      <c r="N179" s="198" t="s">
        <v>3547</v>
      </c>
      <c r="O179" s="178" t="s">
        <v>3548</v>
      </c>
      <c r="P179" s="178" t="s">
        <v>3417</v>
      </c>
      <c r="Q179" s="327">
        <v>7491.54</v>
      </c>
      <c r="R179" s="190"/>
      <c r="S179" s="190"/>
      <c r="T179" s="190" t="s">
        <v>2494</v>
      </c>
      <c r="U179" s="190" t="s">
        <v>2495</v>
      </c>
      <c r="V179" s="8" t="s">
        <v>2011</v>
      </c>
      <c r="W179" s="10"/>
      <c r="X179" s="9"/>
      <c r="Y179" s="172"/>
      <c r="Z179" s="172"/>
      <c r="AA179" s="172"/>
      <c r="AB179" s="143" t="str">
        <f t="shared" ca="1" si="20"/>
        <v>NY Submit</v>
      </c>
      <c r="AC179" s="13"/>
      <c r="AD179" s="12">
        <v>46073</v>
      </c>
      <c r="AE179" s="12">
        <v>46071</v>
      </c>
      <c r="AF179" s="12"/>
      <c r="AG179" s="12"/>
      <c r="AH179" s="11">
        <v>46084</v>
      </c>
      <c r="AI179" s="11"/>
      <c r="AJ179" s="11">
        <v>46217</v>
      </c>
      <c r="AK179" s="11"/>
      <c r="AL179" s="11"/>
      <c r="AM179" s="11"/>
      <c r="AN179" s="11"/>
      <c r="AO179" s="11" t="str">
        <f>+IF(AM179&lt;&gt;"","ATP App MS",IF(AJ179&lt;&gt;"","Inbound",IF(AH179&lt;&gt;"","Dismantle Perangkat",IF(AF179="Drop","Drop",IF(AE179&lt;&gt;"","Survey Report",IF(AD179&lt;&gt;"","Survey","NY Survey"))))))</f>
        <v>Inbound</v>
      </c>
      <c r="AP179" s="185" t="s">
        <v>3553</v>
      </c>
      <c r="AQ179" s="12">
        <v>46076</v>
      </c>
      <c r="AR179" s="12">
        <v>46078</v>
      </c>
      <c r="AS179" s="12">
        <v>46076</v>
      </c>
      <c r="AT179" s="12"/>
      <c r="AU179" s="12">
        <v>46078</v>
      </c>
      <c r="AV179" s="12"/>
      <c r="AW179" s="11" t="str">
        <f t="shared" si="21"/>
        <v>Upload 1st BOQ &amp; BAN Isaac</v>
      </c>
      <c r="AX179" s="12"/>
      <c r="AY179" s="12"/>
      <c r="AZ179" s="12"/>
      <c r="BA179" s="12"/>
      <c r="BB179" s="12"/>
      <c r="BC179" s="12"/>
      <c r="BD179" s="11" t="str">
        <f t="shared" si="22"/>
        <v>NY Submit</v>
      </c>
      <c r="BE179" s="174"/>
      <c r="BF179" s="12">
        <v>46074</v>
      </c>
      <c r="BG179" s="12">
        <v>46083</v>
      </c>
      <c r="BH179" s="10"/>
      <c r="BI179" s="12">
        <v>46074</v>
      </c>
      <c r="BJ179" s="12">
        <v>46074</v>
      </c>
      <c r="BK179" s="174"/>
      <c r="BL179" s="12" t="str">
        <f t="shared" si="23"/>
        <v>Approved</v>
      </c>
      <c r="BM179" s="12" t="str">
        <f t="shared" si="24"/>
        <v>Approved</v>
      </c>
      <c r="BN179" s="12"/>
      <c r="BO179" s="12"/>
      <c r="BP179" s="155" t="s">
        <v>2011</v>
      </c>
      <c r="BQ179" s="12" t="s">
        <v>2968</v>
      </c>
      <c r="BR179" s="12">
        <v>46097</v>
      </c>
      <c r="BS179" s="143">
        <f t="shared" ca="1" si="27"/>
        <v>0</v>
      </c>
      <c r="BT179" s="176"/>
      <c r="BU179" s="12"/>
      <c r="BV179" s="143">
        <f t="shared" ca="1" si="28"/>
        <v>0</v>
      </c>
      <c r="BW179" s="12"/>
      <c r="BX179" s="12"/>
      <c r="BY179" s="143"/>
      <c r="BZ179" s="13" t="s">
        <v>3554</v>
      </c>
      <c r="CA179" s="13" t="s">
        <v>2984</v>
      </c>
      <c r="CB179" s="13"/>
      <c r="CC179" s="13"/>
      <c r="CD179" s="13"/>
      <c r="CE179" s="198"/>
      <c r="CF179" s="198"/>
      <c r="CG179" s="272"/>
      <c r="CH179" s="272"/>
      <c r="CI179" s="198"/>
      <c r="CJ179" s="198"/>
      <c r="CK179" s="198"/>
      <c r="CL179" s="198"/>
    </row>
    <row r="180" spans="1:90">
      <c r="A180" s="187">
        <v>175</v>
      </c>
      <c r="B180" s="190" t="s">
        <v>2486</v>
      </c>
      <c r="C180" s="190" t="s">
        <v>2487</v>
      </c>
      <c r="D180" s="190" t="s">
        <v>135</v>
      </c>
      <c r="E180" s="8" t="e">
        <f ca="1">+_xlfn.CONCAT(G180,"-",B180,"_",C180,"_",_xlfn.XLOOKUP(BP180,Account!M:M,Account!N:N))</f>
        <v>#NAME?</v>
      </c>
      <c r="F180" s="12">
        <v>45930</v>
      </c>
      <c r="G180" s="157" t="s">
        <v>1885</v>
      </c>
      <c r="H180" s="190" t="s">
        <v>3555</v>
      </c>
      <c r="I180" s="10" t="s">
        <v>1886</v>
      </c>
      <c r="J180" s="190">
        <v>16</v>
      </c>
      <c r="K180" s="190" t="s">
        <v>2486</v>
      </c>
      <c r="L180" s="190" t="s">
        <v>1230</v>
      </c>
      <c r="M180" s="190" t="s">
        <v>2666</v>
      </c>
      <c r="N180" s="10" t="s">
        <v>3556</v>
      </c>
      <c r="O180" s="178" t="s">
        <v>3557</v>
      </c>
      <c r="P180" s="178" t="s">
        <v>3558</v>
      </c>
      <c r="Q180" s="327"/>
      <c r="R180" s="190">
        <v>15</v>
      </c>
      <c r="S180" s="190" t="s">
        <v>3112</v>
      </c>
      <c r="T180" s="190" t="s">
        <v>2518</v>
      </c>
      <c r="U180" s="190" t="s">
        <v>2565</v>
      </c>
      <c r="V180" s="8" t="s">
        <v>1760</v>
      </c>
      <c r="W180" s="10"/>
      <c r="X180" s="9"/>
      <c r="Y180" s="172" t="s">
        <v>2956</v>
      </c>
      <c r="Z180" s="172">
        <v>46036</v>
      </c>
      <c r="AA180" s="172">
        <v>46043</v>
      </c>
      <c r="AB180" s="143" t="str">
        <f t="shared" ca="1" si="20"/>
        <v>Expired</v>
      </c>
      <c r="AC180" s="13"/>
      <c r="AD180" s="12">
        <v>45939</v>
      </c>
      <c r="AE180" s="12">
        <v>45939</v>
      </c>
      <c r="AF180" s="12"/>
      <c r="AG180" s="12">
        <v>46028</v>
      </c>
      <c r="AH180" s="11"/>
      <c r="AI180" s="11">
        <v>46059</v>
      </c>
      <c r="AJ180" s="11"/>
      <c r="AK180" s="11"/>
      <c r="AL180" s="11"/>
      <c r="AM180" s="11"/>
      <c r="AN180" s="11">
        <v>46059</v>
      </c>
      <c r="AO180" s="11" t="str">
        <f>+IF(AN180&lt;&gt;"","BAST",IF(AI180&lt;&gt;"","Dismantle",IF(AG180&lt;&gt;"","RFD App",IF(AF180="Drop","Drop",IF(AE180&lt;&gt;"","Survey Report",IF(AD180&lt;&gt;"","Survey","NY Survey"))))))</f>
        <v>BAST</v>
      </c>
      <c r="AP180" s="173" t="s">
        <v>2520</v>
      </c>
      <c r="AQ180" s="12">
        <v>45982</v>
      </c>
      <c r="AR180" s="12">
        <v>46000</v>
      </c>
      <c r="AS180" s="12">
        <v>45999</v>
      </c>
      <c r="AT180" s="12"/>
      <c r="AU180" s="12">
        <v>46000</v>
      </c>
      <c r="AV180" s="12">
        <v>46000</v>
      </c>
      <c r="AW180" s="11" t="str">
        <f t="shared" si="21"/>
        <v>1st BOQ App on ISAAC</v>
      </c>
      <c r="AX180" s="12"/>
      <c r="AY180" s="12"/>
      <c r="AZ180" s="12"/>
      <c r="BA180" s="12"/>
      <c r="BB180" s="12"/>
      <c r="BC180" s="12"/>
      <c r="BD180" s="11" t="str">
        <f t="shared" si="22"/>
        <v>NY Submit</v>
      </c>
      <c r="BE180" s="174"/>
      <c r="BF180" s="12">
        <v>45939</v>
      </c>
      <c r="BG180" s="12">
        <v>45940</v>
      </c>
      <c r="BH180" s="10" t="s">
        <v>3559</v>
      </c>
      <c r="BI180" s="12">
        <v>45939</v>
      </c>
      <c r="BJ180" s="12">
        <v>45940</v>
      </c>
      <c r="BK180" s="174" t="s">
        <v>3560</v>
      </c>
      <c r="BL180" s="12" t="str">
        <f t="shared" si="23"/>
        <v>Approved</v>
      </c>
      <c r="BM180" s="12" t="str">
        <f t="shared" si="24"/>
        <v>Approved</v>
      </c>
      <c r="BN180" s="12">
        <v>46059</v>
      </c>
      <c r="BO180" s="12">
        <v>46062</v>
      </c>
      <c r="BP180" s="155" t="s">
        <v>1760</v>
      </c>
      <c r="BQ180" s="12" t="s">
        <v>3561</v>
      </c>
      <c r="BR180" s="12">
        <v>46008</v>
      </c>
      <c r="BS180" s="143">
        <f t="shared" ca="1" si="27"/>
        <v>8</v>
      </c>
      <c r="BT180" s="176"/>
      <c r="BU180" s="12"/>
      <c r="BV180" s="143">
        <f t="shared" ca="1" si="28"/>
        <v>0</v>
      </c>
      <c r="BW180" s="12"/>
      <c r="BX180" s="12"/>
      <c r="BY180" s="143"/>
      <c r="BZ180" s="13" t="s">
        <v>2500</v>
      </c>
      <c r="CA180" s="13" t="s">
        <v>2555</v>
      </c>
      <c r="CB180" s="13" t="s">
        <v>2486</v>
      </c>
      <c r="CC180" s="13"/>
      <c r="CD180" s="13"/>
      <c r="CE180" s="198"/>
      <c r="CF180" s="198"/>
      <c r="CG180" s="272"/>
      <c r="CH180" s="272"/>
      <c r="CI180" s="198"/>
      <c r="CJ180" s="198"/>
      <c r="CK180" s="198"/>
      <c r="CL180" s="198"/>
    </row>
    <row r="181" spans="1:90" ht="45" customHeight="1">
      <c r="A181" s="187">
        <v>176</v>
      </c>
      <c r="B181" s="190" t="s">
        <v>2486</v>
      </c>
      <c r="C181" s="190" t="s">
        <v>2487</v>
      </c>
      <c r="D181" s="190" t="s">
        <v>135</v>
      </c>
      <c r="E181" s="8" t="e">
        <f ca="1">+_xlfn.CONCAT(G181,"-",B181,"_",C181,"_",_xlfn.XLOOKUP(BP181,Account!M:M,Account!N:N))</f>
        <v>#NAME?</v>
      </c>
      <c r="F181" s="12">
        <v>45930</v>
      </c>
      <c r="G181" s="190" t="s">
        <v>1885</v>
      </c>
      <c r="H181" s="190" t="s">
        <v>3555</v>
      </c>
      <c r="I181" s="10" t="s">
        <v>1886</v>
      </c>
      <c r="J181" s="190">
        <v>16</v>
      </c>
      <c r="K181" s="190" t="s">
        <v>2486</v>
      </c>
      <c r="L181" s="190" t="s">
        <v>1230</v>
      </c>
      <c r="M181" s="190" t="s">
        <v>2666</v>
      </c>
      <c r="N181" s="10" t="s">
        <v>3556</v>
      </c>
      <c r="O181" s="178" t="s">
        <v>3557</v>
      </c>
      <c r="P181" s="178" t="s">
        <v>3558</v>
      </c>
      <c r="Q181" s="327"/>
      <c r="R181" s="190">
        <v>15</v>
      </c>
      <c r="S181" s="190" t="s">
        <v>3112</v>
      </c>
      <c r="T181" s="190" t="s">
        <v>2518</v>
      </c>
      <c r="U181" s="190" t="s">
        <v>2565</v>
      </c>
      <c r="V181" s="8" t="s">
        <v>2011</v>
      </c>
      <c r="W181" s="10"/>
      <c r="X181" s="9"/>
      <c r="Y181" s="172" t="s">
        <v>2956</v>
      </c>
      <c r="Z181" s="172">
        <v>46036</v>
      </c>
      <c r="AA181" s="172">
        <v>46043</v>
      </c>
      <c r="AB181" s="143" t="str">
        <f t="shared" ca="1" si="20"/>
        <v>Expired</v>
      </c>
      <c r="AC181" s="13"/>
      <c r="AD181" s="12">
        <v>45939</v>
      </c>
      <c r="AE181" s="12">
        <v>45939</v>
      </c>
      <c r="AF181" s="12"/>
      <c r="AG181" s="12"/>
      <c r="AH181" s="11">
        <v>46051</v>
      </c>
      <c r="AI181" s="11"/>
      <c r="AJ181" s="11"/>
      <c r="AK181" s="11"/>
      <c r="AL181" s="11"/>
      <c r="AM181" s="11"/>
      <c r="AN181" s="11"/>
      <c r="AO181" s="11" t="str">
        <f>+IF(AM181&lt;&gt;"","ATP App MS",IF(AJ181&lt;&gt;"","Inbound",IF(AH181&lt;&gt;"","Dismantle Perangkat",IF(AF181="Drop","Drop",IF(AE181&lt;&gt;"","Survey Report",IF(AD181&lt;&gt;"","Survey","NY Survey"))))))</f>
        <v>Dismantle Perangkat</v>
      </c>
      <c r="AP181" s="185" t="s">
        <v>3562</v>
      </c>
      <c r="AQ181" s="12">
        <v>45982</v>
      </c>
      <c r="AR181" s="12">
        <v>46000</v>
      </c>
      <c r="AS181" s="12">
        <v>45999</v>
      </c>
      <c r="AT181" s="12"/>
      <c r="AU181" s="12">
        <v>46000</v>
      </c>
      <c r="AV181" s="12">
        <v>46000</v>
      </c>
      <c r="AW181" s="11" t="str">
        <f t="shared" si="21"/>
        <v>1st BOQ App on ISAAC</v>
      </c>
      <c r="AX181" s="12"/>
      <c r="AY181" s="12"/>
      <c r="AZ181" s="12"/>
      <c r="BA181" s="12"/>
      <c r="BB181" s="12"/>
      <c r="BC181" s="12"/>
      <c r="BD181" s="11" t="str">
        <f t="shared" si="22"/>
        <v>NY Submit</v>
      </c>
      <c r="BE181" s="174"/>
      <c r="BF181" s="12">
        <v>45939</v>
      </c>
      <c r="BG181" s="12">
        <v>45940</v>
      </c>
      <c r="BH181" s="10"/>
      <c r="BI181" s="12">
        <v>45939</v>
      </c>
      <c r="BJ181" s="12">
        <v>45940</v>
      </c>
      <c r="BK181" s="174"/>
      <c r="BL181" s="12" t="str">
        <f t="shared" si="23"/>
        <v>Approved</v>
      </c>
      <c r="BM181" s="12" t="str">
        <f t="shared" si="24"/>
        <v>Approved</v>
      </c>
      <c r="BN181" s="12"/>
      <c r="BO181" s="12"/>
      <c r="BP181" s="155" t="s">
        <v>2011</v>
      </c>
      <c r="BQ181" s="12" t="s">
        <v>2718</v>
      </c>
      <c r="BR181" s="12">
        <v>46170</v>
      </c>
      <c r="BS181" s="143">
        <f t="shared" ca="1" si="27"/>
        <v>170</v>
      </c>
      <c r="BT181" s="176"/>
      <c r="BU181" s="12"/>
      <c r="BV181" s="143">
        <f t="shared" ca="1" si="28"/>
        <v>0</v>
      </c>
      <c r="BW181" s="12"/>
      <c r="BX181" s="12"/>
      <c r="BY181" s="143"/>
      <c r="BZ181" s="13" t="s">
        <v>2500</v>
      </c>
      <c r="CA181" s="13"/>
      <c r="CB181" s="13"/>
      <c r="CC181" s="13"/>
      <c r="CD181" s="13"/>
      <c r="CE181" s="198"/>
      <c r="CF181" s="198"/>
      <c r="CG181" s="272"/>
      <c r="CH181" s="272"/>
      <c r="CI181" s="198"/>
      <c r="CJ181" s="198"/>
      <c r="CK181" s="198"/>
      <c r="CL181" s="198"/>
    </row>
    <row r="182" spans="1:90" ht="120" customHeight="1">
      <c r="A182" s="187">
        <v>177</v>
      </c>
      <c r="B182" s="190" t="s">
        <v>2486</v>
      </c>
      <c r="C182" s="190" t="s">
        <v>2487</v>
      </c>
      <c r="D182" s="190" t="s">
        <v>135</v>
      </c>
      <c r="E182" s="8" t="e">
        <f ca="1">+_xlfn.CONCAT(G182,"-",B182,"_",C182,"_",_xlfn.XLOOKUP(BP182,Account!M:M,Account!N:N))</f>
        <v>#NAME?</v>
      </c>
      <c r="F182" s="12">
        <v>45930</v>
      </c>
      <c r="G182" s="190" t="s">
        <v>1885</v>
      </c>
      <c r="H182" s="190" t="s">
        <v>3555</v>
      </c>
      <c r="I182" s="10" t="s">
        <v>1886</v>
      </c>
      <c r="J182" s="190">
        <v>16</v>
      </c>
      <c r="K182" s="190" t="s">
        <v>2486</v>
      </c>
      <c r="L182" s="190" t="s">
        <v>1230</v>
      </c>
      <c r="M182" s="190" t="s">
        <v>2666</v>
      </c>
      <c r="N182" s="10" t="s">
        <v>3556</v>
      </c>
      <c r="O182" s="178" t="s">
        <v>3557</v>
      </c>
      <c r="P182" s="178" t="s">
        <v>3558</v>
      </c>
      <c r="Q182" s="327"/>
      <c r="R182" s="190">
        <v>15</v>
      </c>
      <c r="S182" s="190" t="s">
        <v>3112</v>
      </c>
      <c r="T182" s="190" t="s">
        <v>2518</v>
      </c>
      <c r="U182" s="190" t="s">
        <v>2565</v>
      </c>
      <c r="V182" s="8" t="s">
        <v>1768</v>
      </c>
      <c r="W182" s="10"/>
      <c r="X182" s="9"/>
      <c r="Y182" s="172" t="s">
        <v>2956</v>
      </c>
      <c r="Z182" s="172">
        <v>46036</v>
      </c>
      <c r="AA182" s="172">
        <v>46043</v>
      </c>
      <c r="AB182" s="143" t="str">
        <f t="shared" ca="1" si="20"/>
        <v>Expired</v>
      </c>
      <c r="AC182" s="13"/>
      <c r="AD182" s="12">
        <v>45939</v>
      </c>
      <c r="AE182" s="12">
        <v>45939</v>
      </c>
      <c r="AF182" s="12"/>
      <c r="AG182" s="12"/>
      <c r="AH182" s="11"/>
      <c r="AI182" s="11"/>
      <c r="AJ182" s="11"/>
      <c r="AK182" s="11">
        <v>46057</v>
      </c>
      <c r="AL182" s="11">
        <v>46076</v>
      </c>
      <c r="AM182" s="11"/>
      <c r="AN182" s="11"/>
      <c r="AO182" s="11" t="str">
        <f>+IF(AM182&lt;&gt;"","ATP App MS",IF(AL182&lt;&gt;"","OA/RFS",IF(AK182&lt;&gt;"","Install",IF(AH182&lt;&gt;"","Dismantle Perangkat",IF(AF182="Drop","Drop",IF(AE182&lt;&gt;"","Survey Report",IF(AD182&lt;&gt;"","Survey","NY Survey")))))))</f>
        <v>OA/RFS</v>
      </c>
      <c r="AP182" s="185" t="s">
        <v>3563</v>
      </c>
      <c r="AQ182" s="12">
        <v>45982</v>
      </c>
      <c r="AR182" s="12">
        <v>46000</v>
      </c>
      <c r="AS182" s="12">
        <v>45999</v>
      </c>
      <c r="AT182" s="12">
        <v>46114</v>
      </c>
      <c r="AU182" s="12">
        <v>46000</v>
      </c>
      <c r="AV182" s="12">
        <v>46000</v>
      </c>
      <c r="AW182" s="11" t="str">
        <f t="shared" si="21"/>
        <v>1st BOQ App on ISAAC</v>
      </c>
      <c r="AX182" s="12">
        <v>46063</v>
      </c>
      <c r="AY182" s="12"/>
      <c r="AZ182" s="12"/>
      <c r="BA182" s="12">
        <v>46149</v>
      </c>
      <c r="BB182" s="12"/>
      <c r="BC182" s="12">
        <v>46150</v>
      </c>
      <c r="BD182" s="11" t="str">
        <f t="shared" si="22"/>
        <v>2nd BOQ App on ISAAC</v>
      </c>
      <c r="BE182" s="174" t="s">
        <v>3379</v>
      </c>
      <c r="BF182" s="12">
        <v>45939</v>
      </c>
      <c r="BG182" s="12">
        <v>45940</v>
      </c>
      <c r="BH182" s="10"/>
      <c r="BI182" s="12">
        <v>45939</v>
      </c>
      <c r="BJ182" s="12">
        <v>45940</v>
      </c>
      <c r="BK182" s="174"/>
      <c r="BL182" s="12" t="str">
        <f t="shared" si="23"/>
        <v>Approved</v>
      </c>
      <c r="BM182" s="12" t="str">
        <f t="shared" si="24"/>
        <v>Approved</v>
      </c>
      <c r="BN182" s="12"/>
      <c r="BO182" s="12"/>
      <c r="BP182" s="155" t="s">
        <v>1768</v>
      </c>
      <c r="BQ182" s="176" t="s">
        <v>3564</v>
      </c>
      <c r="BR182" s="12">
        <v>46170</v>
      </c>
      <c r="BS182" s="143">
        <f t="shared" ca="1" si="27"/>
        <v>170</v>
      </c>
      <c r="BT182" s="176" t="s">
        <v>3565</v>
      </c>
      <c r="BU182" s="12">
        <v>46170</v>
      </c>
      <c r="BV182" s="143">
        <f t="shared" ca="1" si="28"/>
        <v>20</v>
      </c>
      <c r="BW182" s="176"/>
      <c r="BX182" s="12"/>
      <c r="BY182" s="143"/>
      <c r="BZ182" s="13" t="s">
        <v>2500</v>
      </c>
      <c r="CA182" s="13"/>
      <c r="CB182" s="13"/>
      <c r="CC182" s="13"/>
      <c r="CD182" s="13"/>
      <c r="CE182" s="198" t="s">
        <v>3566</v>
      </c>
      <c r="CF182" s="198" t="s">
        <v>3567</v>
      </c>
      <c r="CG182" s="272"/>
      <c r="CH182" s="272"/>
      <c r="CI182" s="198" t="s">
        <v>3568</v>
      </c>
      <c r="CJ182" s="198" t="s">
        <v>3569</v>
      </c>
      <c r="CK182" s="198"/>
      <c r="CL182" s="198"/>
    </row>
    <row r="183" spans="1:90">
      <c r="A183" s="186">
        <v>178</v>
      </c>
      <c r="B183" s="190" t="s">
        <v>2486</v>
      </c>
      <c r="C183" s="190" t="s">
        <v>2487</v>
      </c>
      <c r="D183" s="190" t="s">
        <v>135</v>
      </c>
      <c r="E183" s="8" t="e">
        <f ca="1">+_xlfn.CONCAT(G183,"-",B183,"_",C183,"_",_xlfn.XLOOKUP(BP183,Account!M:M,Account!N:N))</f>
        <v>#NAME?</v>
      </c>
      <c r="F183" s="12">
        <v>45930</v>
      </c>
      <c r="G183" s="190" t="s">
        <v>3570</v>
      </c>
      <c r="H183" s="190" t="s">
        <v>3571</v>
      </c>
      <c r="I183" s="10" t="s">
        <v>3572</v>
      </c>
      <c r="J183" s="190">
        <v>10</v>
      </c>
      <c r="K183" s="190" t="s">
        <v>2038</v>
      </c>
      <c r="L183" s="190" t="s">
        <v>3156</v>
      </c>
      <c r="M183" s="190" t="s">
        <v>3362</v>
      </c>
      <c r="N183" s="10" t="s">
        <v>3573</v>
      </c>
      <c r="O183" s="178" t="s">
        <v>3574</v>
      </c>
      <c r="P183" s="178" t="s">
        <v>3575</v>
      </c>
      <c r="Q183" s="327">
        <v>8236.6560000000009</v>
      </c>
      <c r="R183" s="190">
        <v>40</v>
      </c>
      <c r="S183" s="190"/>
      <c r="T183" s="190" t="s">
        <v>2494</v>
      </c>
      <c r="U183" s="190" t="s">
        <v>2495</v>
      </c>
      <c r="V183" s="8" t="s">
        <v>1760</v>
      </c>
      <c r="W183" s="10" t="s">
        <v>3148</v>
      </c>
      <c r="X183" s="9"/>
      <c r="Y183" s="172"/>
      <c r="Z183" s="172"/>
      <c r="AA183" s="172"/>
      <c r="AB183" s="208" t="str">
        <f t="shared" ca="1" si="20"/>
        <v>NY Submit</v>
      </c>
      <c r="AC183" s="13"/>
      <c r="AD183" s="12"/>
      <c r="AE183" s="12"/>
      <c r="AF183" s="12">
        <v>46296</v>
      </c>
      <c r="AG183" s="12"/>
      <c r="AH183" s="11"/>
      <c r="AI183" s="11"/>
      <c r="AJ183" s="11"/>
      <c r="AK183" s="11"/>
      <c r="AL183" s="11"/>
      <c r="AM183" s="11"/>
      <c r="AN183" s="11"/>
      <c r="AO183" s="11" t="str">
        <f>+IF(AN183&lt;&gt;"","BAST",IF(AI183&lt;&gt;"","Dismantle",IF(AG183&lt;&gt;"","RFD App",IF(AF183="Drop","Drop",IF(AE183&lt;&gt;"","Survey Report",IF(AD183&lt;&gt;"","Survey","NY Survey"))))))</f>
        <v>NY Survey</v>
      </c>
      <c r="AP183" s="173"/>
      <c r="AQ183" s="12"/>
      <c r="AR183" s="12"/>
      <c r="AS183" s="12"/>
      <c r="AT183" s="12"/>
      <c r="AU183" s="12"/>
      <c r="AV183" s="12"/>
      <c r="AW183" s="11" t="str">
        <f t="shared" si="21"/>
        <v>NY Submit</v>
      </c>
      <c r="AX183" s="12"/>
      <c r="AY183" s="12"/>
      <c r="AZ183" s="12"/>
      <c r="BA183" s="12"/>
      <c r="BB183" s="12"/>
      <c r="BC183" s="12"/>
      <c r="BD183" s="11" t="str">
        <f t="shared" si="22"/>
        <v>NY Submit</v>
      </c>
      <c r="BE183" s="174" t="s">
        <v>3576</v>
      </c>
      <c r="BF183" s="12"/>
      <c r="BG183" s="12"/>
      <c r="BH183" s="10"/>
      <c r="BI183" s="12"/>
      <c r="BJ183" s="12"/>
      <c r="BK183" s="174"/>
      <c r="BL183" s="12" t="str">
        <f t="shared" si="23"/>
        <v>NY Submit</v>
      </c>
      <c r="BM183" s="12" t="str">
        <f t="shared" si="24"/>
        <v>NY Submit</v>
      </c>
      <c r="BN183" s="12"/>
      <c r="BO183" s="12"/>
      <c r="BP183" s="155" t="s">
        <v>1760</v>
      </c>
      <c r="BQ183" s="12" t="s">
        <v>3106</v>
      </c>
      <c r="BR183" s="12"/>
      <c r="BS183" s="143">
        <f t="shared" ca="1" si="27"/>
        <v>0</v>
      </c>
      <c r="BT183" s="176"/>
      <c r="BU183" s="12"/>
      <c r="BV183" s="143">
        <f t="shared" ca="1" si="28"/>
        <v>0</v>
      </c>
      <c r="BW183" s="12"/>
      <c r="BX183" s="12"/>
      <c r="BY183" s="143"/>
      <c r="BZ183" s="13"/>
      <c r="CA183" s="13"/>
      <c r="CB183" s="13"/>
      <c r="CC183" s="13"/>
      <c r="CD183" s="13"/>
      <c r="CE183" s="198"/>
      <c r="CF183" s="198"/>
      <c r="CG183" s="272"/>
      <c r="CH183" s="272"/>
      <c r="CI183" s="198"/>
      <c r="CJ183" s="198"/>
      <c r="CK183" s="198"/>
      <c r="CL183" s="198"/>
    </row>
    <row r="184" spans="1:90">
      <c r="A184" s="187">
        <v>179</v>
      </c>
      <c r="B184" s="190" t="s">
        <v>2486</v>
      </c>
      <c r="C184" s="190" t="s">
        <v>2487</v>
      </c>
      <c r="D184" s="190" t="s">
        <v>135</v>
      </c>
      <c r="E184" s="8" t="e">
        <f ca="1">+_xlfn.CONCAT(G184,"-",B184,"_",C184,"_",_xlfn.XLOOKUP(BP184,Account!M:M,Account!N:N))</f>
        <v>#NAME?</v>
      </c>
      <c r="F184" s="12">
        <v>45931</v>
      </c>
      <c r="G184" s="190" t="s">
        <v>1875</v>
      </c>
      <c r="H184" s="190" t="s">
        <v>3577</v>
      </c>
      <c r="I184" s="10" t="s">
        <v>1876</v>
      </c>
      <c r="J184" s="190">
        <v>18</v>
      </c>
      <c r="K184" s="190" t="s">
        <v>2486</v>
      </c>
      <c r="L184" s="6" t="s">
        <v>1293</v>
      </c>
      <c r="M184" s="190" t="s">
        <v>3578</v>
      </c>
      <c r="N184" s="10" t="s">
        <v>3579</v>
      </c>
      <c r="O184" s="178" t="s">
        <v>3580</v>
      </c>
      <c r="P184" s="178" t="s">
        <v>3581</v>
      </c>
      <c r="Q184" s="327"/>
      <c r="R184" s="190">
        <v>71</v>
      </c>
      <c r="S184" s="190"/>
      <c r="T184" s="190" t="s">
        <v>2494</v>
      </c>
      <c r="U184" s="190" t="s">
        <v>2495</v>
      </c>
      <c r="V184" s="8" t="s">
        <v>1760</v>
      </c>
      <c r="W184" s="10"/>
      <c r="X184" s="9"/>
      <c r="Y184" s="172" t="s">
        <v>2496</v>
      </c>
      <c r="Z184" s="172">
        <v>46034</v>
      </c>
      <c r="AA184" s="172">
        <v>46041</v>
      </c>
      <c r="AB184" s="143" t="str">
        <f t="shared" ca="1" si="20"/>
        <v>Expired</v>
      </c>
      <c r="AC184" s="13"/>
      <c r="AD184" s="12">
        <v>45944</v>
      </c>
      <c r="AE184" s="12">
        <v>45944</v>
      </c>
      <c r="AF184" s="12"/>
      <c r="AG184" s="12"/>
      <c r="AH184" s="11"/>
      <c r="AI184" s="11">
        <v>46044</v>
      </c>
      <c r="AJ184" s="11"/>
      <c r="AK184" s="11"/>
      <c r="AL184" s="11"/>
      <c r="AM184" s="11">
        <v>46043</v>
      </c>
      <c r="AN184" s="11">
        <v>46043</v>
      </c>
      <c r="AO184" s="11" t="str">
        <f>+IF(AN184&lt;&gt;"","BAST",IF(AI184&lt;&gt;"","Dismantle",IF(AG184&lt;&gt;"","RFD App",IF(AF184="Drop","Drop",IF(AE184&lt;&gt;"","Survey Report",IF(AD184&lt;&gt;"","Survey","NY Survey"))))))</f>
        <v>BAST</v>
      </c>
      <c r="AP184" s="173" t="s">
        <v>3582</v>
      </c>
      <c r="AQ184" s="12">
        <v>46036</v>
      </c>
      <c r="AR184" s="12">
        <v>46041</v>
      </c>
      <c r="AS184" s="12">
        <v>46038</v>
      </c>
      <c r="AT184" s="12"/>
      <c r="AU184" s="12">
        <v>46041</v>
      </c>
      <c r="AV184" s="12"/>
      <c r="AW184" s="11" t="str">
        <f t="shared" si="21"/>
        <v>Upload 1st BOQ &amp; BAN Isaac</v>
      </c>
      <c r="AX184" s="12"/>
      <c r="AY184" s="12"/>
      <c r="AZ184" s="12"/>
      <c r="BA184" s="12"/>
      <c r="BB184" s="12"/>
      <c r="BC184" s="12"/>
      <c r="BD184" s="11" t="str">
        <f t="shared" si="22"/>
        <v>NY Submit</v>
      </c>
      <c r="BE184" s="174"/>
      <c r="BF184" s="12">
        <v>45944</v>
      </c>
      <c r="BG184" s="12">
        <v>45977</v>
      </c>
      <c r="BH184" s="10" t="s">
        <v>3583</v>
      </c>
      <c r="BI184" s="12">
        <v>45944</v>
      </c>
      <c r="BJ184" s="12">
        <v>45945</v>
      </c>
      <c r="BK184" s="174" t="s">
        <v>3584</v>
      </c>
      <c r="BL184" s="12" t="str">
        <f t="shared" si="23"/>
        <v>Approved</v>
      </c>
      <c r="BM184" s="12" t="str">
        <f t="shared" si="24"/>
        <v>Approved</v>
      </c>
      <c r="BN184" s="12">
        <v>46055</v>
      </c>
      <c r="BO184" s="12">
        <v>46055</v>
      </c>
      <c r="BP184" s="155" t="s">
        <v>1760</v>
      </c>
      <c r="BQ184" s="12" t="s">
        <v>3585</v>
      </c>
      <c r="BR184" s="12">
        <v>46055</v>
      </c>
      <c r="BS184" s="143">
        <f t="shared" ca="1" si="27"/>
        <v>0</v>
      </c>
      <c r="BT184" s="176"/>
      <c r="BU184" s="12"/>
      <c r="BV184" s="143">
        <f t="shared" ca="1" si="28"/>
        <v>0</v>
      </c>
      <c r="BW184" s="12"/>
      <c r="BX184" s="12"/>
      <c r="BY184" s="143"/>
      <c r="BZ184" s="13" t="s">
        <v>3586</v>
      </c>
      <c r="CA184" s="13" t="s">
        <v>2555</v>
      </c>
      <c r="CB184" s="13" t="s">
        <v>2486</v>
      </c>
      <c r="CC184" s="13"/>
      <c r="CD184" s="13"/>
      <c r="CE184" s="198"/>
      <c r="CF184" s="198"/>
      <c r="CG184" s="273"/>
      <c r="CH184" s="273"/>
      <c r="CI184" s="198"/>
      <c r="CJ184" s="198"/>
      <c r="CK184" s="198"/>
      <c r="CL184" s="198"/>
    </row>
    <row r="185" spans="1:90">
      <c r="A185" s="187">
        <v>180</v>
      </c>
      <c r="B185" s="190" t="s">
        <v>2486</v>
      </c>
      <c r="C185" s="190" t="s">
        <v>2487</v>
      </c>
      <c r="D185" s="190" t="s">
        <v>135</v>
      </c>
      <c r="E185" s="8" t="e">
        <f ca="1">+_xlfn.CONCAT(G185,"-",B185,"_",C185,"_",_xlfn.XLOOKUP(BP185,Account!M:M,Account!N:N))</f>
        <v>#NAME?</v>
      </c>
      <c r="F185" s="12">
        <v>45931</v>
      </c>
      <c r="G185" s="190" t="s">
        <v>1875</v>
      </c>
      <c r="H185" s="190" t="s">
        <v>3577</v>
      </c>
      <c r="I185" s="10" t="s">
        <v>1876</v>
      </c>
      <c r="J185" s="190">
        <v>18</v>
      </c>
      <c r="K185" s="190" t="s">
        <v>2486</v>
      </c>
      <c r="L185" s="6" t="s">
        <v>1293</v>
      </c>
      <c r="M185" s="190" t="s">
        <v>3578</v>
      </c>
      <c r="N185" s="10" t="s">
        <v>3579</v>
      </c>
      <c r="O185" s="178" t="s">
        <v>3580</v>
      </c>
      <c r="P185" s="178" t="s">
        <v>3581</v>
      </c>
      <c r="Q185" s="327"/>
      <c r="R185" s="190">
        <v>71</v>
      </c>
      <c r="S185" s="190"/>
      <c r="T185" s="190" t="s">
        <v>2494</v>
      </c>
      <c r="U185" s="190" t="s">
        <v>2495</v>
      </c>
      <c r="V185" s="8" t="s">
        <v>2011</v>
      </c>
      <c r="W185" s="10"/>
      <c r="X185" s="9"/>
      <c r="Y185" s="172" t="s">
        <v>2496</v>
      </c>
      <c r="Z185" s="172">
        <v>46034</v>
      </c>
      <c r="AA185" s="172">
        <v>46041</v>
      </c>
      <c r="AB185" s="143" t="str">
        <f t="shared" ca="1" si="20"/>
        <v>Expired</v>
      </c>
      <c r="AC185" s="13"/>
      <c r="AD185" s="12">
        <v>45944</v>
      </c>
      <c r="AE185" s="12">
        <v>45944</v>
      </c>
      <c r="AF185" s="12"/>
      <c r="AG185" s="12"/>
      <c r="AH185" s="11">
        <v>46038</v>
      </c>
      <c r="AI185" s="11"/>
      <c r="AJ185" s="11"/>
      <c r="AK185" s="11"/>
      <c r="AL185" s="11"/>
      <c r="AM185" s="11">
        <v>46038</v>
      </c>
      <c r="AN185" s="11"/>
      <c r="AO185" s="11" t="str">
        <f>+IF(AM185&lt;&gt;"","ATP App MS",IF(AJ185&lt;&gt;"","Inbound",IF(AH185&lt;&gt;"","Dismantle Perangkat",IF(AF185="Drop","Drop",IF(AE185&lt;&gt;"","Survey Report",IF(AD185&lt;&gt;"","Survey","NY Survey"))))))</f>
        <v>ATP App MS</v>
      </c>
      <c r="AP185" s="173" t="s">
        <v>3587</v>
      </c>
      <c r="AQ185" s="12">
        <v>46036</v>
      </c>
      <c r="AR185" s="12">
        <v>46041</v>
      </c>
      <c r="AS185" s="12">
        <v>46038</v>
      </c>
      <c r="AT185" s="12"/>
      <c r="AU185" s="12">
        <v>46041</v>
      </c>
      <c r="AV185" s="12"/>
      <c r="AW185" s="11" t="str">
        <f t="shared" si="21"/>
        <v>Upload 1st BOQ &amp; BAN Isaac</v>
      </c>
      <c r="AX185" s="12"/>
      <c r="AY185" s="12"/>
      <c r="AZ185" s="12"/>
      <c r="BA185" s="12"/>
      <c r="BB185" s="12"/>
      <c r="BC185" s="12"/>
      <c r="BD185" s="11" t="str">
        <f t="shared" si="22"/>
        <v>NY Submit</v>
      </c>
      <c r="BE185" s="174"/>
      <c r="BF185" s="12">
        <v>45944</v>
      </c>
      <c r="BG185" s="12"/>
      <c r="BH185" s="10"/>
      <c r="BI185" s="12">
        <v>45944</v>
      </c>
      <c r="BJ185" s="12">
        <v>45945</v>
      </c>
      <c r="BK185" s="174"/>
      <c r="BL185" s="12" t="str">
        <f t="shared" si="23"/>
        <v>Submit</v>
      </c>
      <c r="BM185" s="12" t="str">
        <f t="shared" si="24"/>
        <v>Approved</v>
      </c>
      <c r="BN185" s="12">
        <v>46055</v>
      </c>
      <c r="BO185" s="12">
        <v>46055</v>
      </c>
      <c r="BP185" s="155" t="s">
        <v>2011</v>
      </c>
      <c r="BQ185" s="12" t="s">
        <v>2718</v>
      </c>
      <c r="BR185" s="12">
        <v>46052</v>
      </c>
      <c r="BS185" s="143">
        <f t="shared" ca="1" si="27"/>
        <v>0</v>
      </c>
      <c r="BT185" s="176"/>
      <c r="BU185" s="12"/>
      <c r="BV185" s="143">
        <f t="shared" ca="1" si="28"/>
        <v>0</v>
      </c>
      <c r="BW185" s="12"/>
      <c r="BX185" s="12"/>
      <c r="BY185" s="143"/>
      <c r="BZ185" s="13" t="s">
        <v>3588</v>
      </c>
      <c r="CA185" s="13" t="s">
        <v>3589</v>
      </c>
      <c r="CB185" s="13" t="s">
        <v>2984</v>
      </c>
      <c r="CC185" s="13"/>
      <c r="CD185" s="13"/>
      <c r="CE185" s="198"/>
      <c r="CF185" s="198"/>
      <c r="CG185" s="272"/>
      <c r="CH185" s="272"/>
      <c r="CI185" s="198"/>
      <c r="CJ185" s="198"/>
      <c r="CK185" s="198"/>
      <c r="CL185" s="198"/>
    </row>
    <row r="186" spans="1:90">
      <c r="A186" s="187">
        <v>181</v>
      </c>
      <c r="B186" s="190" t="s">
        <v>2486</v>
      </c>
      <c r="C186" s="190" t="s">
        <v>2487</v>
      </c>
      <c r="D186" s="190" t="s">
        <v>135</v>
      </c>
      <c r="E186" s="8" t="e">
        <f ca="1">+_xlfn.CONCAT(G186,"-",B186,"_",C186,"_",_xlfn.XLOOKUP(BP186,Account!M:M,Account!N:N))</f>
        <v>#NAME?</v>
      </c>
      <c r="F186" s="12">
        <v>45931</v>
      </c>
      <c r="G186" s="190" t="s">
        <v>1875</v>
      </c>
      <c r="H186" s="190" t="s">
        <v>3577</v>
      </c>
      <c r="I186" s="10" t="s">
        <v>1876</v>
      </c>
      <c r="J186" s="190">
        <v>18</v>
      </c>
      <c r="K186" s="190" t="s">
        <v>2486</v>
      </c>
      <c r="L186" s="6" t="s">
        <v>1293</v>
      </c>
      <c r="M186" s="190" t="s">
        <v>3578</v>
      </c>
      <c r="N186" s="10" t="s">
        <v>3579</v>
      </c>
      <c r="O186" s="178" t="s">
        <v>3580</v>
      </c>
      <c r="P186" s="178" t="s">
        <v>3581</v>
      </c>
      <c r="Q186" s="327"/>
      <c r="R186" s="190">
        <v>71</v>
      </c>
      <c r="S186" s="190"/>
      <c r="T186" s="190" t="s">
        <v>2494</v>
      </c>
      <c r="U186" s="190" t="s">
        <v>2495</v>
      </c>
      <c r="V186" s="8" t="s">
        <v>1768</v>
      </c>
      <c r="W186" s="10"/>
      <c r="X186" s="9"/>
      <c r="Y186" s="172" t="s">
        <v>2496</v>
      </c>
      <c r="Z186" s="172">
        <v>46034</v>
      </c>
      <c r="AA186" s="172">
        <v>46041</v>
      </c>
      <c r="AB186" s="143" t="str">
        <f t="shared" ca="1" si="20"/>
        <v>Expired</v>
      </c>
      <c r="AC186" s="13"/>
      <c r="AD186" s="12">
        <v>45944</v>
      </c>
      <c r="AE186" s="12">
        <v>45944</v>
      </c>
      <c r="AF186" s="12"/>
      <c r="AG186" s="12"/>
      <c r="AH186" s="11"/>
      <c r="AI186" s="11"/>
      <c r="AJ186" s="11"/>
      <c r="AK186" s="11">
        <v>46038</v>
      </c>
      <c r="AL186" s="11">
        <v>46038</v>
      </c>
      <c r="AM186" s="11">
        <v>46043</v>
      </c>
      <c r="AN186" s="11">
        <v>46055</v>
      </c>
      <c r="AO186" s="11" t="str">
        <f>+IF(AM186&lt;&gt;"","ATP App MS",IF(AL186&lt;&gt;"","OA/RFS",IF(AK186&lt;&gt;"","Install",IF(AH186&lt;&gt;"","Dismantle Perangkat",IF(AF186="Drop","Drop",IF(AE186&lt;&gt;"","Survey Report",IF(AD186&lt;&gt;"","Survey","NY Survey")))))))</f>
        <v>ATP App MS</v>
      </c>
      <c r="AP186" s="173" t="s">
        <v>3590</v>
      </c>
      <c r="AQ186" s="12">
        <v>46036</v>
      </c>
      <c r="AR186" s="12">
        <v>46041</v>
      </c>
      <c r="AS186" s="12">
        <v>46038</v>
      </c>
      <c r="AT186" s="12"/>
      <c r="AU186" s="12">
        <v>46041</v>
      </c>
      <c r="AV186" s="12"/>
      <c r="AW186" s="11" t="str">
        <f t="shared" si="21"/>
        <v>Upload 1st BOQ &amp; BAN Isaac</v>
      </c>
      <c r="AX186" s="12"/>
      <c r="AY186" s="12"/>
      <c r="AZ186" s="12"/>
      <c r="BA186" s="12"/>
      <c r="BB186" s="12"/>
      <c r="BC186" s="12"/>
      <c r="BD186" s="11" t="str">
        <f t="shared" si="22"/>
        <v>NY Submit</v>
      </c>
      <c r="BE186" s="174"/>
      <c r="BF186" s="12">
        <v>45944</v>
      </c>
      <c r="BG186" s="12"/>
      <c r="BH186" s="10"/>
      <c r="BI186" s="12">
        <v>45944</v>
      </c>
      <c r="BJ186" s="12">
        <v>45945</v>
      </c>
      <c r="BK186" s="174"/>
      <c r="BL186" s="12" t="str">
        <f t="shared" si="23"/>
        <v>Submit</v>
      </c>
      <c r="BM186" s="12" t="str">
        <f t="shared" si="24"/>
        <v>Approved</v>
      </c>
      <c r="BN186" s="12">
        <v>46055</v>
      </c>
      <c r="BO186" s="12">
        <v>46055</v>
      </c>
      <c r="BP186" s="155" t="s">
        <v>1768</v>
      </c>
      <c r="BQ186" s="12" t="s">
        <v>3591</v>
      </c>
      <c r="BR186" s="12">
        <v>46052</v>
      </c>
      <c r="BS186" s="143">
        <f t="shared" ca="1" si="27"/>
        <v>0</v>
      </c>
      <c r="BT186" s="176"/>
      <c r="BU186" s="12"/>
      <c r="BV186" s="143">
        <f t="shared" ca="1" si="28"/>
        <v>0</v>
      </c>
      <c r="BW186" s="12"/>
      <c r="BX186" s="12"/>
      <c r="BY186" s="143"/>
      <c r="BZ186" s="13" t="s">
        <v>3588</v>
      </c>
      <c r="CA186" s="13" t="s">
        <v>3589</v>
      </c>
      <c r="CB186" s="13" t="s">
        <v>2984</v>
      </c>
      <c r="CC186" s="13"/>
      <c r="CD186" s="13"/>
      <c r="CE186" s="198" t="s">
        <v>3592</v>
      </c>
      <c r="CF186" s="198" t="s">
        <v>3593</v>
      </c>
      <c r="CG186" s="273" t="s">
        <v>3594</v>
      </c>
      <c r="CH186" s="273" t="s">
        <v>3595</v>
      </c>
      <c r="CI186" s="198"/>
      <c r="CJ186" s="198"/>
      <c r="CK186" s="198"/>
      <c r="CL186" s="198"/>
    </row>
    <row r="187" spans="1:90">
      <c r="A187" s="187">
        <v>182</v>
      </c>
      <c r="B187" s="190" t="s">
        <v>2486</v>
      </c>
      <c r="C187" s="190" t="s">
        <v>2487</v>
      </c>
      <c r="D187" s="190" t="s">
        <v>135</v>
      </c>
      <c r="E187" s="8" t="e">
        <f ca="1">+_xlfn.CONCAT(G187,"-",B187,"_",C187,"_",_xlfn.XLOOKUP(BP187,Account!M:M,Account!N:N))</f>
        <v>#NAME?</v>
      </c>
      <c r="F187" s="12">
        <v>45780</v>
      </c>
      <c r="G187" s="190" t="s">
        <v>2120</v>
      </c>
      <c r="H187" s="190" t="s">
        <v>3013</v>
      </c>
      <c r="I187" s="10" t="s">
        <v>2121</v>
      </c>
      <c r="J187" s="190">
        <v>2</v>
      </c>
      <c r="K187" s="190" t="s">
        <v>2038</v>
      </c>
      <c r="L187" s="190" t="s">
        <v>2780</v>
      </c>
      <c r="M187" s="190" t="s">
        <v>3014</v>
      </c>
      <c r="N187" s="10" t="s">
        <v>3015</v>
      </c>
      <c r="O187" s="178" t="s">
        <v>3016</v>
      </c>
      <c r="P187" s="178" t="s">
        <v>3017</v>
      </c>
      <c r="Q187" s="327">
        <v>971.83</v>
      </c>
      <c r="R187" s="190">
        <v>10</v>
      </c>
      <c r="S187" s="190" t="s">
        <v>68</v>
      </c>
      <c r="T187" s="190" t="s">
        <v>2518</v>
      </c>
      <c r="U187" s="190" t="s">
        <v>2565</v>
      </c>
      <c r="V187" s="8" t="s">
        <v>3596</v>
      </c>
      <c r="W187" s="10"/>
      <c r="X187" s="9"/>
      <c r="Y187" s="172"/>
      <c r="Z187" s="172"/>
      <c r="AA187" s="172"/>
      <c r="AB187" s="143" t="str">
        <f t="shared" ca="1" si="20"/>
        <v>NY Submit</v>
      </c>
      <c r="AC187" s="13"/>
      <c r="AD187" s="12">
        <v>45943</v>
      </c>
      <c r="AE187" s="12">
        <v>45951</v>
      </c>
      <c r="AF187" s="12"/>
      <c r="AG187" s="12"/>
      <c r="AH187" s="11"/>
      <c r="AI187" s="11"/>
      <c r="AJ187" s="11"/>
      <c r="AK187" s="11"/>
      <c r="AL187" s="11"/>
      <c r="AM187" s="11">
        <v>45978</v>
      </c>
      <c r="AN187" s="11"/>
      <c r="AO187" s="11" t="str">
        <f>+IF(AM187&lt;&gt;"","Survey LOS App",IF(AF187="Drop","Drop",IF(AE187&lt;&gt;"","Survey Report",IF(AD187&lt;&gt;"","Survey","NY Survey"))))</f>
        <v>Survey LOS App</v>
      </c>
      <c r="AP187" s="173"/>
      <c r="AQ187" s="12"/>
      <c r="AR187" s="12"/>
      <c r="AS187" s="12"/>
      <c r="AT187" s="12"/>
      <c r="AU187" s="12"/>
      <c r="AV187" s="12"/>
      <c r="AW187" s="11" t="str">
        <f t="shared" si="21"/>
        <v>NY Submit</v>
      </c>
      <c r="AX187" s="12"/>
      <c r="AY187" s="12"/>
      <c r="AZ187" s="12"/>
      <c r="BA187" s="12"/>
      <c r="BB187" s="12"/>
      <c r="BC187" s="12"/>
      <c r="BD187" s="11" t="str">
        <f t="shared" si="22"/>
        <v>NY Submit</v>
      </c>
      <c r="BE187" s="174"/>
      <c r="BF187" s="12"/>
      <c r="BG187" s="12"/>
      <c r="BH187" s="10"/>
      <c r="BI187" s="12"/>
      <c r="BJ187" s="12"/>
      <c r="BK187" s="174"/>
      <c r="BL187" s="12" t="str">
        <f t="shared" si="23"/>
        <v>NY Submit</v>
      </c>
      <c r="BM187" s="12" t="str">
        <f t="shared" si="24"/>
        <v>NY Submit</v>
      </c>
      <c r="BN187" s="12"/>
      <c r="BO187" s="12"/>
      <c r="BP187" s="155" t="s">
        <v>2507</v>
      </c>
      <c r="BQ187" s="12" t="s">
        <v>3318</v>
      </c>
      <c r="BR187" s="12">
        <v>45944</v>
      </c>
      <c r="BS187" s="143">
        <f t="shared" ca="1" si="27"/>
        <v>0</v>
      </c>
      <c r="BT187" s="176"/>
      <c r="BU187" s="12"/>
      <c r="BV187" s="143">
        <f t="shared" ca="1" si="28"/>
        <v>0</v>
      </c>
      <c r="BW187" s="12"/>
      <c r="BX187" s="12"/>
      <c r="BY187" s="143"/>
      <c r="BZ187" s="13" t="s">
        <v>2500</v>
      </c>
      <c r="CA187" s="13"/>
      <c r="CB187" s="13"/>
      <c r="CC187" s="13"/>
      <c r="CD187" s="13"/>
      <c r="CE187" s="198" t="s">
        <v>3597</v>
      </c>
      <c r="CF187" s="198" t="s">
        <v>3598</v>
      </c>
      <c r="CG187" s="273" t="s">
        <v>3599</v>
      </c>
      <c r="CH187" s="273" t="s">
        <v>3600</v>
      </c>
      <c r="CI187" s="198"/>
      <c r="CJ187" s="198"/>
      <c r="CK187" s="198"/>
      <c r="CL187" s="198" t="s">
        <v>3601</v>
      </c>
    </row>
    <row r="188" spans="1:90">
      <c r="A188" s="187">
        <v>183</v>
      </c>
      <c r="B188" s="190" t="s">
        <v>2486</v>
      </c>
      <c r="C188" s="190" t="s">
        <v>2487</v>
      </c>
      <c r="D188" s="190" t="s">
        <v>135</v>
      </c>
      <c r="E188" s="8" t="e">
        <f ca="1">+_xlfn.CONCAT(G188,"-",B188,"_",C188,"_",_xlfn.XLOOKUP(BP188,Account!M:M,Account!N:N))</f>
        <v>#NAME?</v>
      </c>
      <c r="F188" s="12">
        <v>45937</v>
      </c>
      <c r="G188" s="157" t="s">
        <v>913</v>
      </c>
      <c r="H188" s="190" t="s">
        <v>3602</v>
      </c>
      <c r="I188" s="10" t="s">
        <v>914</v>
      </c>
      <c r="J188" s="190">
        <v>15</v>
      </c>
      <c r="K188" s="190" t="s">
        <v>2038</v>
      </c>
      <c r="L188" s="190" t="s">
        <v>1279</v>
      </c>
      <c r="M188" s="190" t="s">
        <v>3603</v>
      </c>
      <c r="N188" s="10" t="s">
        <v>3604</v>
      </c>
      <c r="O188" s="178" t="s">
        <v>3605</v>
      </c>
      <c r="P188" s="178" t="s">
        <v>3606</v>
      </c>
      <c r="Q188" s="327">
        <v>22120.78</v>
      </c>
      <c r="R188" s="190">
        <v>70</v>
      </c>
      <c r="S188" s="190" t="s">
        <v>2930</v>
      </c>
      <c r="T188" s="190" t="s">
        <v>2494</v>
      </c>
      <c r="U188" s="190" t="s">
        <v>2495</v>
      </c>
      <c r="V188" s="8" t="s">
        <v>1760</v>
      </c>
      <c r="W188" s="10"/>
      <c r="X188" s="9"/>
      <c r="Y188" s="172"/>
      <c r="Z188" s="172"/>
      <c r="AA188" s="172"/>
      <c r="AB188" s="143" t="str">
        <f t="shared" ca="1" si="20"/>
        <v>NY Submit</v>
      </c>
      <c r="AC188" s="13"/>
      <c r="AD188" s="12">
        <v>45933</v>
      </c>
      <c r="AE188" s="12">
        <v>45572</v>
      </c>
      <c r="AF188" s="12"/>
      <c r="AG188" s="12">
        <v>46028</v>
      </c>
      <c r="AH188" s="11"/>
      <c r="AI188" s="11">
        <v>46071</v>
      </c>
      <c r="AJ188" s="11"/>
      <c r="AK188" s="11"/>
      <c r="AL188" s="11"/>
      <c r="AM188" s="11"/>
      <c r="AN188" s="11">
        <v>46071</v>
      </c>
      <c r="AO188" s="11" t="str">
        <f>+IF(AN188&lt;&gt;"","BAST",IF(AI188&lt;&gt;"","Dismantle",IF(AG188&lt;&gt;"","RFD App",IF(AF188="Drop","Drop",IF(AE188&lt;&gt;"","Survey Report",IF(AD188&lt;&gt;"","Survey","NY Survey"))))))</f>
        <v>BAST</v>
      </c>
      <c r="AP188" s="173" t="s">
        <v>3607</v>
      </c>
      <c r="AQ188" s="12">
        <v>46002</v>
      </c>
      <c r="AR188" s="12">
        <v>46010</v>
      </c>
      <c r="AS188" s="12">
        <v>46003</v>
      </c>
      <c r="AT188" s="12"/>
      <c r="AU188" s="12">
        <v>46010</v>
      </c>
      <c r="AV188" s="12">
        <v>46010</v>
      </c>
      <c r="AW188" s="11" t="str">
        <f t="shared" si="21"/>
        <v>1st BOQ App on ISAAC</v>
      </c>
      <c r="AX188" s="12"/>
      <c r="AY188" s="12"/>
      <c r="AZ188" s="12"/>
      <c r="BA188" s="12"/>
      <c r="BB188" s="12"/>
      <c r="BC188" s="12"/>
      <c r="BD188" s="11" t="str">
        <f t="shared" si="22"/>
        <v>NY Submit</v>
      </c>
      <c r="BE188" s="174"/>
      <c r="BF188" s="199">
        <v>45937</v>
      </c>
      <c r="BG188" s="12">
        <v>45937</v>
      </c>
      <c r="BH188" s="10" t="s">
        <v>3608</v>
      </c>
      <c r="BI188" s="12">
        <v>45937</v>
      </c>
      <c r="BJ188" s="199">
        <v>45572</v>
      </c>
      <c r="BK188" s="174" t="s">
        <v>3609</v>
      </c>
      <c r="BL188" s="12" t="str">
        <f t="shared" si="23"/>
        <v>Approved</v>
      </c>
      <c r="BM188" s="12" t="str">
        <f t="shared" si="24"/>
        <v>Approved</v>
      </c>
      <c r="BN188" s="12">
        <v>46072</v>
      </c>
      <c r="BO188" s="12"/>
      <c r="BP188" s="155" t="s">
        <v>1760</v>
      </c>
      <c r="BQ188" s="12" t="s">
        <v>3610</v>
      </c>
      <c r="BR188" s="12">
        <v>46022</v>
      </c>
      <c r="BS188" s="143">
        <f t="shared" ca="1" si="27"/>
        <v>12</v>
      </c>
      <c r="BT188" s="176"/>
      <c r="BU188" s="12"/>
      <c r="BV188" s="143">
        <f t="shared" ca="1" si="28"/>
        <v>0</v>
      </c>
      <c r="BW188" s="12"/>
      <c r="BX188" s="12"/>
      <c r="BY188" s="143"/>
      <c r="BZ188" s="13" t="s">
        <v>2500</v>
      </c>
      <c r="CA188" s="13"/>
      <c r="CB188" s="13"/>
      <c r="CC188" s="13"/>
      <c r="CD188" s="13"/>
      <c r="CE188" s="198"/>
      <c r="CF188" s="198"/>
      <c r="CG188" s="272"/>
      <c r="CH188" s="272"/>
      <c r="CI188" s="198"/>
      <c r="CJ188" s="198"/>
      <c r="CK188" s="198"/>
      <c r="CL188" s="198"/>
    </row>
    <row r="189" spans="1:90">
      <c r="A189" s="187">
        <v>184</v>
      </c>
      <c r="B189" s="190" t="s">
        <v>2486</v>
      </c>
      <c r="C189" s="190" t="s">
        <v>2487</v>
      </c>
      <c r="D189" s="190" t="s">
        <v>135</v>
      </c>
      <c r="E189" s="8" t="e">
        <f ca="1">+_xlfn.CONCAT(G189,"-",B189,"_",C189,"_",_xlfn.XLOOKUP(BP189,Account!M:M,Account!N:N))</f>
        <v>#NAME?</v>
      </c>
      <c r="F189" s="12">
        <v>45937</v>
      </c>
      <c r="G189" s="190" t="s">
        <v>612</v>
      </c>
      <c r="H189" s="190" t="s">
        <v>3611</v>
      </c>
      <c r="I189" s="10" t="s">
        <v>613</v>
      </c>
      <c r="J189" s="190">
        <v>19</v>
      </c>
      <c r="K189" s="190" t="s">
        <v>2486</v>
      </c>
      <c r="L189" s="190" t="s">
        <v>1367</v>
      </c>
      <c r="M189" s="190" t="s">
        <v>3612</v>
      </c>
      <c r="N189" s="10" t="s">
        <v>3613</v>
      </c>
      <c r="O189" s="178" t="s">
        <v>3614</v>
      </c>
      <c r="P189" s="178" t="s">
        <v>3615</v>
      </c>
      <c r="Q189" s="327">
        <v>725.49</v>
      </c>
      <c r="R189" s="190">
        <v>5</v>
      </c>
      <c r="S189" s="190" t="s">
        <v>404</v>
      </c>
      <c r="T189" s="190" t="s">
        <v>2518</v>
      </c>
      <c r="U189" s="190" t="s">
        <v>3483</v>
      </c>
      <c r="V189" s="8" t="s">
        <v>1760</v>
      </c>
      <c r="W189" s="10"/>
      <c r="X189" s="9"/>
      <c r="Y189" s="172" t="s">
        <v>2432</v>
      </c>
      <c r="Z189" s="172">
        <v>45939</v>
      </c>
      <c r="AA189" s="172">
        <v>45952</v>
      </c>
      <c r="AB189" s="143" t="str">
        <f t="shared" ca="1" si="20"/>
        <v>Expired</v>
      </c>
      <c r="AC189" s="13"/>
      <c r="AD189" s="12">
        <v>45944</v>
      </c>
      <c r="AE189" s="12">
        <v>45944</v>
      </c>
      <c r="AF189" s="12"/>
      <c r="AG189" s="12">
        <v>45948</v>
      </c>
      <c r="AH189" s="11"/>
      <c r="AI189" s="11">
        <v>45960</v>
      </c>
      <c r="AJ189" s="11"/>
      <c r="AK189" s="11"/>
      <c r="AL189" s="11"/>
      <c r="AM189" s="11"/>
      <c r="AN189" s="11">
        <v>45960</v>
      </c>
      <c r="AO189" s="11" t="str">
        <f>+IF(AN189&lt;&gt;"","BAST",IF(AI189&lt;&gt;"","Dismantle",IF(AG189&lt;&gt;"","RFD App",IF(AF189="Drop","Drop",IF(AE189&lt;&gt;"","Survey Report",IF(AD189&lt;&gt;"","Survey","NY Survey"))))))</f>
        <v>BAST</v>
      </c>
      <c r="AP189" s="173"/>
      <c r="AQ189" s="12">
        <v>45959</v>
      </c>
      <c r="AR189" s="12">
        <v>45971</v>
      </c>
      <c r="AS189" s="12">
        <v>45960</v>
      </c>
      <c r="AT189" s="12"/>
      <c r="AU189" s="12">
        <v>45988</v>
      </c>
      <c r="AV189" s="12">
        <v>45993</v>
      </c>
      <c r="AW189" s="11" t="str">
        <f t="shared" si="21"/>
        <v>1st BOQ App on ISAAC</v>
      </c>
      <c r="AX189" s="12"/>
      <c r="AY189" s="12"/>
      <c r="AZ189" s="12"/>
      <c r="BA189" s="12"/>
      <c r="BB189" s="12"/>
      <c r="BC189" s="12"/>
      <c r="BD189" s="11" t="str">
        <f t="shared" si="22"/>
        <v>NY Submit</v>
      </c>
      <c r="BE189" s="174"/>
      <c r="BG189" s="12"/>
      <c r="BH189" s="10" t="s">
        <v>3616</v>
      </c>
      <c r="BI189" s="12">
        <v>45944</v>
      </c>
      <c r="BJ189" s="12">
        <v>45945</v>
      </c>
      <c r="BK189" s="174" t="s">
        <v>3617</v>
      </c>
      <c r="BL189" s="12" t="str">
        <f t="shared" si="23"/>
        <v>NY Submit</v>
      </c>
      <c r="BM189" s="12" t="str">
        <f t="shared" si="24"/>
        <v>Approved</v>
      </c>
      <c r="BN189" s="12">
        <v>45992</v>
      </c>
      <c r="BO189" s="12">
        <v>45994</v>
      </c>
      <c r="BP189" s="155" t="s">
        <v>1760</v>
      </c>
      <c r="BQ189" s="12" t="s">
        <v>3618</v>
      </c>
      <c r="BR189" s="12">
        <v>46000</v>
      </c>
      <c r="BS189" s="143">
        <f t="shared" ca="1" si="27"/>
        <v>7</v>
      </c>
      <c r="BT189" s="176"/>
      <c r="BU189" s="12"/>
      <c r="BV189" s="143">
        <f t="shared" ca="1" si="28"/>
        <v>0</v>
      </c>
      <c r="BW189" s="12"/>
      <c r="BX189" s="12"/>
      <c r="BY189" s="143"/>
      <c r="BZ189" s="13" t="s">
        <v>3273</v>
      </c>
      <c r="CA189" s="13" t="s">
        <v>3274</v>
      </c>
      <c r="CB189" s="13" t="s">
        <v>2486</v>
      </c>
      <c r="CC189" s="13"/>
      <c r="CD189" s="13"/>
      <c r="CE189" s="198"/>
      <c r="CF189" s="198"/>
      <c r="CG189" s="272"/>
      <c r="CH189" s="272"/>
      <c r="CI189" s="198"/>
      <c r="CJ189" s="198"/>
      <c r="CK189" s="198"/>
      <c r="CL189" s="198"/>
    </row>
    <row r="190" spans="1:90">
      <c r="A190" s="187">
        <v>185</v>
      </c>
      <c r="B190" s="190" t="s">
        <v>2486</v>
      </c>
      <c r="C190" s="190" t="s">
        <v>2487</v>
      </c>
      <c r="D190" s="190" t="s">
        <v>135</v>
      </c>
      <c r="E190" s="8" t="e">
        <f ca="1">+_xlfn.CONCAT(G190,"-",B190,"_",C190,"_",_xlfn.XLOOKUP(BP190,Account!M:M,Account!N:N))</f>
        <v>#NAME?</v>
      </c>
      <c r="F190" s="12">
        <v>45937</v>
      </c>
      <c r="G190" s="190" t="s">
        <v>612</v>
      </c>
      <c r="H190" s="190" t="s">
        <v>3611</v>
      </c>
      <c r="I190" s="10" t="s">
        <v>613</v>
      </c>
      <c r="J190" s="190">
        <v>19</v>
      </c>
      <c r="K190" s="190" t="s">
        <v>2486</v>
      </c>
      <c r="L190" s="190" t="s">
        <v>1367</v>
      </c>
      <c r="M190" s="190" t="s">
        <v>3612</v>
      </c>
      <c r="N190" s="10" t="s">
        <v>3613</v>
      </c>
      <c r="O190" s="178" t="s">
        <v>3614</v>
      </c>
      <c r="P190" s="178" t="s">
        <v>3615</v>
      </c>
      <c r="Q190" s="327">
        <v>725.49</v>
      </c>
      <c r="R190" s="190">
        <v>5</v>
      </c>
      <c r="S190" s="190" t="s">
        <v>404</v>
      </c>
      <c r="T190" s="190" t="s">
        <v>2518</v>
      </c>
      <c r="U190" s="190" t="s">
        <v>3483</v>
      </c>
      <c r="V190" s="8" t="s">
        <v>2011</v>
      </c>
      <c r="W190" s="10"/>
      <c r="X190" s="9"/>
      <c r="Y190" s="172" t="s">
        <v>2432</v>
      </c>
      <c r="Z190" s="172">
        <v>45939</v>
      </c>
      <c r="AA190" s="172">
        <v>45952</v>
      </c>
      <c r="AB190" s="143" t="str">
        <f t="shared" ca="1" si="20"/>
        <v>Expired</v>
      </c>
      <c r="AC190" s="13"/>
      <c r="AD190" s="12">
        <v>45944</v>
      </c>
      <c r="AE190" s="12">
        <v>45944</v>
      </c>
      <c r="AF190" s="12"/>
      <c r="AG190" s="12"/>
      <c r="AH190" s="11">
        <v>45957</v>
      </c>
      <c r="AI190" s="11"/>
      <c r="AJ190" s="11">
        <v>45957</v>
      </c>
      <c r="AK190" s="11"/>
      <c r="AL190" s="11"/>
      <c r="AM190" s="11">
        <v>45960</v>
      </c>
      <c r="AN190" s="11"/>
      <c r="AO190" s="11" t="str">
        <f>+IF(AM190&lt;&gt;"","ATP App MS",IF(AJ190&lt;&gt;"","Inbound",IF(AH190&lt;&gt;"","Dismantle Perangkat",IF(AF190="Drop","Drop",IF(AE190&lt;&gt;"","Survey Report",IF(AD190&lt;&gt;"","Survey","NY Survey"))))))</f>
        <v>ATP App MS</v>
      </c>
      <c r="AP190" s="173" t="s">
        <v>3619</v>
      </c>
      <c r="AQ190" s="12">
        <v>45959</v>
      </c>
      <c r="AR190" s="12">
        <v>45971</v>
      </c>
      <c r="AS190" s="12">
        <v>45960</v>
      </c>
      <c r="AT190" s="12"/>
      <c r="AU190" s="12">
        <v>45988</v>
      </c>
      <c r="AV190" s="12">
        <v>45993</v>
      </c>
      <c r="AW190" s="11" t="str">
        <f t="shared" si="21"/>
        <v>1st BOQ App on ISAAC</v>
      </c>
      <c r="AX190" s="12"/>
      <c r="AY190" s="12"/>
      <c r="AZ190" s="12"/>
      <c r="BA190" s="12"/>
      <c r="BB190" s="12"/>
      <c r="BC190" s="12"/>
      <c r="BD190" s="11" t="str">
        <f t="shared" si="22"/>
        <v>NY Submit</v>
      </c>
      <c r="BE190" s="174"/>
      <c r="BF190" s="12">
        <v>45944</v>
      </c>
      <c r="BG190" s="12">
        <v>45946</v>
      </c>
      <c r="BH190" s="10"/>
      <c r="BI190" s="12">
        <v>45944</v>
      </c>
      <c r="BJ190" s="12">
        <v>45945</v>
      </c>
      <c r="BK190" s="174"/>
      <c r="BL190" s="12" t="str">
        <f t="shared" si="23"/>
        <v>Approved</v>
      </c>
      <c r="BM190" s="12" t="str">
        <f t="shared" si="24"/>
        <v>Approved</v>
      </c>
      <c r="BN190" s="12">
        <v>45992</v>
      </c>
      <c r="BO190" s="12">
        <v>45994</v>
      </c>
      <c r="BP190" s="155" t="s">
        <v>2011</v>
      </c>
      <c r="BQ190" s="12" t="s">
        <v>2968</v>
      </c>
      <c r="BR190" s="12">
        <v>46000</v>
      </c>
      <c r="BS190" s="143">
        <f t="shared" ca="1" si="27"/>
        <v>7</v>
      </c>
      <c r="BT190" s="176"/>
      <c r="BU190" s="12"/>
      <c r="BV190" s="143">
        <f t="shared" ca="1" si="28"/>
        <v>0</v>
      </c>
      <c r="BW190" s="12"/>
      <c r="BX190" s="12"/>
      <c r="BY190" s="143"/>
      <c r="BZ190" s="13" t="s">
        <v>3273</v>
      </c>
      <c r="CA190" s="13" t="s">
        <v>3274</v>
      </c>
      <c r="CB190" s="13" t="s">
        <v>2486</v>
      </c>
      <c r="CC190" s="13"/>
      <c r="CD190" s="13"/>
      <c r="CE190" s="198"/>
      <c r="CF190" s="198"/>
      <c r="CG190" s="272"/>
      <c r="CH190" s="272"/>
      <c r="CI190" s="198"/>
      <c r="CJ190" s="198"/>
      <c r="CK190" s="198"/>
      <c r="CL190" s="198"/>
    </row>
    <row r="191" spans="1:90">
      <c r="A191" s="187">
        <v>186</v>
      </c>
      <c r="B191" s="190" t="s">
        <v>2486</v>
      </c>
      <c r="C191" s="190" t="s">
        <v>2487</v>
      </c>
      <c r="D191" s="190" t="s">
        <v>135</v>
      </c>
      <c r="E191" s="8" t="e">
        <f ca="1">+_xlfn.CONCAT(G191,"-",B191,"_",C191,"_",_xlfn.XLOOKUP(BP191,Account!M:M,Account!N:N))</f>
        <v>#NAME?</v>
      </c>
      <c r="F191" s="12">
        <v>45938</v>
      </c>
      <c r="G191" s="190" t="s">
        <v>648</v>
      </c>
      <c r="H191" s="190" t="s">
        <v>3620</v>
      </c>
      <c r="I191" s="10" t="s">
        <v>649</v>
      </c>
      <c r="J191" s="190">
        <v>7</v>
      </c>
      <c r="K191" s="190" t="s">
        <v>2486</v>
      </c>
      <c r="L191" s="190" t="s">
        <v>2894</v>
      </c>
      <c r="M191" s="190" t="s">
        <v>2895</v>
      </c>
      <c r="N191" s="10" t="s">
        <v>3621</v>
      </c>
      <c r="O191" s="178" t="s">
        <v>3622</v>
      </c>
      <c r="P191" s="178" t="s">
        <v>3623</v>
      </c>
      <c r="Q191" s="327">
        <v>3152.7775000000001</v>
      </c>
      <c r="R191" s="190">
        <v>32</v>
      </c>
      <c r="S191" s="190" t="s">
        <v>404</v>
      </c>
      <c r="T191" s="190" t="s">
        <v>2494</v>
      </c>
      <c r="U191" s="190" t="s">
        <v>2495</v>
      </c>
      <c r="V191" s="8" t="s">
        <v>1760</v>
      </c>
      <c r="W191" s="10"/>
      <c r="X191" s="9"/>
      <c r="Y191" s="172" t="s">
        <v>2432</v>
      </c>
      <c r="Z191" s="172">
        <v>45939</v>
      </c>
      <c r="AA191" s="172">
        <v>45952</v>
      </c>
      <c r="AB191" s="143" t="str">
        <f t="shared" ca="1" si="20"/>
        <v>Expired</v>
      </c>
      <c r="AC191" s="13"/>
      <c r="AD191" s="12">
        <v>45951</v>
      </c>
      <c r="AE191" s="12">
        <v>45951</v>
      </c>
      <c r="AF191" s="12"/>
      <c r="AG191" s="12">
        <v>45965</v>
      </c>
      <c r="AH191" s="11"/>
      <c r="AI191" s="11">
        <v>45995</v>
      </c>
      <c r="AJ191" s="11"/>
      <c r="AK191" s="11"/>
      <c r="AL191" s="11"/>
      <c r="AM191" s="11">
        <v>46002</v>
      </c>
      <c r="AN191" s="11">
        <v>46002</v>
      </c>
      <c r="AO191" s="11" t="str">
        <f>+IF(AN191&lt;&gt;"","BAST",IF(AI191&lt;&gt;"","Dismantle",IF(AG191&lt;&gt;"","RFD App",IF(AF191="Drop","Drop",IF(AE191&lt;&gt;"","Survey Report",IF(AD191&lt;&gt;"","Survey","NY Survey"))))))</f>
        <v>BAST</v>
      </c>
      <c r="AP191" s="173"/>
      <c r="AQ191" s="12">
        <v>45975</v>
      </c>
      <c r="AR191" s="12">
        <v>45986</v>
      </c>
      <c r="AS191" s="12">
        <v>45975</v>
      </c>
      <c r="AT191" s="12"/>
      <c r="AU191" s="12">
        <v>45986</v>
      </c>
      <c r="AV191" s="12">
        <v>45987</v>
      </c>
      <c r="AW191" s="11" t="str">
        <f t="shared" si="21"/>
        <v>1st BOQ App on ISAAC</v>
      </c>
      <c r="AX191" s="12"/>
      <c r="AY191" s="12"/>
      <c r="AZ191" s="12"/>
      <c r="BA191" s="12"/>
      <c r="BB191" s="12"/>
      <c r="BC191" s="12"/>
      <c r="BD191" s="11" t="str">
        <f t="shared" si="22"/>
        <v>NY Submit</v>
      </c>
      <c r="BE191" s="174" t="s">
        <v>3624</v>
      </c>
      <c r="BF191" s="12">
        <v>45951</v>
      </c>
      <c r="BG191" s="12">
        <v>45953</v>
      </c>
      <c r="BH191" s="10" t="s">
        <v>3559</v>
      </c>
      <c r="BI191" s="12">
        <v>45951</v>
      </c>
      <c r="BJ191" s="12">
        <v>45953</v>
      </c>
      <c r="BK191" s="174" t="s">
        <v>3625</v>
      </c>
      <c r="BL191" s="12" t="str">
        <f t="shared" si="23"/>
        <v>Approved</v>
      </c>
      <c r="BM191" s="12" t="str">
        <f t="shared" si="24"/>
        <v>Approved</v>
      </c>
      <c r="BN191" s="12">
        <v>46033</v>
      </c>
      <c r="BO191" s="12">
        <v>46034</v>
      </c>
      <c r="BP191" s="155" t="s">
        <v>1760</v>
      </c>
      <c r="BQ191" s="12" t="s">
        <v>3626</v>
      </c>
      <c r="BR191" s="12">
        <v>46000</v>
      </c>
      <c r="BS191" s="143">
        <f t="shared" ca="1" si="27"/>
        <v>13</v>
      </c>
      <c r="BT191" s="176"/>
      <c r="BU191" s="12"/>
      <c r="BV191" s="143">
        <f t="shared" ca="1" si="28"/>
        <v>0</v>
      </c>
      <c r="BW191" s="12"/>
      <c r="BX191" s="12"/>
      <c r="BY191" s="143"/>
      <c r="BZ191" s="13" t="s">
        <v>2500</v>
      </c>
      <c r="CA191" s="13"/>
      <c r="CB191" s="13"/>
      <c r="CC191" s="13"/>
      <c r="CD191" s="13"/>
      <c r="CE191" s="198"/>
      <c r="CF191" s="198"/>
      <c r="CG191" s="272"/>
      <c r="CH191" s="272"/>
      <c r="CI191" s="198"/>
      <c r="CJ191" s="198"/>
      <c r="CK191" s="198"/>
      <c r="CL191" s="198"/>
    </row>
    <row r="192" spans="1:90">
      <c r="A192" s="187">
        <v>187</v>
      </c>
      <c r="B192" s="190" t="s">
        <v>2486</v>
      </c>
      <c r="C192" s="190" t="s">
        <v>2487</v>
      </c>
      <c r="D192" s="190" t="s">
        <v>135</v>
      </c>
      <c r="E192" s="8" t="e">
        <f ca="1">+_xlfn.CONCAT(G192,"-",B192,"_",C192,"_",_xlfn.XLOOKUP(BP192,Account!M:M,Account!N:N))</f>
        <v>#NAME?</v>
      </c>
      <c r="F192" s="12">
        <v>45938</v>
      </c>
      <c r="G192" s="190" t="s">
        <v>648</v>
      </c>
      <c r="H192" s="190" t="s">
        <v>3620</v>
      </c>
      <c r="I192" s="10" t="s">
        <v>649</v>
      </c>
      <c r="J192" s="190">
        <v>7</v>
      </c>
      <c r="K192" s="190" t="s">
        <v>2486</v>
      </c>
      <c r="L192" s="190" t="s">
        <v>2894</v>
      </c>
      <c r="M192" s="190" t="s">
        <v>2895</v>
      </c>
      <c r="N192" s="10" t="s">
        <v>3621</v>
      </c>
      <c r="O192" s="178" t="s">
        <v>3622</v>
      </c>
      <c r="P192" s="178" t="s">
        <v>3623</v>
      </c>
      <c r="Q192" s="327">
        <v>3152.7775000000001</v>
      </c>
      <c r="R192" s="190">
        <v>32</v>
      </c>
      <c r="S192" s="190" t="s">
        <v>404</v>
      </c>
      <c r="T192" s="190" t="s">
        <v>2494</v>
      </c>
      <c r="U192" s="190" t="s">
        <v>2495</v>
      </c>
      <c r="V192" s="8" t="s">
        <v>2011</v>
      </c>
      <c r="W192" s="10" t="s">
        <v>3148</v>
      </c>
      <c r="X192" s="9"/>
      <c r="Y192" s="172" t="s">
        <v>2432</v>
      </c>
      <c r="Z192" s="172">
        <v>45939</v>
      </c>
      <c r="AA192" s="172">
        <v>45952</v>
      </c>
      <c r="AB192" s="143" t="str">
        <f t="shared" ca="1" si="20"/>
        <v>Expired</v>
      </c>
      <c r="AC192" s="13"/>
      <c r="AD192" s="12">
        <v>45951</v>
      </c>
      <c r="AE192" s="12">
        <v>45951</v>
      </c>
      <c r="AF192" s="12"/>
      <c r="AG192" s="12">
        <v>45965</v>
      </c>
      <c r="AH192" s="11">
        <v>45991</v>
      </c>
      <c r="AI192" s="11"/>
      <c r="AJ192" s="11">
        <v>46085</v>
      </c>
      <c r="AK192" s="11"/>
      <c r="AL192" s="11"/>
      <c r="AM192" s="11"/>
      <c r="AN192" s="11"/>
      <c r="AO192" s="11" t="str">
        <f>+IF(AM192&lt;&gt;"","ATP App MS",IF(AJ192&lt;&gt;"","Inbound",IF(AH192&lt;&gt;"","Dismantle Perangkat",IF(AF192="Drop","Drop",IF(AE192&lt;&gt;"","Survey Report",IF(AD192&lt;&gt;"","Survey","NY Survey"))))))</f>
        <v>Inbound</v>
      </c>
      <c r="AP192" s="173" t="s">
        <v>3627</v>
      </c>
      <c r="AQ192" s="12">
        <v>45975</v>
      </c>
      <c r="AR192" s="12">
        <v>45986</v>
      </c>
      <c r="AS192" s="12">
        <v>45975</v>
      </c>
      <c r="AT192" s="12"/>
      <c r="AU192" s="12">
        <v>45986</v>
      </c>
      <c r="AV192" s="12">
        <v>45987</v>
      </c>
      <c r="AW192" s="11" t="str">
        <f t="shared" si="21"/>
        <v>1st BOQ App on ISAAC</v>
      </c>
      <c r="AX192" s="12"/>
      <c r="AY192" s="12"/>
      <c r="AZ192" s="12"/>
      <c r="BA192" s="12"/>
      <c r="BB192" s="12"/>
      <c r="BC192" s="12"/>
      <c r="BD192" s="11" t="str">
        <f t="shared" si="22"/>
        <v>NY Submit</v>
      </c>
      <c r="BE192" s="174"/>
      <c r="BF192" s="12">
        <v>45951</v>
      </c>
      <c r="BG192" s="12"/>
      <c r="BH192" s="10"/>
      <c r="BI192" s="12">
        <v>45951</v>
      </c>
      <c r="BJ192" s="12"/>
      <c r="BK192" s="174"/>
      <c r="BL192" s="12" t="str">
        <f t="shared" si="23"/>
        <v>Submit</v>
      </c>
      <c r="BM192" s="12" t="str">
        <f t="shared" si="24"/>
        <v>Submit</v>
      </c>
      <c r="BN192" s="12"/>
      <c r="BO192" s="12"/>
      <c r="BP192" s="155" t="s">
        <v>2011</v>
      </c>
      <c r="BQ192" s="12" t="s">
        <v>2968</v>
      </c>
      <c r="BR192" s="12">
        <v>46000</v>
      </c>
      <c r="BS192" s="143">
        <f t="shared" ca="1" si="27"/>
        <v>13</v>
      </c>
      <c r="BT192" s="176"/>
      <c r="BU192" s="12"/>
      <c r="BV192" s="143">
        <f t="shared" ca="1" si="28"/>
        <v>0</v>
      </c>
      <c r="BW192" s="12"/>
      <c r="BX192" s="12"/>
      <c r="BY192" s="143"/>
      <c r="BZ192" s="13" t="s">
        <v>2500</v>
      </c>
      <c r="CA192" s="13"/>
      <c r="CB192" s="13"/>
      <c r="CC192" s="13"/>
      <c r="CD192" s="13"/>
      <c r="CE192" s="198"/>
      <c r="CF192" s="198"/>
      <c r="CG192" s="272"/>
      <c r="CH192" s="272"/>
      <c r="CI192" s="198"/>
      <c r="CJ192" s="198"/>
      <c r="CK192" s="198"/>
      <c r="CL192" s="198"/>
    </row>
    <row r="193" spans="1:90">
      <c r="A193" s="187">
        <v>188</v>
      </c>
      <c r="B193" s="190" t="s">
        <v>2486</v>
      </c>
      <c r="C193" s="190" t="s">
        <v>2487</v>
      </c>
      <c r="D193" s="190" t="s">
        <v>135</v>
      </c>
      <c r="E193" s="8" t="e">
        <f ca="1">+_xlfn.CONCAT(G193,"-",B193,"_",C193,"_",_xlfn.XLOOKUP(BP193,Account!M:M,Account!N:N))</f>
        <v>#NAME?</v>
      </c>
      <c r="F193" s="12">
        <v>45938</v>
      </c>
      <c r="G193" s="190" t="s">
        <v>648</v>
      </c>
      <c r="H193" s="190" t="s">
        <v>3620</v>
      </c>
      <c r="I193" s="10" t="s">
        <v>649</v>
      </c>
      <c r="J193" s="190">
        <v>7</v>
      </c>
      <c r="K193" s="190" t="s">
        <v>2486</v>
      </c>
      <c r="L193" s="190" t="s">
        <v>2894</v>
      </c>
      <c r="M193" s="190" t="s">
        <v>2895</v>
      </c>
      <c r="N193" s="10" t="s">
        <v>3621</v>
      </c>
      <c r="O193" s="178" t="s">
        <v>3622</v>
      </c>
      <c r="P193" s="178" t="s">
        <v>3623</v>
      </c>
      <c r="Q193" s="327">
        <v>3152.7775000000001</v>
      </c>
      <c r="R193" s="190">
        <v>32</v>
      </c>
      <c r="S193" s="190" t="s">
        <v>404</v>
      </c>
      <c r="T193" s="190" t="s">
        <v>2494</v>
      </c>
      <c r="U193" s="190" t="s">
        <v>2495</v>
      </c>
      <c r="V193" s="8" t="s">
        <v>1768</v>
      </c>
      <c r="W193" s="10"/>
      <c r="X193" s="9"/>
      <c r="Y193" s="172" t="s">
        <v>2432</v>
      </c>
      <c r="Z193" s="172">
        <v>45939</v>
      </c>
      <c r="AA193" s="172">
        <v>45952</v>
      </c>
      <c r="AB193" s="143" t="str">
        <f t="shared" ca="1" si="20"/>
        <v>Expired</v>
      </c>
      <c r="AC193" s="13"/>
      <c r="AD193" s="12">
        <v>45951</v>
      </c>
      <c r="AE193" s="12">
        <v>45951</v>
      </c>
      <c r="AF193" s="12" t="s">
        <v>3628</v>
      </c>
      <c r="AG193" s="12"/>
      <c r="AH193" s="11"/>
      <c r="AI193" s="11"/>
      <c r="AJ193" s="11"/>
      <c r="AK193" s="11"/>
      <c r="AL193" s="11"/>
      <c r="AM193" s="11"/>
      <c r="AN193" s="11"/>
      <c r="AO193" s="11" t="str">
        <f>+IF(AM193&lt;&gt;"","ATP App MS",IF(AL193&lt;&gt;"","OA/RFS",IF(AK193&lt;&gt;"","Install",IF(AH193&lt;&gt;"","Dismantle Perangkat",IF(AF193="Drop","Drop",IF(AE193&lt;&gt;"","Survey Report",IF(AD193&lt;&gt;"","Survey","NY Survey")))))))</f>
        <v>Drop</v>
      </c>
      <c r="AP193" s="173"/>
      <c r="AQ193" s="12"/>
      <c r="AR193" s="12"/>
      <c r="AS193" s="12"/>
      <c r="AT193" s="12"/>
      <c r="AU193" s="12"/>
      <c r="AV193" s="12"/>
      <c r="AW193" s="11" t="str">
        <f t="shared" si="21"/>
        <v>NY Submit</v>
      </c>
      <c r="AX193" s="12"/>
      <c r="AY193" s="12"/>
      <c r="AZ193" s="12"/>
      <c r="BA193" s="12"/>
      <c r="BB193" s="12"/>
      <c r="BC193" s="12"/>
      <c r="BD193" s="11" t="str">
        <f t="shared" si="22"/>
        <v>NY Submit</v>
      </c>
      <c r="BE193" s="174"/>
      <c r="BF193" s="12">
        <v>45951</v>
      </c>
      <c r="BG193" s="12"/>
      <c r="BH193" s="10"/>
      <c r="BI193" s="12">
        <v>45951</v>
      </c>
      <c r="BJ193" s="12"/>
      <c r="BK193" s="174"/>
      <c r="BL193" s="12" t="str">
        <f t="shared" si="23"/>
        <v>Submit</v>
      </c>
      <c r="BM193" s="12" t="str">
        <f t="shared" si="24"/>
        <v>Submit</v>
      </c>
      <c r="BN193" s="12"/>
      <c r="BO193" s="12"/>
      <c r="BP193" s="155" t="s">
        <v>1768</v>
      </c>
      <c r="BQ193" s="12" t="s">
        <v>2526</v>
      </c>
      <c r="BR193" s="12"/>
      <c r="BS193" s="143" t="str">
        <f t="shared" ca="1" si="27"/>
        <v>Drop</v>
      </c>
      <c r="BT193" s="176"/>
      <c r="BU193" s="12"/>
      <c r="BV193" s="143" t="str">
        <f t="shared" ca="1" si="28"/>
        <v>Drop</v>
      </c>
      <c r="BW193" s="12"/>
      <c r="BX193" s="12"/>
      <c r="BY193" s="143"/>
      <c r="BZ193" s="13" t="s">
        <v>2526</v>
      </c>
      <c r="CA193" s="13"/>
      <c r="CB193" s="13"/>
      <c r="CC193" s="13"/>
      <c r="CD193" s="13"/>
      <c r="CE193" s="198"/>
      <c r="CF193" s="198"/>
      <c r="CG193" s="272"/>
      <c r="CH193" s="272"/>
      <c r="CI193" s="198"/>
      <c r="CJ193" s="198"/>
      <c r="CK193" s="198"/>
      <c r="CL193" s="198"/>
    </row>
    <row r="194" spans="1:90">
      <c r="A194" s="187">
        <v>189</v>
      </c>
      <c r="B194" s="190" t="s">
        <v>2486</v>
      </c>
      <c r="C194" s="190" t="s">
        <v>2487</v>
      </c>
      <c r="D194" s="190" t="s">
        <v>135</v>
      </c>
      <c r="E194" s="8" t="e">
        <f ca="1">+_xlfn.CONCAT(G194,"-",B194,"_",C194,"_",_xlfn.XLOOKUP(BP194,Account!M:M,Account!N:N))</f>
        <v>#NAME?</v>
      </c>
      <c r="F194" s="12">
        <v>45939</v>
      </c>
      <c r="G194" s="190" t="s">
        <v>766</v>
      </c>
      <c r="H194" s="190" t="s">
        <v>3629</v>
      </c>
      <c r="I194" s="10" t="s">
        <v>767</v>
      </c>
      <c r="J194" s="190">
        <v>4</v>
      </c>
      <c r="K194" s="190" t="s">
        <v>2038</v>
      </c>
      <c r="L194" s="190" t="s">
        <v>3630</v>
      </c>
      <c r="M194" s="190" t="s">
        <v>3631</v>
      </c>
      <c r="N194" s="10" t="s">
        <v>3632</v>
      </c>
      <c r="O194" s="178" t="s">
        <v>3633</v>
      </c>
      <c r="P194" s="178" t="s">
        <v>3634</v>
      </c>
      <c r="Q194" s="327">
        <v>22120.799999999999</v>
      </c>
      <c r="R194" s="190">
        <v>70</v>
      </c>
      <c r="S194" s="190" t="s">
        <v>3635</v>
      </c>
      <c r="T194" s="190" t="s">
        <v>2494</v>
      </c>
      <c r="U194" s="190" t="s">
        <v>2495</v>
      </c>
      <c r="V194" s="8" t="s">
        <v>1760</v>
      </c>
      <c r="W194" s="10"/>
      <c r="X194" s="9"/>
      <c r="Y194" s="172" t="s">
        <v>2496</v>
      </c>
      <c r="Z194" s="172">
        <v>45944</v>
      </c>
      <c r="AA194" s="172">
        <v>45950</v>
      </c>
      <c r="AB194" s="143" t="str">
        <f t="shared" ca="1" si="20"/>
        <v>Expired</v>
      </c>
      <c r="AC194" s="13"/>
      <c r="AD194" s="12">
        <v>45941</v>
      </c>
      <c r="AE194" s="12">
        <v>45944</v>
      </c>
      <c r="AF194" s="12"/>
      <c r="AG194" s="12"/>
      <c r="AH194" s="11"/>
      <c r="AI194" s="11">
        <v>45961</v>
      </c>
      <c r="AJ194" s="11"/>
      <c r="AK194" s="11"/>
      <c r="AL194" s="11"/>
      <c r="AM194" s="11">
        <v>45980</v>
      </c>
      <c r="AN194" s="11">
        <v>45980</v>
      </c>
      <c r="AO194" s="11" t="str">
        <f>+IF(AN194&lt;&gt;"","BAST",IF(AI194&lt;&gt;"","Dismantle",IF(AG194&lt;&gt;"","RFD App",IF(AF194="Drop","Drop",IF(AE194&lt;&gt;"","Survey Report",IF(AD194&lt;&gt;"","Survey","NY Survey"))))))</f>
        <v>BAST</v>
      </c>
      <c r="AP194" s="173"/>
      <c r="AQ194" s="12">
        <v>45953</v>
      </c>
      <c r="AR194" s="12">
        <v>45957</v>
      </c>
      <c r="AS194" s="12">
        <v>45957</v>
      </c>
      <c r="AT194" s="12">
        <v>46003</v>
      </c>
      <c r="AU194" s="12">
        <v>46002</v>
      </c>
      <c r="AV194" s="12">
        <v>46003</v>
      </c>
      <c r="AW194" s="11" t="str">
        <f t="shared" si="21"/>
        <v>1st BOQ App on ISAAC</v>
      </c>
      <c r="AX194" s="12"/>
      <c r="AY194" s="12"/>
      <c r="AZ194" s="12"/>
      <c r="BA194" s="12"/>
      <c r="BB194" s="12"/>
      <c r="BC194" s="12"/>
      <c r="BD194" s="11" t="str">
        <f t="shared" si="22"/>
        <v>NY Submit</v>
      </c>
      <c r="BE194" s="174" t="s">
        <v>3636</v>
      </c>
      <c r="BF194" s="12">
        <v>45944</v>
      </c>
      <c r="BG194" s="12">
        <v>45946</v>
      </c>
      <c r="BH194" s="10" t="s">
        <v>3637</v>
      </c>
      <c r="BI194" s="12">
        <v>45944</v>
      </c>
      <c r="BJ194" s="12">
        <v>45944</v>
      </c>
      <c r="BK194" s="174" t="s">
        <v>3638</v>
      </c>
      <c r="BL194" s="12" t="str">
        <f t="shared" si="23"/>
        <v>Approved</v>
      </c>
      <c r="BM194" s="12" t="str">
        <f t="shared" si="24"/>
        <v>Approved</v>
      </c>
      <c r="BN194" s="12">
        <v>45980</v>
      </c>
      <c r="BO194" s="12">
        <v>45980</v>
      </c>
      <c r="BP194" s="155" t="s">
        <v>1760</v>
      </c>
      <c r="BQ194" s="12" t="s">
        <v>3639</v>
      </c>
      <c r="BR194" s="12">
        <v>46020</v>
      </c>
      <c r="BS194" s="143">
        <f t="shared" ca="1" si="27"/>
        <v>17</v>
      </c>
      <c r="BT194" s="176"/>
      <c r="BU194" s="12"/>
      <c r="BV194" s="143">
        <f t="shared" ca="1" si="28"/>
        <v>0</v>
      </c>
      <c r="BW194" s="12"/>
      <c r="BX194" s="12"/>
      <c r="BY194" s="143"/>
      <c r="BZ194" s="13" t="s">
        <v>3262</v>
      </c>
      <c r="CA194" s="13" t="s">
        <v>3263</v>
      </c>
      <c r="CB194" s="13" t="s">
        <v>2984</v>
      </c>
      <c r="CC194" s="13"/>
      <c r="CD194" s="13"/>
      <c r="CE194" s="198"/>
      <c r="CF194" s="198"/>
      <c r="CG194" s="272"/>
      <c r="CH194" s="272"/>
      <c r="CI194" s="198"/>
      <c r="CJ194" s="198"/>
      <c r="CK194" s="198"/>
      <c r="CL194" s="198"/>
    </row>
    <row r="195" spans="1:90" ht="30" customHeight="1">
      <c r="A195" s="187">
        <v>190</v>
      </c>
      <c r="B195" s="190" t="s">
        <v>2486</v>
      </c>
      <c r="C195" s="190" t="s">
        <v>2487</v>
      </c>
      <c r="D195" s="190" t="s">
        <v>135</v>
      </c>
      <c r="E195" s="8" t="e">
        <f ca="1">+_xlfn.CONCAT(G195,"-",B195,"_",C195,"_",_xlfn.XLOOKUP(BP195,Account!M:M,Account!N:N))</f>
        <v>#NAME?</v>
      </c>
      <c r="F195" s="12">
        <v>45939</v>
      </c>
      <c r="G195" s="190" t="s">
        <v>766</v>
      </c>
      <c r="H195" s="190" t="s">
        <v>3629</v>
      </c>
      <c r="I195" s="10" t="s">
        <v>767</v>
      </c>
      <c r="J195" s="190">
        <v>4</v>
      </c>
      <c r="K195" s="190" t="s">
        <v>2038</v>
      </c>
      <c r="L195" s="190" t="s">
        <v>3630</v>
      </c>
      <c r="M195" s="190" t="s">
        <v>3631</v>
      </c>
      <c r="N195" s="10" t="s">
        <v>3632</v>
      </c>
      <c r="O195" s="178" t="s">
        <v>3633</v>
      </c>
      <c r="P195" s="178" t="s">
        <v>3634</v>
      </c>
      <c r="Q195" s="327">
        <v>22120.799999999999</v>
      </c>
      <c r="R195" s="190">
        <v>70</v>
      </c>
      <c r="S195" s="190" t="s">
        <v>3635</v>
      </c>
      <c r="T195" s="190" t="s">
        <v>2494</v>
      </c>
      <c r="U195" s="190" t="s">
        <v>2495</v>
      </c>
      <c r="V195" s="8" t="s">
        <v>2011</v>
      </c>
      <c r="W195" s="10"/>
      <c r="X195" s="9"/>
      <c r="Y195" s="172" t="s">
        <v>2496</v>
      </c>
      <c r="Z195" s="172">
        <v>45944</v>
      </c>
      <c r="AA195" s="172">
        <v>45950</v>
      </c>
      <c r="AB195" s="143" t="str">
        <f t="shared" ca="1" si="20"/>
        <v>Expired</v>
      </c>
      <c r="AC195" s="13"/>
      <c r="AD195" s="12">
        <v>45941</v>
      </c>
      <c r="AE195" s="12">
        <v>45944</v>
      </c>
      <c r="AF195" s="12"/>
      <c r="AG195" s="12"/>
      <c r="AH195" s="11">
        <v>45955</v>
      </c>
      <c r="AI195" s="11"/>
      <c r="AJ195" s="11">
        <v>45965</v>
      </c>
      <c r="AK195" s="11"/>
      <c r="AL195" s="11"/>
      <c r="AM195" s="11">
        <v>45980</v>
      </c>
      <c r="AN195" s="11">
        <v>45980</v>
      </c>
      <c r="AO195" s="11" t="str">
        <f>+IF(AM195&lt;&gt;"","ATP App MS",IF(AJ195&lt;&gt;"","Inbound",IF(AH195&lt;&gt;"","Dismantle Perangkat",IF(AF195="Drop","Drop",IF(AE195&lt;&gt;"","Survey Report",IF(AD195&lt;&gt;"","Survey","NY Survey"))))))</f>
        <v>ATP App MS</v>
      </c>
      <c r="AP195" s="185" t="s">
        <v>3640</v>
      </c>
      <c r="AQ195" s="12">
        <v>45953</v>
      </c>
      <c r="AR195" s="12">
        <v>45957</v>
      </c>
      <c r="AS195" s="12">
        <v>45957</v>
      </c>
      <c r="AT195" s="12"/>
      <c r="AU195" s="12"/>
      <c r="AV195" s="12"/>
      <c r="AW195" s="11" t="str">
        <f t="shared" si="21"/>
        <v>1st BOQ Pass TI</v>
      </c>
      <c r="AX195" s="12"/>
      <c r="AY195" s="12"/>
      <c r="AZ195" s="12"/>
      <c r="BA195" s="12"/>
      <c r="BB195" s="12"/>
      <c r="BC195" s="12"/>
      <c r="BD195" s="11" t="str">
        <f t="shared" si="22"/>
        <v>NY Submit</v>
      </c>
      <c r="BE195" s="174"/>
      <c r="BF195" s="12">
        <v>45944</v>
      </c>
      <c r="BG195" s="12">
        <v>45946</v>
      </c>
      <c r="BH195" s="10"/>
      <c r="BI195" s="12"/>
      <c r="BJ195" s="12"/>
      <c r="BK195" s="174"/>
      <c r="BL195" s="12" t="str">
        <f t="shared" si="23"/>
        <v>Approved</v>
      </c>
      <c r="BM195" s="12" t="str">
        <f t="shared" si="24"/>
        <v>NY Submit</v>
      </c>
      <c r="BN195" s="12"/>
      <c r="BO195" s="12"/>
      <c r="BP195" s="155" t="s">
        <v>2011</v>
      </c>
      <c r="BQ195" s="12" t="s">
        <v>2968</v>
      </c>
      <c r="BR195" s="12">
        <v>46020</v>
      </c>
      <c r="BS195" s="143">
        <f t="shared" ca="1" si="27"/>
        <v>0</v>
      </c>
      <c r="BT195" s="176"/>
      <c r="BU195" s="12"/>
      <c r="BV195" s="143">
        <f t="shared" ca="1" si="28"/>
        <v>0</v>
      </c>
      <c r="BW195" s="12"/>
      <c r="BX195" s="12"/>
      <c r="BY195" s="143"/>
      <c r="BZ195" s="13" t="s">
        <v>3641</v>
      </c>
      <c r="CA195" s="13" t="s">
        <v>2555</v>
      </c>
      <c r="CB195" s="13" t="s">
        <v>2486</v>
      </c>
      <c r="CC195" s="13"/>
      <c r="CD195" s="13"/>
      <c r="CE195" s="198"/>
      <c r="CF195" s="198"/>
      <c r="CG195" s="272"/>
      <c r="CH195" s="272"/>
      <c r="CI195" s="198"/>
      <c r="CJ195" s="198"/>
      <c r="CK195" s="198"/>
      <c r="CL195" s="198"/>
    </row>
    <row r="196" spans="1:90" ht="30" customHeight="1">
      <c r="A196" s="187">
        <v>191</v>
      </c>
      <c r="B196" s="190" t="s">
        <v>2486</v>
      </c>
      <c r="C196" s="190" t="s">
        <v>2487</v>
      </c>
      <c r="D196" s="190" t="s">
        <v>135</v>
      </c>
      <c r="E196" s="8" t="e">
        <f ca="1">+_xlfn.CONCAT(G196,"-",B196,"_",C196,"_",_xlfn.XLOOKUP(BP196,Account!M:M,Account!N:N))</f>
        <v>#NAME?</v>
      </c>
      <c r="F196" s="12">
        <v>45939</v>
      </c>
      <c r="G196" s="190" t="s">
        <v>2239</v>
      </c>
      <c r="H196" s="190" t="s">
        <v>3642</v>
      </c>
      <c r="I196" s="10" t="s">
        <v>2240</v>
      </c>
      <c r="J196" s="190">
        <v>11</v>
      </c>
      <c r="K196" s="190" t="s">
        <v>2486</v>
      </c>
      <c r="L196" s="190" t="s">
        <v>1263</v>
      </c>
      <c r="M196" s="190" t="s">
        <v>3643</v>
      </c>
      <c r="N196" s="10" t="s">
        <v>3644</v>
      </c>
      <c r="O196" s="178" t="s">
        <v>3645</v>
      </c>
      <c r="P196" s="178" t="s">
        <v>3646</v>
      </c>
      <c r="Q196" s="327"/>
      <c r="R196" s="190">
        <v>71</v>
      </c>
      <c r="S196" s="190" t="s">
        <v>404</v>
      </c>
      <c r="T196" s="190" t="s">
        <v>2494</v>
      </c>
      <c r="U196" s="190" t="s">
        <v>2495</v>
      </c>
      <c r="V196" s="8" t="s">
        <v>1760</v>
      </c>
      <c r="W196" s="10"/>
      <c r="X196" s="9"/>
      <c r="Y196" s="172" t="s">
        <v>2432</v>
      </c>
      <c r="Z196" s="172">
        <v>45940</v>
      </c>
      <c r="AA196" s="172">
        <v>45954</v>
      </c>
      <c r="AB196" s="143" t="str">
        <f t="shared" ca="1" si="20"/>
        <v>Expired</v>
      </c>
      <c r="AC196" s="13"/>
      <c r="AD196" s="12">
        <v>45947</v>
      </c>
      <c r="AE196" s="12">
        <v>45950</v>
      </c>
      <c r="AF196" s="12"/>
      <c r="AG196" s="12">
        <v>45992</v>
      </c>
      <c r="AH196" s="11"/>
      <c r="AI196" s="11">
        <v>45993</v>
      </c>
      <c r="AJ196" s="11"/>
      <c r="AK196" s="11"/>
      <c r="AL196" s="11"/>
      <c r="AM196" s="11">
        <v>45993</v>
      </c>
      <c r="AN196" s="11">
        <v>45993</v>
      </c>
      <c r="AO196" s="11" t="str">
        <f>+IF(AN196&lt;&gt;"","BAST",IF(AI196&lt;&gt;"","Dismantle",IF(AG196&lt;&gt;"","RFD App",IF(AF196="Drop","Drop",IF(AE196&lt;&gt;"","Survey Report",IF(AD196&lt;&gt;"","Survey","NY Survey"))))))</f>
        <v>BAST</v>
      </c>
      <c r="AP196" s="173"/>
      <c r="AQ196" s="12">
        <v>45966</v>
      </c>
      <c r="AR196" s="12">
        <v>45978</v>
      </c>
      <c r="AS196" s="12">
        <v>45986</v>
      </c>
      <c r="AT196" s="12"/>
      <c r="AU196" s="12">
        <v>45985</v>
      </c>
      <c r="AV196" s="12">
        <v>45987</v>
      </c>
      <c r="AW196" s="11" t="str">
        <f t="shared" si="21"/>
        <v>1st BOQ App on ISAAC</v>
      </c>
      <c r="AX196" s="12"/>
      <c r="AY196" s="12"/>
      <c r="AZ196" s="12"/>
      <c r="BA196" s="12"/>
      <c r="BB196" s="12"/>
      <c r="BC196" s="12"/>
      <c r="BD196" s="11" t="str">
        <f t="shared" si="22"/>
        <v>NY Submit</v>
      </c>
      <c r="BE196" s="171" t="s">
        <v>3647</v>
      </c>
      <c r="BF196" s="12">
        <v>45950</v>
      </c>
      <c r="BG196" s="12">
        <v>45954</v>
      </c>
      <c r="BH196" s="10" t="s">
        <v>3648</v>
      </c>
      <c r="BI196" s="12">
        <v>45951</v>
      </c>
      <c r="BJ196" s="12">
        <v>45954</v>
      </c>
      <c r="BK196" s="174" t="s">
        <v>3649</v>
      </c>
      <c r="BL196" s="12" t="str">
        <f t="shared" si="23"/>
        <v>Approved</v>
      </c>
      <c r="BM196" s="12" t="str">
        <f t="shared" si="24"/>
        <v>Approved</v>
      </c>
      <c r="BN196" s="12">
        <v>45994</v>
      </c>
      <c r="BO196" s="12"/>
      <c r="BP196" s="155" t="s">
        <v>1760</v>
      </c>
      <c r="BQ196" s="12" t="s">
        <v>3650</v>
      </c>
      <c r="BR196" s="12">
        <v>46000</v>
      </c>
      <c r="BS196" s="143">
        <f t="shared" ca="1" si="27"/>
        <v>13</v>
      </c>
      <c r="BT196" s="176"/>
      <c r="BU196" s="12"/>
      <c r="BV196" s="143">
        <f t="shared" ca="1" si="28"/>
        <v>0</v>
      </c>
      <c r="BW196" s="12"/>
      <c r="BX196" s="12"/>
      <c r="BY196" s="143"/>
      <c r="BZ196" s="13" t="s">
        <v>2500</v>
      </c>
      <c r="CA196" s="13"/>
      <c r="CB196" s="13"/>
      <c r="CC196" s="13"/>
      <c r="CD196" s="13"/>
      <c r="CE196" s="198" t="s">
        <v>3651</v>
      </c>
      <c r="CF196" s="198" t="s">
        <v>3652</v>
      </c>
      <c r="CG196" s="272"/>
      <c r="CH196" s="272"/>
      <c r="CI196" s="198"/>
      <c r="CJ196" s="198"/>
      <c r="CK196" s="198"/>
      <c r="CL196" s="198"/>
    </row>
    <row r="197" spans="1:90" ht="30" customHeight="1">
      <c r="A197" s="187">
        <v>192</v>
      </c>
      <c r="B197" s="190" t="s">
        <v>2486</v>
      </c>
      <c r="C197" s="190" t="s">
        <v>2487</v>
      </c>
      <c r="D197" s="190" t="s">
        <v>135</v>
      </c>
      <c r="E197" s="8" t="e">
        <f ca="1">+_xlfn.CONCAT(G197,"-",B197,"_",C197,"_",_xlfn.XLOOKUP(BP197,Account!M:M,Account!N:N))</f>
        <v>#NAME?</v>
      </c>
      <c r="F197" s="12">
        <v>45939</v>
      </c>
      <c r="G197" s="190" t="s">
        <v>2239</v>
      </c>
      <c r="H197" s="190" t="s">
        <v>3642</v>
      </c>
      <c r="I197" s="10" t="s">
        <v>2240</v>
      </c>
      <c r="J197" s="190">
        <v>11</v>
      </c>
      <c r="K197" s="190" t="s">
        <v>2486</v>
      </c>
      <c r="L197" s="190" t="s">
        <v>1263</v>
      </c>
      <c r="M197" s="190" t="s">
        <v>3643</v>
      </c>
      <c r="N197" s="10" t="s">
        <v>3644</v>
      </c>
      <c r="O197" s="178" t="s">
        <v>3645</v>
      </c>
      <c r="P197" s="178" t="s">
        <v>3646</v>
      </c>
      <c r="Q197" s="327"/>
      <c r="R197" s="190">
        <v>71</v>
      </c>
      <c r="S197" s="190" t="s">
        <v>404</v>
      </c>
      <c r="T197" s="190" t="s">
        <v>2494</v>
      </c>
      <c r="U197" s="190" t="s">
        <v>2495</v>
      </c>
      <c r="V197" s="8" t="s">
        <v>2011</v>
      </c>
      <c r="W197" s="10"/>
      <c r="X197" s="9"/>
      <c r="Y197" s="172" t="s">
        <v>2432</v>
      </c>
      <c r="Z197" s="172">
        <v>45940</v>
      </c>
      <c r="AA197" s="172">
        <v>45954</v>
      </c>
      <c r="AB197" s="143" t="str">
        <f t="shared" ca="1" si="20"/>
        <v>Expired</v>
      </c>
      <c r="AC197" s="13"/>
      <c r="AD197" s="12">
        <v>45947</v>
      </c>
      <c r="AE197" s="12">
        <v>45950</v>
      </c>
      <c r="AF197" s="12"/>
      <c r="AG197" s="12"/>
      <c r="AH197" s="11">
        <v>45988</v>
      </c>
      <c r="AI197" s="11"/>
      <c r="AJ197" s="11"/>
      <c r="AK197" s="11"/>
      <c r="AL197" s="11"/>
      <c r="AM197" s="11">
        <v>45990</v>
      </c>
      <c r="AN197" s="11"/>
      <c r="AO197" s="11" t="str">
        <f>+IF(AM197&lt;&gt;"","ATP App MS",IF(AJ197&lt;&gt;"","Inbound",IF(AH197&lt;&gt;"","Dismantle Perangkat",IF(AF197="Drop","Drop",IF(AE197&lt;&gt;"","Survey Report",IF(AD197&lt;&gt;"","Survey","NY Survey"))))))</f>
        <v>ATP App MS</v>
      </c>
      <c r="AP197" s="173"/>
      <c r="AQ197" s="12">
        <v>45966</v>
      </c>
      <c r="AR197" s="12">
        <v>45978</v>
      </c>
      <c r="AS197" s="12">
        <v>45986</v>
      </c>
      <c r="AT197" s="12"/>
      <c r="AU197" s="12">
        <v>45985</v>
      </c>
      <c r="AV197" s="12">
        <v>45987</v>
      </c>
      <c r="AW197" s="11" t="str">
        <f t="shared" si="21"/>
        <v>1st BOQ App on ISAAC</v>
      </c>
      <c r="AX197" s="12"/>
      <c r="AY197" s="12"/>
      <c r="AZ197" s="12"/>
      <c r="BA197" s="12"/>
      <c r="BB197" s="12"/>
      <c r="BC197" s="12"/>
      <c r="BD197" s="11" t="str">
        <f t="shared" si="22"/>
        <v>NY Submit</v>
      </c>
      <c r="BE197" s="174"/>
      <c r="BF197" s="12">
        <v>45950</v>
      </c>
      <c r="BG197" s="12">
        <v>45954</v>
      </c>
      <c r="BH197" s="10" t="s">
        <v>3648</v>
      </c>
      <c r="BI197" s="12">
        <v>45951</v>
      </c>
      <c r="BJ197" s="12">
        <v>45954</v>
      </c>
      <c r="BK197" s="174"/>
      <c r="BL197" s="12" t="str">
        <f t="shared" si="23"/>
        <v>Approved</v>
      </c>
      <c r="BM197" s="12" t="str">
        <f t="shared" si="24"/>
        <v>Approved</v>
      </c>
      <c r="BN197" s="12">
        <v>46133</v>
      </c>
      <c r="BO197" s="12">
        <v>46133</v>
      </c>
      <c r="BP197" s="155" t="s">
        <v>2011</v>
      </c>
      <c r="BQ197" s="12" t="s">
        <v>2718</v>
      </c>
      <c r="BR197" s="12">
        <v>46001</v>
      </c>
      <c r="BS197" s="143">
        <f t="shared" ca="1" si="27"/>
        <v>14</v>
      </c>
      <c r="BT197" s="176"/>
      <c r="BU197" s="12"/>
      <c r="BV197" s="143">
        <f t="shared" ca="1" si="28"/>
        <v>0</v>
      </c>
      <c r="BW197" s="12"/>
      <c r="BX197" s="12"/>
      <c r="BY197" s="143"/>
      <c r="BZ197" s="13" t="s">
        <v>2500</v>
      </c>
      <c r="CA197" s="13" t="s">
        <v>3653</v>
      </c>
      <c r="CB197" s="13" t="s">
        <v>2984</v>
      </c>
      <c r="CC197" s="13"/>
      <c r="CD197" s="13"/>
      <c r="CE197" s="198" t="s">
        <v>3651</v>
      </c>
      <c r="CF197" s="198" t="s">
        <v>3652</v>
      </c>
      <c r="CG197" s="272"/>
      <c r="CH197" s="272"/>
      <c r="CI197" s="198"/>
      <c r="CJ197" s="198"/>
      <c r="CK197" s="198"/>
      <c r="CL197" s="198"/>
    </row>
    <row r="198" spans="1:90" ht="30" customHeight="1">
      <c r="A198" s="187">
        <v>193</v>
      </c>
      <c r="B198" s="190" t="s">
        <v>2486</v>
      </c>
      <c r="C198" s="190" t="s">
        <v>2487</v>
      </c>
      <c r="D198" s="190" t="s">
        <v>135</v>
      </c>
      <c r="E198" s="8" t="e">
        <f ca="1">+_xlfn.CONCAT(G198,"-",B198,"_",C198,"_",_xlfn.XLOOKUP(BP198,Account!M:M,Account!N:N))</f>
        <v>#NAME?</v>
      </c>
      <c r="F198" s="12">
        <v>45939</v>
      </c>
      <c r="G198" s="190" t="s">
        <v>2239</v>
      </c>
      <c r="H198" s="190" t="s">
        <v>3642</v>
      </c>
      <c r="I198" s="10" t="s">
        <v>2240</v>
      </c>
      <c r="J198" s="190">
        <v>11</v>
      </c>
      <c r="K198" s="190" t="s">
        <v>2486</v>
      </c>
      <c r="L198" s="190" t="s">
        <v>1263</v>
      </c>
      <c r="M198" s="190" t="s">
        <v>3643</v>
      </c>
      <c r="N198" s="10" t="s">
        <v>3644</v>
      </c>
      <c r="O198" s="178" t="s">
        <v>3645</v>
      </c>
      <c r="P198" s="178" t="s">
        <v>3646</v>
      </c>
      <c r="Q198" s="327"/>
      <c r="R198" s="190">
        <v>71</v>
      </c>
      <c r="S198" s="190" t="s">
        <v>404</v>
      </c>
      <c r="T198" s="190" t="s">
        <v>2494</v>
      </c>
      <c r="U198" s="190" t="s">
        <v>2495</v>
      </c>
      <c r="V198" s="8" t="s">
        <v>1768</v>
      </c>
      <c r="W198" s="10" t="s">
        <v>2556</v>
      </c>
      <c r="X198" s="9"/>
      <c r="Y198" s="172" t="s">
        <v>2432</v>
      </c>
      <c r="Z198" s="172">
        <v>45940</v>
      </c>
      <c r="AA198" s="172">
        <v>45954</v>
      </c>
      <c r="AB198" s="143" t="str">
        <f t="shared" ref="AB198:AB261" ca="1" si="29">IF(AA198="ds","Submit",IF(AA198="","NY Submit",IF(AA198&lt;TODAY(),"Expired",IFERROR(DATEDIF(TODAY(),AA198,"d"),""))))</f>
        <v>Expired</v>
      </c>
      <c r="AC198" s="13"/>
      <c r="AD198" s="12">
        <v>45947</v>
      </c>
      <c r="AE198" s="12">
        <v>45950</v>
      </c>
      <c r="AF198" s="12"/>
      <c r="AG198" s="12"/>
      <c r="AH198" s="11"/>
      <c r="AI198" s="11"/>
      <c r="AJ198" s="11"/>
      <c r="AK198" s="11">
        <v>45989</v>
      </c>
      <c r="AL198" s="11">
        <v>45990</v>
      </c>
      <c r="AM198" s="11">
        <v>45990</v>
      </c>
      <c r="AN198" s="11"/>
      <c r="AO198" s="11" t="str">
        <f>+IF(AM198&lt;&gt;"","ATP App MS",IF(AL198&lt;&gt;"","OA/RFS",IF(AK198&lt;&gt;"","Install",IF(AH198&lt;&gt;"","Dismantle Perangkat",IF(AF198="Drop","Drop",IF(AE198&lt;&gt;"","Survey Report",IF(AD198&lt;&gt;"","Survey","NY Survey")))))))</f>
        <v>ATP App MS</v>
      </c>
      <c r="AP198" s="173"/>
      <c r="AQ198" s="12">
        <v>45966</v>
      </c>
      <c r="AR198" s="12">
        <v>45978</v>
      </c>
      <c r="AS198" s="12">
        <v>45986</v>
      </c>
      <c r="AT198" s="12"/>
      <c r="AU198" s="12">
        <v>45985</v>
      </c>
      <c r="AV198" s="12">
        <v>45987</v>
      </c>
      <c r="AW198" s="11" t="str">
        <f t="shared" ref="AW198:AW261" si="30">+IF(AV198&lt;&gt;"","1st BOQ App on ISAAC",IF(AU198&lt;&gt;"","Upload 1st BOQ &amp; BAN Isaac",IF(AT198="DRM","need DRM",IF(AT198&lt;&gt;"","BAN App",IF(AR198&lt;&gt;"","1st BOQ Pass TI",IF(AS198&lt;&gt;"","Engineering Structural Manager App",IF(AQ198&lt;&gt;"","1st BOQ Submit","NY Submit")))))))</f>
        <v>1st BOQ App on ISAAC</v>
      </c>
      <c r="AX198" s="12"/>
      <c r="AY198" s="12"/>
      <c r="AZ198" s="12"/>
      <c r="BA198" s="12"/>
      <c r="BB198" s="12"/>
      <c r="BC198" s="12"/>
      <c r="BD198" s="11" t="str">
        <f t="shared" ref="BD198:BD261" si="31">+IF(BC198&lt;&gt;"","2nd BOQ App on ISAAC",IF(BB198&lt;&gt;"","Upload 2nd BOQ &amp; BAN Isaac",IF(BA198="DRM","need DRM",IF(BA198&lt;&gt;"","BAN App",IF(AZ198&lt;&gt;"","Engineering Structural Manager App",IF(AY198&lt;&gt;"","2nd BOQ Pass TI",IF(AX198&lt;&gt;"","2nd BOQ Submit","NY Submit")))))))</f>
        <v>NY Submit</v>
      </c>
      <c r="BE198" s="174"/>
      <c r="BF198" s="12">
        <v>45950</v>
      </c>
      <c r="BG198" s="12">
        <v>45954</v>
      </c>
      <c r="BH198" s="10" t="s">
        <v>3648</v>
      </c>
      <c r="BI198" s="12">
        <v>45951</v>
      </c>
      <c r="BJ198" s="12">
        <v>45954</v>
      </c>
      <c r="BK198" s="174"/>
      <c r="BL198" s="12" t="str">
        <f t="shared" ref="BL198:BL261" si="32">+IF(BG198&lt;&gt;"","Approved",IF(BF198&lt;&gt;"","Submit","NY Submit"))</f>
        <v>Approved</v>
      </c>
      <c r="BM198" s="12" t="str">
        <f t="shared" ref="BM198:BM261" si="33">+IF(BJ198&lt;&gt;"","Approved",IF(BI198&lt;&gt;"","Submit","NY Submit"))</f>
        <v>Approved</v>
      </c>
      <c r="BN198" s="12">
        <v>46133</v>
      </c>
      <c r="BO198" s="12">
        <v>46133</v>
      </c>
      <c r="BP198" s="155" t="s">
        <v>1768</v>
      </c>
      <c r="BQ198" s="12" t="s">
        <v>3654</v>
      </c>
      <c r="BR198" s="12">
        <v>46001</v>
      </c>
      <c r="BS198" s="143">
        <f ca="1">IF(AO198="Drop",
    "Drop",
    IF(ISBLANK(AV198),
        0,
        IF(ISBLANK(BR198),
            DATEDIF(AV198,TODAY(),"d"),
            DATEDIF(AV198,BR198,"d")
        )
    )
)</f>
        <v>14</v>
      </c>
      <c r="BT198" s="176"/>
      <c r="BU198" s="12"/>
      <c r="BV198" s="143">
        <f ca="1">IF(AO198="Drop",
    "Drop",
    IF(ISBLANK(BC198),
        0,
        IF(ISBLANK(BU198),
            DATEDIF(BC198,TODAY(),"d"),
            DATEDIF(BC198,BU198,"d")
        )
    )
)</f>
        <v>0</v>
      </c>
      <c r="BW198" s="12"/>
      <c r="BX198" s="12"/>
      <c r="BY198" s="143"/>
      <c r="BZ198" s="13" t="s">
        <v>2500</v>
      </c>
      <c r="CA198" s="13"/>
      <c r="CB198" s="13"/>
      <c r="CC198" s="13"/>
      <c r="CD198" s="13"/>
      <c r="CE198" s="198" t="s">
        <v>3651</v>
      </c>
      <c r="CF198" s="198" t="s">
        <v>3652</v>
      </c>
      <c r="CG198" s="272"/>
      <c r="CH198" s="272"/>
      <c r="CI198" s="198"/>
      <c r="CJ198" s="198"/>
      <c r="CK198" s="198"/>
      <c r="CL198" s="198"/>
    </row>
    <row r="199" spans="1:90">
      <c r="A199" s="187">
        <v>194</v>
      </c>
      <c r="B199" s="190" t="s">
        <v>2486</v>
      </c>
      <c r="C199" s="190" t="s">
        <v>2487</v>
      </c>
      <c r="D199" s="190" t="s">
        <v>135</v>
      </c>
      <c r="E199" s="8" t="e">
        <f ca="1">+_xlfn.CONCAT(G199,"-",B199,"_",C199,"_",_xlfn.XLOOKUP(BP199,Account!M:M,Account!N:N)," JAW-JB-MJL-3028")</f>
        <v>#NAME?</v>
      </c>
      <c r="F199" s="12">
        <v>45884</v>
      </c>
      <c r="G199" s="190" t="s">
        <v>3336</v>
      </c>
      <c r="H199" s="190" t="s">
        <v>3655</v>
      </c>
      <c r="I199" s="10" t="s">
        <v>3337</v>
      </c>
      <c r="J199" s="190">
        <v>10</v>
      </c>
      <c r="K199" s="190" t="s">
        <v>2486</v>
      </c>
      <c r="L199" s="190" t="s">
        <v>3156</v>
      </c>
      <c r="M199" s="190" t="s">
        <v>3326</v>
      </c>
      <c r="N199" s="10" t="s">
        <v>3327</v>
      </c>
      <c r="O199" s="178" t="s">
        <v>3328</v>
      </c>
      <c r="P199" s="178" t="s">
        <v>3329</v>
      </c>
      <c r="Q199" s="327">
        <v>6828.5249999999996</v>
      </c>
      <c r="R199" s="190">
        <v>51</v>
      </c>
      <c r="S199" s="190"/>
      <c r="T199" s="190" t="s">
        <v>2494</v>
      </c>
      <c r="U199" s="190" t="s">
        <v>3330</v>
      </c>
      <c r="V199" s="8" t="s">
        <v>3656</v>
      </c>
      <c r="W199" s="10" t="s">
        <v>3148</v>
      </c>
      <c r="X199" s="9"/>
      <c r="Y199" s="172"/>
      <c r="Z199" s="172"/>
      <c r="AA199" s="172"/>
      <c r="AB199" s="143" t="str">
        <f t="shared" ca="1" si="29"/>
        <v>NY Submit</v>
      </c>
      <c r="AC199" s="13" t="s">
        <v>3657</v>
      </c>
      <c r="AD199" s="12"/>
      <c r="AE199" s="12"/>
      <c r="AF199" s="12" t="s">
        <v>3628</v>
      </c>
      <c r="AG199" s="12"/>
      <c r="AH199" s="11"/>
      <c r="AI199" s="11"/>
      <c r="AJ199" s="11"/>
      <c r="AK199" s="11"/>
      <c r="AL199" s="11"/>
      <c r="AM199" s="11"/>
      <c r="AN199" s="11"/>
      <c r="AO199" s="11" t="str">
        <f>+IF(AM199&lt;&gt;"","Survey LOS App",IF(AF199="Drop","Drop",IF(AE199&lt;&gt;"","Survey Report",IF(AD199&lt;&gt;"","Survey","NY Survey"))))</f>
        <v>Drop</v>
      </c>
      <c r="AP199" s="173"/>
      <c r="AQ199" s="12"/>
      <c r="AR199" s="12"/>
      <c r="AS199" s="12"/>
      <c r="AT199" s="12"/>
      <c r="AU199" s="12"/>
      <c r="AV199" s="12"/>
      <c r="AW199" s="11" t="str">
        <f t="shared" si="30"/>
        <v>NY Submit</v>
      </c>
      <c r="AX199" s="12"/>
      <c r="AY199" s="12"/>
      <c r="AZ199" s="12"/>
      <c r="BA199" s="12"/>
      <c r="BB199" s="12"/>
      <c r="BC199" s="12"/>
      <c r="BD199" s="11" t="str">
        <f t="shared" si="31"/>
        <v>NY Submit</v>
      </c>
      <c r="BE199" s="174"/>
      <c r="BF199" s="12"/>
      <c r="BG199" s="12"/>
      <c r="BH199" s="10"/>
      <c r="BI199" s="12"/>
      <c r="BJ199" s="12"/>
      <c r="BK199" s="174"/>
      <c r="BL199" s="12" t="str">
        <f t="shared" si="32"/>
        <v>NY Submit</v>
      </c>
      <c r="BM199" s="12" t="str">
        <f t="shared" si="33"/>
        <v>NY Submit</v>
      </c>
      <c r="BN199" s="12"/>
      <c r="BO199" s="12"/>
      <c r="BP199" s="155" t="s">
        <v>2507</v>
      </c>
      <c r="BQ199" s="12" t="s">
        <v>2526</v>
      </c>
      <c r="BR199" s="12"/>
      <c r="BS199" s="143" t="str">
        <f t="shared" ref="BS199:BS230" ca="1" si="34">IF(AO199="Drop",
"Drop",
IF(ISBLANK(AV199),
0,
IF(ISBLANK(BR199),
DATEDIF(AV199,TODAY(),"d"),
DATEDIF(AV199,BR199,"d")
)
)
)</f>
        <v>Drop</v>
      </c>
      <c r="BT199" s="176"/>
      <c r="BU199" s="12"/>
      <c r="BV199" s="143" t="str">
        <f t="shared" ref="BV199:BV230" ca="1" si="35">IF(AO199="Drop",
"Drop",
IF(ISBLANK(BC199),
0,
IF(ISBLANK(BU199),
DATEDIF(BC199,TODAY(),"d"),
DATEDIF(BC199,BU199,"d")
)
)
)</f>
        <v>Drop</v>
      </c>
      <c r="BW199" s="12"/>
      <c r="BX199" s="12"/>
      <c r="BY199" s="143"/>
      <c r="BZ199" s="13" t="s">
        <v>2526</v>
      </c>
      <c r="CA199" s="13"/>
      <c r="CB199" s="13"/>
      <c r="CC199" s="13"/>
      <c r="CD199" s="13"/>
      <c r="CE199" s="198"/>
      <c r="CF199" s="198"/>
      <c r="CG199" s="272"/>
      <c r="CH199" s="272"/>
      <c r="CI199" s="198"/>
      <c r="CJ199" s="198"/>
      <c r="CK199" s="198"/>
      <c r="CL199" s="198"/>
    </row>
    <row r="200" spans="1:90">
      <c r="A200" s="187">
        <v>195</v>
      </c>
      <c r="B200" s="190" t="s">
        <v>2486</v>
      </c>
      <c r="C200" s="190" t="s">
        <v>2487</v>
      </c>
      <c r="D200" s="190" t="s">
        <v>135</v>
      </c>
      <c r="E200" s="8" t="e">
        <f ca="1">+_xlfn.CONCAT(G200,"-",B200,"_",C200,"_",_xlfn.XLOOKUP(BP200,Account!M:M,Account!N:N)," JAW-JB-SBR-1904")</f>
        <v>#NAME?</v>
      </c>
      <c r="F200" s="12">
        <v>45884</v>
      </c>
      <c r="G200" s="190" t="s">
        <v>3336</v>
      </c>
      <c r="H200" s="190" t="s">
        <v>3655</v>
      </c>
      <c r="I200" s="10" t="s">
        <v>3337</v>
      </c>
      <c r="J200" s="190">
        <v>10</v>
      </c>
      <c r="K200" s="190" t="s">
        <v>2486</v>
      </c>
      <c r="L200" s="190" t="s">
        <v>3156</v>
      </c>
      <c r="M200" s="190" t="s">
        <v>3326</v>
      </c>
      <c r="N200" s="10" t="s">
        <v>3327</v>
      </c>
      <c r="O200" s="178" t="s">
        <v>3328</v>
      </c>
      <c r="P200" s="178" t="s">
        <v>3329</v>
      </c>
      <c r="Q200" s="327">
        <v>6828.5249999999996</v>
      </c>
      <c r="R200" s="190">
        <v>51</v>
      </c>
      <c r="S200" s="190"/>
      <c r="T200" s="190" t="s">
        <v>2494</v>
      </c>
      <c r="U200" s="190" t="s">
        <v>3330</v>
      </c>
      <c r="V200" s="8" t="s">
        <v>3658</v>
      </c>
      <c r="W200" s="10" t="s">
        <v>3148</v>
      </c>
      <c r="X200" s="9"/>
      <c r="Y200" s="172"/>
      <c r="Z200" s="172"/>
      <c r="AA200" s="172"/>
      <c r="AB200" s="143" t="str">
        <f t="shared" ca="1" si="29"/>
        <v>NY Submit</v>
      </c>
      <c r="AC200" s="13" t="s">
        <v>3657</v>
      </c>
      <c r="AD200" s="12">
        <v>45952</v>
      </c>
      <c r="AE200" s="12">
        <v>45961</v>
      </c>
      <c r="AF200" s="12"/>
      <c r="AG200" s="12"/>
      <c r="AH200" s="11"/>
      <c r="AI200" s="11"/>
      <c r="AJ200" s="11"/>
      <c r="AK200" s="11"/>
      <c r="AL200" s="11"/>
      <c r="AM200" s="11">
        <v>46003</v>
      </c>
      <c r="AN200" s="11"/>
      <c r="AO200" s="11" t="str">
        <f>+IF(AM200&lt;&gt;"","Survey LOS App",IF(AF200="Drop","Drop",IF(AE200&lt;&gt;"","Survey Report",IF(AD200&lt;&gt;"","Survey","NY Survey"))))</f>
        <v>Survey LOS App</v>
      </c>
      <c r="AP200" s="173"/>
      <c r="AQ200" s="12"/>
      <c r="AR200" s="12"/>
      <c r="AS200" s="12"/>
      <c r="AT200" s="12"/>
      <c r="AU200" s="12"/>
      <c r="AV200" s="12"/>
      <c r="AW200" s="11" t="str">
        <f t="shared" si="30"/>
        <v>NY Submit</v>
      </c>
      <c r="AX200" s="12"/>
      <c r="AY200" s="12"/>
      <c r="AZ200" s="12"/>
      <c r="BA200" s="12"/>
      <c r="BB200" s="12"/>
      <c r="BC200" s="12"/>
      <c r="BD200" s="11" t="str">
        <f t="shared" si="31"/>
        <v>NY Submit</v>
      </c>
      <c r="BE200" s="174"/>
      <c r="BF200" s="12"/>
      <c r="BG200" s="12"/>
      <c r="BH200" s="10"/>
      <c r="BI200" s="12"/>
      <c r="BJ200" s="12"/>
      <c r="BK200" s="174"/>
      <c r="BL200" s="12" t="str">
        <f t="shared" si="32"/>
        <v>NY Submit</v>
      </c>
      <c r="BM200" s="12" t="str">
        <f t="shared" si="33"/>
        <v>NY Submit</v>
      </c>
      <c r="BN200" s="12"/>
      <c r="BO200" s="12"/>
      <c r="BP200" s="155" t="s">
        <v>2507</v>
      </c>
      <c r="BQ200" s="12" t="s">
        <v>3659</v>
      </c>
      <c r="BR200" s="12">
        <v>46001</v>
      </c>
      <c r="BS200" s="143">
        <f t="shared" ca="1" si="34"/>
        <v>0</v>
      </c>
      <c r="BT200" s="176"/>
      <c r="BU200" s="12"/>
      <c r="BV200" s="143">
        <f t="shared" ca="1" si="35"/>
        <v>0</v>
      </c>
      <c r="BW200" s="12"/>
      <c r="BX200" s="12"/>
      <c r="BY200" s="143"/>
      <c r="BZ200" s="13" t="s">
        <v>2500</v>
      </c>
      <c r="CA200" s="13"/>
      <c r="CB200" s="13"/>
      <c r="CC200" s="13"/>
      <c r="CD200" s="13"/>
      <c r="CE200" s="198"/>
      <c r="CF200" s="198"/>
      <c r="CG200" s="272"/>
      <c r="CH200" s="272"/>
      <c r="CI200" s="198"/>
      <c r="CJ200" s="198"/>
      <c r="CK200" s="198"/>
      <c r="CL200" s="198"/>
    </row>
    <row r="201" spans="1:90">
      <c r="A201" s="187">
        <v>196</v>
      </c>
      <c r="B201" s="190" t="s">
        <v>2486</v>
      </c>
      <c r="C201" s="190" t="s">
        <v>2487</v>
      </c>
      <c r="D201" s="190" t="s">
        <v>135</v>
      </c>
      <c r="E201" s="8" t="e">
        <f ca="1">+_xlfn.CONCAT(G201,"-",B201,"_",C201,"_",_xlfn.XLOOKUP(BP201,Account!M:M,Account!N:N)," JAW-JB-MJL-1493")</f>
        <v>#NAME?</v>
      </c>
      <c r="F201" s="12">
        <v>45884</v>
      </c>
      <c r="G201" s="190" t="s">
        <v>3336</v>
      </c>
      <c r="H201" s="190" t="s">
        <v>3655</v>
      </c>
      <c r="I201" s="10" t="s">
        <v>3337</v>
      </c>
      <c r="J201" s="190">
        <v>10</v>
      </c>
      <c r="K201" s="190" t="s">
        <v>2486</v>
      </c>
      <c r="L201" s="190" t="s">
        <v>3156</v>
      </c>
      <c r="M201" s="190" t="s">
        <v>3326</v>
      </c>
      <c r="N201" s="10" t="s">
        <v>3327</v>
      </c>
      <c r="O201" s="178" t="s">
        <v>3328</v>
      </c>
      <c r="P201" s="178" t="s">
        <v>3329</v>
      </c>
      <c r="Q201" s="327">
        <v>6828.5249999999996</v>
      </c>
      <c r="R201" s="190">
        <v>51</v>
      </c>
      <c r="S201" s="190"/>
      <c r="T201" s="190" t="s">
        <v>2494</v>
      </c>
      <c r="U201" s="190" t="s">
        <v>3330</v>
      </c>
      <c r="V201" s="8" t="s">
        <v>3660</v>
      </c>
      <c r="W201" s="10" t="s">
        <v>3148</v>
      </c>
      <c r="X201" s="9"/>
      <c r="Y201" s="172"/>
      <c r="Z201" s="172"/>
      <c r="AA201" s="172"/>
      <c r="AB201" s="143" t="str">
        <f t="shared" ca="1" si="29"/>
        <v>NY Submit</v>
      </c>
      <c r="AC201" s="13" t="s">
        <v>3657</v>
      </c>
      <c r="AD201" s="12">
        <v>45952</v>
      </c>
      <c r="AE201" s="12">
        <v>45961</v>
      </c>
      <c r="AF201" s="12"/>
      <c r="AG201" s="12"/>
      <c r="AH201" s="11"/>
      <c r="AI201" s="11"/>
      <c r="AJ201" s="11"/>
      <c r="AK201" s="11"/>
      <c r="AL201" s="11"/>
      <c r="AM201" s="11">
        <v>46003</v>
      </c>
      <c r="AN201" s="11"/>
      <c r="AO201" s="11" t="str">
        <f>+IF(AM201&lt;&gt;"","Survey LOS App",IF(AF201="Drop","Drop",IF(AE201&lt;&gt;"","Survey Report",IF(AD201&lt;&gt;"","Survey","NY Survey"))))</f>
        <v>Survey LOS App</v>
      </c>
      <c r="AP201" s="173"/>
      <c r="AQ201" s="12"/>
      <c r="AR201" s="12"/>
      <c r="AS201" s="12"/>
      <c r="AT201" s="12"/>
      <c r="AU201" s="12"/>
      <c r="AV201" s="12"/>
      <c r="AW201" s="11" t="str">
        <f t="shared" si="30"/>
        <v>NY Submit</v>
      </c>
      <c r="AX201" s="12"/>
      <c r="AY201" s="12"/>
      <c r="AZ201" s="12"/>
      <c r="BA201" s="12"/>
      <c r="BB201" s="12"/>
      <c r="BC201" s="12"/>
      <c r="BD201" s="11" t="str">
        <f t="shared" si="31"/>
        <v>NY Submit</v>
      </c>
      <c r="BE201" s="174"/>
      <c r="BF201" s="12"/>
      <c r="BG201" s="12"/>
      <c r="BH201" s="10"/>
      <c r="BI201" s="12"/>
      <c r="BJ201" s="12"/>
      <c r="BK201" s="174"/>
      <c r="BL201" s="12" t="str">
        <f t="shared" si="32"/>
        <v>NY Submit</v>
      </c>
      <c r="BM201" s="12" t="str">
        <f t="shared" si="33"/>
        <v>NY Submit</v>
      </c>
      <c r="BN201" s="12"/>
      <c r="BO201" s="12"/>
      <c r="BP201" s="155" t="s">
        <v>2507</v>
      </c>
      <c r="BQ201" s="12" t="s">
        <v>3659</v>
      </c>
      <c r="BR201" s="12">
        <v>46001</v>
      </c>
      <c r="BS201" s="143">
        <f t="shared" ca="1" si="34"/>
        <v>0</v>
      </c>
      <c r="BT201" s="176"/>
      <c r="BU201" s="12"/>
      <c r="BV201" s="143">
        <f t="shared" ca="1" si="35"/>
        <v>0</v>
      </c>
      <c r="BW201" s="12"/>
      <c r="BX201" s="12"/>
      <c r="BY201" s="143"/>
      <c r="BZ201" s="13" t="s">
        <v>2500</v>
      </c>
      <c r="CA201" s="13"/>
      <c r="CB201" s="13"/>
      <c r="CC201" s="13"/>
      <c r="CD201" s="13"/>
      <c r="CE201" s="198"/>
      <c r="CF201" s="198"/>
      <c r="CG201" s="272"/>
      <c r="CH201" s="272"/>
      <c r="CI201" s="198"/>
      <c r="CJ201" s="198"/>
      <c r="CK201" s="198"/>
      <c r="CL201" s="198"/>
    </row>
    <row r="202" spans="1:90">
      <c r="A202" s="187">
        <v>197</v>
      </c>
      <c r="B202" s="190" t="s">
        <v>2486</v>
      </c>
      <c r="C202" s="190" t="s">
        <v>2487</v>
      </c>
      <c r="D202" s="190" t="s">
        <v>135</v>
      </c>
      <c r="E202" s="8" t="e">
        <f ca="1">+_xlfn.CONCAT(G202,"-",B202,"_",C202,"_",_xlfn.XLOOKUP(BP202,Account!M:M,Account!N:N)," JAW-JB-MJL-3026")</f>
        <v>#NAME?</v>
      </c>
      <c r="F202" s="12">
        <v>45884</v>
      </c>
      <c r="G202" s="190" t="s">
        <v>3336</v>
      </c>
      <c r="H202" s="190" t="s">
        <v>3655</v>
      </c>
      <c r="I202" s="10" t="s">
        <v>3337</v>
      </c>
      <c r="J202" s="190">
        <v>10</v>
      </c>
      <c r="K202" s="190" t="s">
        <v>2486</v>
      </c>
      <c r="L202" s="190" t="s">
        <v>3156</v>
      </c>
      <c r="M202" s="190" t="s">
        <v>3326</v>
      </c>
      <c r="N202" s="10" t="s">
        <v>3327</v>
      </c>
      <c r="O202" s="178" t="s">
        <v>3328</v>
      </c>
      <c r="P202" s="178" t="s">
        <v>3329</v>
      </c>
      <c r="Q202" s="327">
        <v>6828.5249999999996</v>
      </c>
      <c r="R202" s="190">
        <v>51</v>
      </c>
      <c r="S202" s="190"/>
      <c r="T202" s="190" t="s">
        <v>2494</v>
      </c>
      <c r="U202" s="190" t="s">
        <v>3330</v>
      </c>
      <c r="V202" s="8" t="s">
        <v>3661</v>
      </c>
      <c r="W202" s="10" t="s">
        <v>3148</v>
      </c>
      <c r="X202" s="9"/>
      <c r="Y202" s="172"/>
      <c r="Z202" s="172"/>
      <c r="AA202" s="172"/>
      <c r="AB202" s="143" t="str">
        <f t="shared" ca="1" si="29"/>
        <v>NY Submit</v>
      </c>
      <c r="AC202" s="13" t="s">
        <v>3657</v>
      </c>
      <c r="AD202" s="12">
        <v>45952</v>
      </c>
      <c r="AE202" s="12">
        <v>45961</v>
      </c>
      <c r="AF202" s="12"/>
      <c r="AG202" s="12"/>
      <c r="AH202" s="11"/>
      <c r="AI202" s="11"/>
      <c r="AJ202" s="11"/>
      <c r="AK202" s="11"/>
      <c r="AL202" s="11"/>
      <c r="AM202" s="11">
        <v>46003</v>
      </c>
      <c r="AN202" s="11"/>
      <c r="AO202" s="11" t="str">
        <f>+IF(AM202&lt;&gt;"","Survey LOS App",IF(AF202="Drop","Drop",IF(AE202&lt;&gt;"","Survey Report",IF(AD202&lt;&gt;"","Survey","NY Survey"))))</f>
        <v>Survey LOS App</v>
      </c>
      <c r="AP202" s="173"/>
      <c r="AQ202" s="12"/>
      <c r="AR202" s="12"/>
      <c r="AS202" s="12"/>
      <c r="AT202" s="12"/>
      <c r="AU202" s="12"/>
      <c r="AV202" s="12"/>
      <c r="AW202" s="11" t="str">
        <f t="shared" si="30"/>
        <v>NY Submit</v>
      </c>
      <c r="AX202" s="12"/>
      <c r="AY202" s="12"/>
      <c r="AZ202" s="12"/>
      <c r="BA202" s="12"/>
      <c r="BB202" s="12"/>
      <c r="BC202" s="12"/>
      <c r="BD202" s="11" t="str">
        <f t="shared" si="31"/>
        <v>NY Submit</v>
      </c>
      <c r="BE202" s="174"/>
      <c r="BF202" s="12"/>
      <c r="BG202" s="12"/>
      <c r="BH202" s="10"/>
      <c r="BI202" s="12"/>
      <c r="BJ202" s="12"/>
      <c r="BK202" s="174"/>
      <c r="BL202" s="12" t="str">
        <f t="shared" si="32"/>
        <v>NY Submit</v>
      </c>
      <c r="BM202" s="12" t="str">
        <f t="shared" si="33"/>
        <v>NY Submit</v>
      </c>
      <c r="BN202" s="12"/>
      <c r="BO202" s="12"/>
      <c r="BP202" s="155" t="s">
        <v>2507</v>
      </c>
      <c r="BQ202" s="12" t="s">
        <v>3659</v>
      </c>
      <c r="BR202" s="12">
        <v>46001</v>
      </c>
      <c r="BS202" s="143">
        <f t="shared" ca="1" si="34"/>
        <v>0</v>
      </c>
      <c r="BT202" s="176"/>
      <c r="BU202" s="12"/>
      <c r="BV202" s="143">
        <f t="shared" ca="1" si="35"/>
        <v>0</v>
      </c>
      <c r="BW202" s="12"/>
      <c r="BX202" s="12"/>
      <c r="BY202" s="143"/>
      <c r="BZ202" s="13" t="s">
        <v>2500</v>
      </c>
      <c r="CA202" s="13"/>
      <c r="CB202" s="13"/>
      <c r="CC202" s="13"/>
      <c r="CD202" s="13"/>
      <c r="CE202" s="198"/>
      <c r="CF202" s="198"/>
      <c r="CG202" s="272"/>
      <c r="CH202" s="272"/>
      <c r="CI202" s="198"/>
      <c r="CJ202" s="198"/>
      <c r="CK202" s="198"/>
      <c r="CL202" s="198"/>
    </row>
    <row r="203" spans="1:90">
      <c r="A203" s="187">
        <v>198</v>
      </c>
      <c r="B203" s="190" t="s">
        <v>2486</v>
      </c>
      <c r="C203" s="190" t="s">
        <v>2487</v>
      </c>
      <c r="D203" s="190" t="s">
        <v>135</v>
      </c>
      <c r="E203" s="8" t="e">
        <f ca="1">+_xlfn.CONCAT(G203,"-",B203,"_",C203,"_",_xlfn.XLOOKUP(BP203,Account!M:M,Account!N:N)," JAW-JB-MJL-8006")</f>
        <v>#NAME?</v>
      </c>
      <c r="F203" s="12">
        <v>45884</v>
      </c>
      <c r="G203" s="190" t="s">
        <v>3336</v>
      </c>
      <c r="H203" s="190" t="s">
        <v>3655</v>
      </c>
      <c r="I203" s="10" t="s">
        <v>3337</v>
      </c>
      <c r="J203" s="190">
        <v>10</v>
      </c>
      <c r="K203" s="190" t="s">
        <v>2486</v>
      </c>
      <c r="L203" s="190" t="s">
        <v>3156</v>
      </c>
      <c r="M203" s="190" t="s">
        <v>3326</v>
      </c>
      <c r="N203" s="10" t="s">
        <v>3327</v>
      </c>
      <c r="O203" s="178" t="s">
        <v>3328</v>
      </c>
      <c r="P203" s="178" t="s">
        <v>3329</v>
      </c>
      <c r="Q203" s="327">
        <v>6828.5249999999996</v>
      </c>
      <c r="R203" s="190">
        <v>51</v>
      </c>
      <c r="S203" s="190"/>
      <c r="T203" s="190" t="s">
        <v>2494</v>
      </c>
      <c r="U203" s="190" t="s">
        <v>3330</v>
      </c>
      <c r="V203" s="8" t="s">
        <v>3662</v>
      </c>
      <c r="W203" s="10" t="s">
        <v>3148</v>
      </c>
      <c r="X203" s="9"/>
      <c r="Y203" s="172"/>
      <c r="Z203" s="172"/>
      <c r="AA203" s="172"/>
      <c r="AB203" s="143" t="str">
        <f t="shared" ca="1" si="29"/>
        <v>NY Submit</v>
      </c>
      <c r="AC203" s="13" t="s">
        <v>3657</v>
      </c>
      <c r="AD203" s="12">
        <v>45952</v>
      </c>
      <c r="AE203" s="12">
        <v>45961</v>
      </c>
      <c r="AF203" s="12"/>
      <c r="AG203" s="12"/>
      <c r="AH203" s="11"/>
      <c r="AI203" s="11"/>
      <c r="AJ203" s="11"/>
      <c r="AK203" s="11"/>
      <c r="AL203" s="11"/>
      <c r="AM203" s="11">
        <v>46003</v>
      </c>
      <c r="AN203" s="11"/>
      <c r="AO203" s="11" t="str">
        <f>+IF(AM203&lt;&gt;"","Survey LOS App",IF(AF203="Drop","Drop",IF(AE203&lt;&gt;"","Survey Report",IF(AD203&lt;&gt;"","Survey","NY Survey"))))</f>
        <v>Survey LOS App</v>
      </c>
      <c r="AP203" s="173"/>
      <c r="AQ203" s="12"/>
      <c r="AR203" s="12"/>
      <c r="AS203" s="12"/>
      <c r="AT203" s="12"/>
      <c r="AU203" s="12"/>
      <c r="AV203" s="12"/>
      <c r="AW203" s="11" t="str">
        <f t="shared" si="30"/>
        <v>NY Submit</v>
      </c>
      <c r="AX203" s="12"/>
      <c r="AY203" s="12"/>
      <c r="AZ203" s="12"/>
      <c r="BA203" s="12"/>
      <c r="BB203" s="12"/>
      <c r="BC203" s="12"/>
      <c r="BD203" s="11" t="str">
        <f t="shared" si="31"/>
        <v>NY Submit</v>
      </c>
      <c r="BE203" s="174"/>
      <c r="BF203" s="12"/>
      <c r="BG203" s="12"/>
      <c r="BH203" s="10"/>
      <c r="BI203" s="12"/>
      <c r="BJ203" s="12"/>
      <c r="BK203" s="174"/>
      <c r="BL203" s="12" t="str">
        <f t="shared" si="32"/>
        <v>NY Submit</v>
      </c>
      <c r="BM203" s="12" t="str">
        <f t="shared" si="33"/>
        <v>NY Submit</v>
      </c>
      <c r="BN203" s="12"/>
      <c r="BO203" s="12"/>
      <c r="BP203" s="155" t="s">
        <v>2507</v>
      </c>
      <c r="BQ203" s="12" t="s">
        <v>3659</v>
      </c>
      <c r="BR203" s="12">
        <v>46001</v>
      </c>
      <c r="BS203" s="143">
        <f t="shared" ca="1" si="34"/>
        <v>0</v>
      </c>
      <c r="BT203" s="176"/>
      <c r="BU203" s="12"/>
      <c r="BV203" s="143">
        <f t="shared" ca="1" si="35"/>
        <v>0</v>
      </c>
      <c r="BW203" s="12"/>
      <c r="BX203" s="12"/>
      <c r="BY203" s="143"/>
      <c r="BZ203" s="13" t="s">
        <v>2500</v>
      </c>
      <c r="CA203" s="13"/>
      <c r="CB203" s="13"/>
      <c r="CC203" s="13"/>
      <c r="CD203" s="13"/>
      <c r="CE203" s="198"/>
      <c r="CF203" s="198"/>
      <c r="CG203" s="272"/>
      <c r="CH203" s="272"/>
      <c r="CI203" s="198"/>
      <c r="CJ203" s="198"/>
      <c r="CK203" s="198"/>
      <c r="CL203" s="198"/>
    </row>
    <row r="204" spans="1:90">
      <c r="A204" s="187">
        <v>199</v>
      </c>
      <c r="B204" s="190" t="s">
        <v>2486</v>
      </c>
      <c r="C204" s="190" t="s">
        <v>2487</v>
      </c>
      <c r="D204" s="190" t="s">
        <v>135</v>
      </c>
      <c r="E204" s="8" t="e">
        <f ca="1">+_xlfn.CONCAT(G204,"-",B204,"_",C204,"_",_xlfn.XLOOKUP(BP204,Account!M:M,Account!N:N))</f>
        <v>#NAME?</v>
      </c>
      <c r="F204" s="12">
        <v>45940</v>
      </c>
      <c r="G204" s="190" t="s">
        <v>811</v>
      </c>
      <c r="H204" s="190" t="s">
        <v>3663</v>
      </c>
      <c r="I204" s="10" t="s">
        <v>3664</v>
      </c>
      <c r="J204" s="190">
        <v>4</v>
      </c>
      <c r="K204" s="190" t="s">
        <v>2038</v>
      </c>
      <c r="L204" s="190" t="s">
        <v>3630</v>
      </c>
      <c r="M204" s="190" t="s">
        <v>3665</v>
      </c>
      <c r="N204" s="10" t="s">
        <v>3666</v>
      </c>
      <c r="O204" s="178" t="s">
        <v>3667</v>
      </c>
      <c r="P204" s="178" t="s">
        <v>3668</v>
      </c>
      <c r="Q204" s="327">
        <v>37254.735999999997</v>
      </c>
      <c r="R204" s="190">
        <v>70</v>
      </c>
      <c r="S204" s="190"/>
      <c r="T204" s="190" t="s">
        <v>2494</v>
      </c>
      <c r="U204" s="190" t="s">
        <v>2495</v>
      </c>
      <c r="V204" s="8" t="s">
        <v>1760</v>
      </c>
      <c r="W204" s="10"/>
      <c r="X204" s="9"/>
      <c r="Y204" s="172" t="s">
        <v>2496</v>
      </c>
      <c r="Z204" s="172">
        <v>45944</v>
      </c>
      <c r="AA204" s="172">
        <v>45950</v>
      </c>
      <c r="AB204" s="143" t="str">
        <f t="shared" ca="1" si="29"/>
        <v>Expired</v>
      </c>
      <c r="AC204" s="13"/>
      <c r="AD204" s="12">
        <v>45942</v>
      </c>
      <c r="AE204" s="12">
        <v>45944</v>
      </c>
      <c r="AF204" s="12"/>
      <c r="AG204" s="12">
        <v>45950</v>
      </c>
      <c r="AH204" s="11"/>
      <c r="AI204" s="11">
        <v>45961</v>
      </c>
      <c r="AJ204" s="11"/>
      <c r="AK204" s="11"/>
      <c r="AL204" s="11"/>
      <c r="AM204" s="11">
        <v>45980</v>
      </c>
      <c r="AN204" s="11">
        <v>45980</v>
      </c>
      <c r="AO204" s="11" t="str">
        <f>+IF(AN204&lt;&gt;"","BAST",IF(AI204&lt;&gt;"","Dismantle",IF(AG204&lt;&gt;"","RFD App",IF(AF204="Drop","Drop",IF(AE204&lt;&gt;"","Survey Report",IF(AD204&lt;&gt;"","Survey","NY Survey"))))))</f>
        <v>BAST</v>
      </c>
      <c r="AP204" s="173"/>
      <c r="AQ204" s="12">
        <v>45957</v>
      </c>
      <c r="AR204" s="12">
        <v>45973</v>
      </c>
      <c r="AS204" s="12">
        <v>45974</v>
      </c>
      <c r="AT204" s="12">
        <v>46000</v>
      </c>
      <c r="AU204" s="12">
        <v>46000</v>
      </c>
      <c r="AV204" s="12"/>
      <c r="AW204" s="11" t="str">
        <f t="shared" si="30"/>
        <v>Upload 1st BOQ &amp; BAN Isaac</v>
      </c>
      <c r="AX204" s="12"/>
      <c r="AY204" s="12"/>
      <c r="AZ204" s="12"/>
      <c r="BA204" s="12"/>
      <c r="BB204" s="12"/>
      <c r="BC204" s="12"/>
      <c r="BD204" s="11" t="str">
        <f t="shared" si="31"/>
        <v>NY Submit</v>
      </c>
      <c r="BE204" s="174" t="s">
        <v>3669</v>
      </c>
      <c r="BF204" s="12">
        <v>45944</v>
      </c>
      <c r="BG204" s="12">
        <v>45946</v>
      </c>
      <c r="BH204" s="10" t="s">
        <v>3670</v>
      </c>
      <c r="BI204" s="12">
        <v>45945</v>
      </c>
      <c r="BJ204" s="12">
        <v>45945</v>
      </c>
      <c r="BK204" s="174" t="s">
        <v>3671</v>
      </c>
      <c r="BL204" s="12" t="str">
        <f t="shared" si="32"/>
        <v>Approved</v>
      </c>
      <c r="BM204" s="12" t="str">
        <f t="shared" si="33"/>
        <v>Approved</v>
      </c>
      <c r="BN204" s="12">
        <v>45980</v>
      </c>
      <c r="BO204" s="12"/>
      <c r="BP204" s="155" t="s">
        <v>1760</v>
      </c>
      <c r="BQ204" s="12" t="s">
        <v>3672</v>
      </c>
      <c r="BR204" s="12">
        <v>46021</v>
      </c>
      <c r="BS204" s="143">
        <f t="shared" ca="1" si="34"/>
        <v>0</v>
      </c>
      <c r="BT204" s="176"/>
      <c r="BU204" s="12"/>
      <c r="BV204" s="143">
        <f t="shared" ca="1" si="35"/>
        <v>0</v>
      </c>
      <c r="BW204" s="12"/>
      <c r="BX204" s="12"/>
      <c r="BY204" s="143"/>
      <c r="BZ204" s="13"/>
      <c r="CA204" s="13"/>
      <c r="CB204" s="13"/>
      <c r="CC204" s="13"/>
      <c r="CD204" s="13"/>
      <c r="CE204" s="198"/>
      <c r="CF204" s="198"/>
      <c r="CG204" s="272"/>
      <c r="CH204" s="272"/>
      <c r="CI204" s="198"/>
      <c r="CJ204" s="198"/>
      <c r="CK204" s="198"/>
      <c r="CL204" s="198"/>
    </row>
    <row r="205" spans="1:90">
      <c r="A205" s="187">
        <v>200</v>
      </c>
      <c r="B205" s="190" t="s">
        <v>2486</v>
      </c>
      <c r="C205" s="190" t="s">
        <v>2487</v>
      </c>
      <c r="D205" s="190" t="s">
        <v>135</v>
      </c>
      <c r="E205" s="8" t="e">
        <f ca="1">+_xlfn.CONCAT(G205,"-",B205,"_",C205,"_",_xlfn.XLOOKUP(BP205,Account!M:M,Account!N:N))</f>
        <v>#NAME?</v>
      </c>
      <c r="F205" s="12">
        <v>45888</v>
      </c>
      <c r="G205" s="190" t="s">
        <v>567</v>
      </c>
      <c r="H205" s="190" t="s">
        <v>3350</v>
      </c>
      <c r="I205" s="10" t="s">
        <v>568</v>
      </c>
      <c r="J205" s="190">
        <v>16</v>
      </c>
      <c r="K205" s="190" t="s">
        <v>2486</v>
      </c>
      <c r="L205" s="190" t="s">
        <v>1230</v>
      </c>
      <c r="M205" s="190" t="s">
        <v>2562</v>
      </c>
      <c r="N205" s="10" t="s">
        <v>3351</v>
      </c>
      <c r="O205" s="178" t="s">
        <v>3352</v>
      </c>
      <c r="P205" s="178" t="s">
        <v>3353</v>
      </c>
      <c r="Q205" s="327">
        <v>1193.68</v>
      </c>
      <c r="R205" s="190">
        <v>12</v>
      </c>
      <c r="S205" s="190"/>
      <c r="T205" s="190" t="s">
        <v>2518</v>
      </c>
      <c r="U205" s="190" t="s">
        <v>2565</v>
      </c>
      <c r="V205" s="8" t="s">
        <v>1768</v>
      </c>
      <c r="W205" s="10" t="s">
        <v>2406</v>
      </c>
      <c r="X205" s="9"/>
      <c r="Y205" s="172" t="s">
        <v>2496</v>
      </c>
      <c r="Z205" s="172">
        <v>45942</v>
      </c>
      <c r="AA205" s="172">
        <v>45948</v>
      </c>
      <c r="AB205" s="143" t="str">
        <f t="shared" ca="1" si="29"/>
        <v>Expired</v>
      </c>
      <c r="AC205" s="13"/>
      <c r="AD205" s="12">
        <v>45891</v>
      </c>
      <c r="AE205" s="12">
        <v>45891</v>
      </c>
      <c r="AF205" s="12" t="s">
        <v>3628</v>
      </c>
      <c r="AG205" s="12"/>
      <c r="AH205" s="11"/>
      <c r="AI205" s="11"/>
      <c r="AJ205" s="11"/>
      <c r="AK205" s="11"/>
      <c r="AL205" s="11"/>
      <c r="AM205" s="11"/>
      <c r="AN205" s="11"/>
      <c r="AO205" s="11" t="str">
        <f>+IF(AM205&lt;&gt;"","ATP App MS",IF(AL205&lt;&gt;"","OA/RFS",IF(AK205&lt;&gt;"","Install",IF(AH205&lt;&gt;"","Dismantle Perangkat",IF(AF205="Drop","Drop",IF(AE205&lt;&gt;"","Survey Report",IF(AD205&lt;&gt;"","Survey","NY Survey")))))))</f>
        <v>Drop</v>
      </c>
      <c r="AP205" s="173"/>
      <c r="AQ205" s="12">
        <v>45939</v>
      </c>
      <c r="AR205" s="12"/>
      <c r="AS205" s="12"/>
      <c r="AT205" s="12"/>
      <c r="AU205" s="12"/>
      <c r="AV205" s="12"/>
      <c r="AW205" s="11" t="str">
        <f t="shared" si="30"/>
        <v>1st BOQ Submit</v>
      </c>
      <c r="AX205" s="12"/>
      <c r="AY205" s="12"/>
      <c r="AZ205" s="12"/>
      <c r="BA205" s="12"/>
      <c r="BB205" s="12"/>
      <c r="BC205" s="12"/>
      <c r="BD205" s="11" t="str">
        <f t="shared" si="31"/>
        <v>NY Submit</v>
      </c>
      <c r="BE205" s="174"/>
      <c r="BF205" s="12"/>
      <c r="BG205" s="12"/>
      <c r="BH205" s="10"/>
      <c r="BI205" s="12"/>
      <c r="BJ205" s="12"/>
      <c r="BK205" s="174"/>
      <c r="BL205" s="12" t="str">
        <f t="shared" si="32"/>
        <v>NY Submit</v>
      </c>
      <c r="BM205" s="12" t="str">
        <f t="shared" si="33"/>
        <v>NY Submit</v>
      </c>
      <c r="BN205" s="12"/>
      <c r="BO205" s="12"/>
      <c r="BP205" s="155" t="s">
        <v>1768</v>
      </c>
      <c r="BQ205" s="12" t="s">
        <v>2526</v>
      </c>
      <c r="BR205" s="12"/>
      <c r="BS205" s="143" t="str">
        <f t="shared" ca="1" si="34"/>
        <v>Drop</v>
      </c>
      <c r="BT205" s="176"/>
      <c r="BU205" s="12"/>
      <c r="BV205" s="143" t="str">
        <f t="shared" ca="1" si="35"/>
        <v>Drop</v>
      </c>
      <c r="BW205" s="12"/>
      <c r="BX205" s="12"/>
      <c r="BY205" s="143"/>
      <c r="BZ205" s="13"/>
      <c r="CA205" s="13"/>
      <c r="CB205" s="13"/>
      <c r="CC205" s="13"/>
      <c r="CD205" s="13"/>
      <c r="CE205" s="198"/>
      <c r="CF205" s="198"/>
      <c r="CG205" s="272"/>
      <c r="CH205" s="272"/>
      <c r="CI205" s="198"/>
      <c r="CJ205" s="198"/>
      <c r="CK205" s="198"/>
      <c r="CL205" s="198"/>
    </row>
    <row r="206" spans="1:90">
      <c r="A206" s="187">
        <v>201</v>
      </c>
      <c r="B206" s="190" t="s">
        <v>2486</v>
      </c>
      <c r="C206" s="190" t="s">
        <v>2487</v>
      </c>
      <c r="D206" s="190" t="s">
        <v>135</v>
      </c>
      <c r="E206" s="8" t="e">
        <f ca="1">+_xlfn.CONCAT(G206,"-",B206,"_",C206,"_",_xlfn.XLOOKUP(BP206,Account!M:M,Account!N:N))</f>
        <v>#NAME?</v>
      </c>
      <c r="F206" s="12">
        <v>45946</v>
      </c>
      <c r="G206" s="190" t="s">
        <v>821</v>
      </c>
      <c r="H206" s="190" t="s">
        <v>3673</v>
      </c>
      <c r="I206" s="10" t="s">
        <v>822</v>
      </c>
      <c r="J206" s="190">
        <v>1</v>
      </c>
      <c r="K206" s="190" t="s">
        <v>2486</v>
      </c>
      <c r="L206" s="190" t="s">
        <v>1419</v>
      </c>
      <c r="M206" s="190" t="s">
        <v>2938</v>
      </c>
      <c r="N206" s="10" t="s">
        <v>3674</v>
      </c>
      <c r="O206" s="178" t="s">
        <v>3675</v>
      </c>
      <c r="P206" s="178" t="s">
        <v>3676</v>
      </c>
      <c r="Q206" s="327">
        <v>3713.64</v>
      </c>
      <c r="R206" s="190">
        <v>25</v>
      </c>
      <c r="S206" s="190" t="s">
        <v>330</v>
      </c>
      <c r="T206" s="190" t="s">
        <v>2518</v>
      </c>
      <c r="U206" s="190" t="s">
        <v>2519</v>
      </c>
      <c r="V206" s="8" t="s">
        <v>1760</v>
      </c>
      <c r="W206" s="10"/>
      <c r="X206" s="9"/>
      <c r="Y206" s="172" t="s">
        <v>2432</v>
      </c>
      <c r="Z206" s="172">
        <v>45947</v>
      </c>
      <c r="AA206" s="172">
        <v>45961</v>
      </c>
      <c r="AB206" s="143" t="str">
        <f t="shared" ca="1" si="29"/>
        <v>Expired</v>
      </c>
      <c r="AC206" s="13"/>
      <c r="AD206" s="12">
        <v>45949</v>
      </c>
      <c r="AE206" s="12">
        <v>45951</v>
      </c>
      <c r="AF206" s="12"/>
      <c r="AG206" s="12"/>
      <c r="AH206" s="11"/>
      <c r="AI206" s="11">
        <v>45960</v>
      </c>
      <c r="AJ206" s="11"/>
      <c r="AK206" s="11"/>
      <c r="AL206" s="11"/>
      <c r="AM206" s="11">
        <v>45965</v>
      </c>
      <c r="AN206" s="11">
        <v>45965</v>
      </c>
      <c r="AO206" s="11" t="str">
        <f>+IF(AN206&lt;&gt;"","BAST",IF(AI206&lt;&gt;"","Dismantle",IF(AG206&lt;&gt;"","RFD App",IF(AF206="Drop","Drop",IF(AE206&lt;&gt;"","Survey Report",IF(AD206&lt;&gt;"","Survey","NY Survey"))))))</f>
        <v>BAST</v>
      </c>
      <c r="AP206" s="173"/>
      <c r="AQ206" s="12">
        <v>45952</v>
      </c>
      <c r="AR206" s="12">
        <v>46006</v>
      </c>
      <c r="AS206" s="12">
        <v>45958</v>
      </c>
      <c r="AT206" s="12"/>
      <c r="AU206" s="12">
        <v>46006</v>
      </c>
      <c r="AV206" s="12">
        <v>46006</v>
      </c>
      <c r="AW206" s="11" t="str">
        <f t="shared" si="30"/>
        <v>1st BOQ App on ISAAC</v>
      </c>
      <c r="AX206" s="12"/>
      <c r="AY206" s="12"/>
      <c r="AZ206" s="12"/>
      <c r="BA206" s="12"/>
      <c r="BB206" s="12"/>
      <c r="BC206" s="12"/>
      <c r="BD206" s="11" t="str">
        <f t="shared" si="31"/>
        <v>NY Submit</v>
      </c>
      <c r="BE206" s="174" t="s">
        <v>3677</v>
      </c>
      <c r="BF206" s="12">
        <v>45953</v>
      </c>
      <c r="BG206" s="12">
        <v>45954</v>
      </c>
      <c r="BH206" s="10" t="s">
        <v>3678</v>
      </c>
      <c r="BI206" s="12">
        <v>45953</v>
      </c>
      <c r="BJ206" s="12">
        <v>45954</v>
      </c>
      <c r="BK206" s="174" t="s">
        <v>3679</v>
      </c>
      <c r="BL206" s="12" t="str">
        <f t="shared" si="32"/>
        <v>Approved</v>
      </c>
      <c r="BM206" s="12" t="str">
        <f t="shared" si="33"/>
        <v>Approved</v>
      </c>
      <c r="BN206" s="12">
        <v>45966</v>
      </c>
      <c r="BO206" s="12">
        <v>45966</v>
      </c>
      <c r="BP206" s="155" t="s">
        <v>1760</v>
      </c>
      <c r="BQ206" s="12" t="s">
        <v>3358</v>
      </c>
      <c r="BR206" s="12">
        <v>46022</v>
      </c>
      <c r="BS206" s="143">
        <f t="shared" ca="1" si="34"/>
        <v>16</v>
      </c>
      <c r="BT206" s="176"/>
      <c r="BU206" s="12"/>
      <c r="BV206" s="143">
        <f t="shared" ca="1" si="35"/>
        <v>0</v>
      </c>
      <c r="BW206" s="12"/>
      <c r="BX206" s="12"/>
      <c r="BY206" s="143"/>
      <c r="BZ206" s="13" t="s">
        <v>3262</v>
      </c>
      <c r="CA206" s="13" t="s">
        <v>3263</v>
      </c>
      <c r="CB206" s="13" t="s">
        <v>2984</v>
      </c>
      <c r="CC206" s="13"/>
      <c r="CD206" s="13"/>
      <c r="CE206" s="198"/>
      <c r="CF206" s="198"/>
      <c r="CG206" s="272"/>
      <c r="CH206" s="272"/>
      <c r="CI206" s="198"/>
      <c r="CJ206" s="198"/>
      <c r="CK206" s="198"/>
      <c r="CL206" s="198"/>
    </row>
    <row r="207" spans="1:90">
      <c r="A207" s="187">
        <v>202</v>
      </c>
      <c r="B207" s="190" t="s">
        <v>2486</v>
      </c>
      <c r="C207" s="190" t="s">
        <v>2487</v>
      </c>
      <c r="D207" s="190" t="s">
        <v>135</v>
      </c>
      <c r="E207" s="8" t="e">
        <f ca="1">+_xlfn.CONCAT(G207,"-",B207,"_",C207,"_",_xlfn.XLOOKUP(BP207,Account!M:M,Account!N:N))</f>
        <v>#NAME?</v>
      </c>
      <c r="F207" s="12">
        <v>45938</v>
      </c>
      <c r="G207" s="190" t="s">
        <v>648</v>
      </c>
      <c r="H207" s="190" t="s">
        <v>3620</v>
      </c>
      <c r="I207" s="10" t="s">
        <v>649</v>
      </c>
      <c r="J207" s="190">
        <v>7</v>
      </c>
      <c r="K207" s="190" t="s">
        <v>2486</v>
      </c>
      <c r="L207" s="190" t="s">
        <v>2894</v>
      </c>
      <c r="M207" s="190" t="s">
        <v>2895</v>
      </c>
      <c r="N207" s="10" t="s">
        <v>3621</v>
      </c>
      <c r="O207" s="178" t="s">
        <v>3622</v>
      </c>
      <c r="P207" s="178" t="s">
        <v>3623</v>
      </c>
      <c r="Q207" s="327">
        <v>3152.7775000000001</v>
      </c>
      <c r="R207" s="190">
        <v>32</v>
      </c>
      <c r="S207" s="190" t="s">
        <v>404</v>
      </c>
      <c r="T207" s="190" t="s">
        <v>2494</v>
      </c>
      <c r="U207" s="190" t="s">
        <v>2495</v>
      </c>
      <c r="V207" s="8" t="s">
        <v>3680</v>
      </c>
      <c r="W207" s="10"/>
      <c r="X207" s="9"/>
      <c r="Y207" s="172"/>
      <c r="Z207" s="172"/>
      <c r="AA207" s="172"/>
      <c r="AB207" s="143" t="str">
        <f t="shared" ca="1" si="29"/>
        <v>NY Submit</v>
      </c>
      <c r="AC207" s="13"/>
      <c r="AD207" s="12"/>
      <c r="AE207" s="12"/>
      <c r="AF207" s="12" t="s">
        <v>3628</v>
      </c>
      <c r="AG207" s="12"/>
      <c r="AH207" s="11"/>
      <c r="AI207" s="11"/>
      <c r="AJ207" s="11"/>
      <c r="AK207" s="11"/>
      <c r="AL207" s="11"/>
      <c r="AM207" s="11"/>
      <c r="AN207" s="11"/>
      <c r="AO207" s="11" t="str">
        <f>+IF(AM207&lt;&gt;"","Survey LOS App",IF(AF207="Drop","Drop",IF(AE207&lt;&gt;"","Survey Report",IF(AD207&lt;&gt;"","Survey","NY Survey"))))</f>
        <v>Drop</v>
      </c>
      <c r="AP207" s="173"/>
      <c r="AQ207" s="12"/>
      <c r="AR207" s="12"/>
      <c r="AS207" s="12"/>
      <c r="AT207" s="12"/>
      <c r="AU207" s="12"/>
      <c r="AV207" s="12"/>
      <c r="AW207" s="11" t="str">
        <f t="shared" si="30"/>
        <v>NY Submit</v>
      </c>
      <c r="AX207" s="12"/>
      <c r="AY207" s="12"/>
      <c r="AZ207" s="12"/>
      <c r="BA207" s="12"/>
      <c r="BB207" s="12"/>
      <c r="BC207" s="12"/>
      <c r="BD207" s="11" t="str">
        <f t="shared" si="31"/>
        <v>NY Submit</v>
      </c>
      <c r="BE207" s="174"/>
      <c r="BF207" s="12"/>
      <c r="BG207" s="12"/>
      <c r="BH207" s="10"/>
      <c r="BI207" s="12"/>
      <c r="BJ207" s="12"/>
      <c r="BK207" s="174"/>
      <c r="BL207" s="12" t="str">
        <f t="shared" si="32"/>
        <v>NY Submit</v>
      </c>
      <c r="BM207" s="12" t="str">
        <f t="shared" si="33"/>
        <v>NY Submit</v>
      </c>
      <c r="BN207" s="12"/>
      <c r="BO207" s="12"/>
      <c r="BP207" s="155" t="s">
        <v>2507</v>
      </c>
      <c r="BQ207" s="12" t="s">
        <v>2526</v>
      </c>
      <c r="BR207" s="12"/>
      <c r="BS207" s="143" t="str">
        <f t="shared" ca="1" si="34"/>
        <v>Drop</v>
      </c>
      <c r="BT207" s="176"/>
      <c r="BU207" s="12"/>
      <c r="BV207" s="143" t="str">
        <f t="shared" ca="1" si="35"/>
        <v>Drop</v>
      </c>
      <c r="BW207" s="12"/>
      <c r="BX207" s="12"/>
      <c r="BY207" s="143"/>
      <c r="BZ207" s="13" t="s">
        <v>2526</v>
      </c>
      <c r="CA207" s="13"/>
      <c r="CB207" s="13"/>
      <c r="CC207" s="13"/>
      <c r="CD207" s="13"/>
      <c r="CE207" s="198"/>
      <c r="CF207" s="198"/>
      <c r="CG207" s="272"/>
      <c r="CH207" s="272"/>
      <c r="CI207" s="198"/>
      <c r="CJ207" s="198"/>
      <c r="CK207" s="198"/>
      <c r="CL207" s="198"/>
    </row>
    <row r="208" spans="1:90">
      <c r="A208" s="187">
        <v>203</v>
      </c>
      <c r="B208" s="190" t="s">
        <v>2486</v>
      </c>
      <c r="C208" s="190" t="s">
        <v>2487</v>
      </c>
      <c r="D208" s="190" t="s">
        <v>135</v>
      </c>
      <c r="E208" s="8" t="e">
        <f ca="1">+_xlfn.CONCAT(G208,"-",B208,"_",C208,"_",_xlfn.XLOOKUP(BP208,Account!M:M,Account!N:N))</f>
        <v>#NAME?</v>
      </c>
      <c r="F208" s="12">
        <v>45946</v>
      </c>
      <c r="G208" s="190" t="s">
        <v>821</v>
      </c>
      <c r="H208" s="190" t="s">
        <v>3673</v>
      </c>
      <c r="I208" s="10" t="s">
        <v>822</v>
      </c>
      <c r="J208" s="190">
        <v>1</v>
      </c>
      <c r="K208" s="190" t="s">
        <v>2486</v>
      </c>
      <c r="L208" s="190" t="s">
        <v>1419</v>
      </c>
      <c r="M208" s="190" t="s">
        <v>2938</v>
      </c>
      <c r="N208" s="10" t="s">
        <v>3674</v>
      </c>
      <c r="O208" s="178" t="s">
        <v>3675</v>
      </c>
      <c r="P208" s="178" t="s">
        <v>3676</v>
      </c>
      <c r="Q208" s="327">
        <v>3713.64</v>
      </c>
      <c r="R208" s="190">
        <v>25</v>
      </c>
      <c r="S208" s="190" t="s">
        <v>330</v>
      </c>
      <c r="T208" s="190" t="s">
        <v>2518</v>
      </c>
      <c r="U208" s="190" t="s">
        <v>2519</v>
      </c>
      <c r="V208" s="8" t="s">
        <v>2011</v>
      </c>
      <c r="W208" s="10"/>
      <c r="X208" s="9"/>
      <c r="Y208" s="172" t="s">
        <v>2432</v>
      </c>
      <c r="Z208" s="172">
        <v>45947</v>
      </c>
      <c r="AA208" s="172">
        <v>45961</v>
      </c>
      <c r="AB208" s="143" t="str">
        <f t="shared" ca="1" si="29"/>
        <v>Expired</v>
      </c>
      <c r="AC208" s="13"/>
      <c r="AD208" s="12">
        <v>45949</v>
      </c>
      <c r="AE208" s="12">
        <v>45949</v>
      </c>
      <c r="AF208" s="12"/>
      <c r="AG208" s="12"/>
      <c r="AH208" s="11">
        <v>45959</v>
      </c>
      <c r="AI208" s="11"/>
      <c r="AJ208" s="11">
        <v>45962</v>
      </c>
      <c r="AK208" s="11"/>
      <c r="AL208" s="11"/>
      <c r="AM208" s="11">
        <v>45965</v>
      </c>
      <c r="AN208" s="11">
        <v>45965</v>
      </c>
      <c r="AO208" s="11" t="str">
        <f>+IF(AM208&lt;&gt;"","ATP App MS",IF(AJ208&lt;&gt;"","Inbound",IF(AH208&lt;&gt;"","Dismantle Perangkat",IF(AF208="Drop","Drop",IF(AE208&lt;&gt;"","Survey Report",IF(AD208&lt;&gt;"","Survey","NY Survey"))))))</f>
        <v>ATP App MS</v>
      </c>
      <c r="AP208" s="173" t="s">
        <v>3681</v>
      </c>
      <c r="AQ208" s="12">
        <v>45952</v>
      </c>
      <c r="AR208" s="12">
        <v>46006</v>
      </c>
      <c r="AS208" s="12">
        <v>45958</v>
      </c>
      <c r="AT208" s="12"/>
      <c r="AU208" s="12">
        <v>46006</v>
      </c>
      <c r="AV208" s="12">
        <v>46006</v>
      </c>
      <c r="AW208" s="11" t="str">
        <f t="shared" si="30"/>
        <v>1st BOQ App on ISAAC</v>
      </c>
      <c r="AX208" s="12"/>
      <c r="AY208" s="12"/>
      <c r="AZ208" s="12"/>
      <c r="BA208" s="12"/>
      <c r="BB208" s="12"/>
      <c r="BC208" s="12"/>
      <c r="BD208" s="11" t="str">
        <f t="shared" si="31"/>
        <v>NY Submit</v>
      </c>
      <c r="BE208" s="174"/>
      <c r="BF208" s="12"/>
      <c r="BG208" s="12"/>
      <c r="BH208" s="10"/>
      <c r="BI208" s="12"/>
      <c r="BJ208" s="12"/>
      <c r="BK208" s="174"/>
      <c r="BL208" s="12" t="str">
        <f t="shared" si="32"/>
        <v>NY Submit</v>
      </c>
      <c r="BM208" s="12" t="str">
        <f t="shared" si="33"/>
        <v>NY Submit</v>
      </c>
      <c r="BN208" s="12">
        <v>45966</v>
      </c>
      <c r="BO208" s="12">
        <v>45966</v>
      </c>
      <c r="BP208" s="155" t="s">
        <v>2011</v>
      </c>
      <c r="BQ208" s="12" t="s">
        <v>2968</v>
      </c>
      <c r="BR208" s="12">
        <v>46022</v>
      </c>
      <c r="BS208" s="143">
        <f t="shared" ca="1" si="34"/>
        <v>16</v>
      </c>
      <c r="BT208" s="176"/>
      <c r="BU208" s="12"/>
      <c r="BV208" s="143">
        <f t="shared" ca="1" si="35"/>
        <v>0</v>
      </c>
      <c r="BW208" s="12"/>
      <c r="BX208" s="12"/>
      <c r="BY208" s="143"/>
      <c r="BZ208" s="13"/>
      <c r="CA208" s="13"/>
      <c r="CB208" s="13"/>
      <c r="CC208" s="13"/>
      <c r="CD208" s="13"/>
      <c r="CE208" s="198"/>
      <c r="CF208" s="198"/>
      <c r="CG208" s="272"/>
      <c r="CH208" s="272"/>
      <c r="CI208" s="198"/>
      <c r="CJ208" s="198"/>
      <c r="CK208" s="198"/>
      <c r="CL208" s="198"/>
    </row>
    <row r="209" spans="1:90">
      <c r="A209" s="186">
        <v>204</v>
      </c>
      <c r="B209" s="190" t="s">
        <v>2486</v>
      </c>
      <c r="C209" s="190" t="s">
        <v>2487</v>
      </c>
      <c r="D209" s="190" t="s">
        <v>135</v>
      </c>
      <c r="E209" s="8" t="e">
        <f ca="1">+_xlfn.CONCAT(G209,"-",B209,"_",C209,"_",_xlfn.XLOOKUP(BP209,Account!M:M,Account!N:N))</f>
        <v>#NAME?</v>
      </c>
      <c r="F209" s="12">
        <v>45952</v>
      </c>
      <c r="G209" s="190" t="s">
        <v>2244</v>
      </c>
      <c r="H209" s="190" t="s">
        <v>3682</v>
      </c>
      <c r="I209" s="10" t="s">
        <v>2245</v>
      </c>
      <c r="J209" s="190">
        <v>11</v>
      </c>
      <c r="K209" s="190" t="s">
        <v>2486</v>
      </c>
      <c r="L209" s="190" t="s">
        <v>1263</v>
      </c>
      <c r="M209" s="190" t="s">
        <v>2514</v>
      </c>
      <c r="N209" s="10" t="s">
        <v>3683</v>
      </c>
      <c r="O209" s="178" t="s">
        <v>3684</v>
      </c>
      <c r="P209" s="178" t="s">
        <v>3685</v>
      </c>
      <c r="Q209" s="327">
        <v>4864.9399999999996</v>
      </c>
      <c r="R209" s="190">
        <v>35</v>
      </c>
      <c r="S209" s="190" t="s">
        <v>3686</v>
      </c>
      <c r="T209" s="190" t="s">
        <v>2494</v>
      </c>
      <c r="U209" s="190" t="s">
        <v>3330</v>
      </c>
      <c r="V209" s="8" t="s">
        <v>1760</v>
      </c>
      <c r="W209" s="10" t="s">
        <v>3687</v>
      </c>
      <c r="X209" s="15" t="s">
        <v>3688</v>
      </c>
      <c r="Y209" s="172" t="s">
        <v>2432</v>
      </c>
      <c r="Z209" s="172">
        <v>46155</v>
      </c>
      <c r="AA209" s="172">
        <v>46161</v>
      </c>
      <c r="AB209" s="143" t="str">
        <f t="shared" ca="1" si="29"/>
        <v>Expired</v>
      </c>
      <c r="AC209" s="13"/>
      <c r="AD209" s="12">
        <v>46160</v>
      </c>
      <c r="AE209" s="12">
        <v>46164</v>
      </c>
      <c r="AF209" s="12">
        <v>46294</v>
      </c>
      <c r="AG209" s="12"/>
      <c r="AH209" s="11"/>
      <c r="AI209" s="11"/>
      <c r="AJ209" s="11"/>
      <c r="AK209" s="11"/>
      <c r="AL209" s="11"/>
      <c r="AM209" s="11"/>
      <c r="AN209" s="11"/>
      <c r="AO209" s="11" t="str">
        <f>+IF(AN209&lt;&gt;"","BAST",IF(AI209&lt;&gt;"","Dismantle",IF(AG209&lt;&gt;"","RFD App",IF(AF209="Drop","Drop",IF(AE209&lt;&gt;"","Survey Report",IF(AD209&lt;&gt;"","Survey","NY Survey"))))))</f>
        <v>Survey Report</v>
      </c>
      <c r="AP209" s="173"/>
      <c r="AQ209" s="12"/>
      <c r="AR209" s="12"/>
      <c r="AS209" s="12"/>
      <c r="AT209" s="12"/>
      <c r="AU209" s="12"/>
      <c r="AV209" s="12"/>
      <c r="AW209" s="11" t="str">
        <f t="shared" si="30"/>
        <v>NY Submit</v>
      </c>
      <c r="AX209" s="12"/>
      <c r="AY209" s="12"/>
      <c r="AZ209" s="12"/>
      <c r="BA209" s="12"/>
      <c r="BB209" s="12"/>
      <c r="BC209" s="12"/>
      <c r="BD209" s="11" t="str">
        <f t="shared" si="31"/>
        <v>NY Submit</v>
      </c>
      <c r="BE209" s="174" t="s">
        <v>3689</v>
      </c>
      <c r="BF209" s="12">
        <v>46231</v>
      </c>
      <c r="BG209" s="12"/>
      <c r="BH209" s="10" t="s">
        <v>3690</v>
      </c>
      <c r="BI209" s="12">
        <v>46231</v>
      </c>
      <c r="BJ209" s="12"/>
      <c r="BK209" s="174" t="s">
        <v>3691</v>
      </c>
      <c r="BL209" s="12" t="str">
        <f t="shared" si="32"/>
        <v>Submit</v>
      </c>
      <c r="BM209" s="12" t="str">
        <f t="shared" si="33"/>
        <v>Submit</v>
      </c>
      <c r="BN209" s="12"/>
      <c r="BO209" s="12"/>
      <c r="BP209" s="155" t="s">
        <v>1760</v>
      </c>
      <c r="BQ209" s="12" t="s">
        <v>3106</v>
      </c>
      <c r="BR209" s="12"/>
      <c r="BS209" s="143">
        <f t="shared" ca="1" si="34"/>
        <v>0</v>
      </c>
      <c r="BT209" s="176"/>
      <c r="BU209" s="12"/>
      <c r="BV209" s="143">
        <f t="shared" ca="1" si="35"/>
        <v>0</v>
      </c>
      <c r="BW209" s="12"/>
      <c r="BX209" s="12"/>
      <c r="BY209" s="143"/>
      <c r="BZ209" s="13"/>
      <c r="CA209" s="13"/>
      <c r="CB209" s="13"/>
      <c r="CC209" s="13"/>
      <c r="CD209" s="13"/>
      <c r="CE209" s="198"/>
      <c r="CF209" s="198"/>
      <c r="CG209" s="272"/>
      <c r="CH209" s="272"/>
      <c r="CI209" s="198"/>
      <c r="CJ209" s="198"/>
      <c r="CK209" s="198"/>
      <c r="CL209" s="198"/>
    </row>
    <row r="210" spans="1:90">
      <c r="A210" s="186">
        <v>205</v>
      </c>
      <c r="B210" s="190" t="s">
        <v>2486</v>
      </c>
      <c r="C210" s="190" t="s">
        <v>2487</v>
      </c>
      <c r="D210" s="190" t="s">
        <v>135</v>
      </c>
      <c r="E210" s="8" t="e">
        <f ca="1">+_xlfn.CONCAT(G210,"-",B210,"_",C210,"_",_xlfn.XLOOKUP(BP210,Account!M:M,Account!N:N))</f>
        <v>#NAME?</v>
      </c>
      <c r="F210" s="12">
        <v>45952</v>
      </c>
      <c r="G210" s="190" t="s">
        <v>2244</v>
      </c>
      <c r="H210" s="190" t="s">
        <v>3682</v>
      </c>
      <c r="I210" s="10" t="s">
        <v>2245</v>
      </c>
      <c r="J210" s="190">
        <v>11</v>
      </c>
      <c r="K210" s="190" t="s">
        <v>2486</v>
      </c>
      <c r="L210" s="190" t="s">
        <v>1263</v>
      </c>
      <c r="M210" s="190" t="s">
        <v>2514</v>
      </c>
      <c r="N210" s="10" t="s">
        <v>3683</v>
      </c>
      <c r="O210" s="178" t="s">
        <v>3684</v>
      </c>
      <c r="P210" s="178" t="s">
        <v>3685</v>
      </c>
      <c r="Q210" s="327">
        <v>4864.9399999999996</v>
      </c>
      <c r="R210" s="190">
        <v>35</v>
      </c>
      <c r="S210" s="190" t="s">
        <v>3686</v>
      </c>
      <c r="T210" s="190" t="s">
        <v>2494</v>
      </c>
      <c r="U210" s="190" t="s">
        <v>3330</v>
      </c>
      <c r="V210" s="8" t="s">
        <v>2011</v>
      </c>
      <c r="W210" s="10" t="s">
        <v>3687</v>
      </c>
      <c r="X210" s="15" t="s">
        <v>3688</v>
      </c>
      <c r="Y210" s="172" t="s">
        <v>2432</v>
      </c>
      <c r="Z210" s="172">
        <v>46155</v>
      </c>
      <c r="AA210" s="172">
        <v>46161</v>
      </c>
      <c r="AB210" s="143" t="str">
        <f t="shared" ca="1" si="29"/>
        <v>Expired</v>
      </c>
      <c r="AC210" s="13"/>
      <c r="AD210" s="12">
        <v>46160</v>
      </c>
      <c r="AE210" s="12">
        <v>46164</v>
      </c>
      <c r="AF210" s="12">
        <v>46294</v>
      </c>
      <c r="AG210" s="12"/>
      <c r="AH210" s="11"/>
      <c r="AI210" s="11"/>
      <c r="AJ210" s="11"/>
      <c r="AK210" s="11"/>
      <c r="AL210" s="11"/>
      <c r="AM210" s="11"/>
      <c r="AN210" s="11"/>
      <c r="AO210" s="11" t="str">
        <f>+IF(AM210&lt;&gt;"","ATP App MS",IF(AJ210&lt;&gt;"","Inbound",IF(AH210&lt;&gt;"","Dismantle Perangkat",IF(AF210="Drop","Drop",IF(AE210&lt;&gt;"","Survey Report",IF(AD210&lt;&gt;"","Survey","NY Survey"))))))</f>
        <v>Survey Report</v>
      </c>
      <c r="AP210" s="173"/>
      <c r="AQ210" s="12"/>
      <c r="AR210" s="12"/>
      <c r="AS210" s="12"/>
      <c r="AT210" s="12"/>
      <c r="AU210" s="12"/>
      <c r="AV210" s="12"/>
      <c r="AW210" s="11" t="str">
        <f t="shared" si="30"/>
        <v>NY Submit</v>
      </c>
      <c r="AX210" s="12"/>
      <c r="AY210" s="12"/>
      <c r="AZ210" s="12"/>
      <c r="BA210" s="12"/>
      <c r="BB210" s="12"/>
      <c r="BC210" s="12"/>
      <c r="BD210" s="11" t="str">
        <f t="shared" si="31"/>
        <v>NY Submit</v>
      </c>
      <c r="BE210" s="174" t="s">
        <v>3689</v>
      </c>
      <c r="BF210" s="12"/>
      <c r="BG210" s="12"/>
      <c r="BH210" s="10"/>
      <c r="BI210" s="12"/>
      <c r="BJ210" s="12"/>
      <c r="BK210" s="174"/>
      <c r="BL210" s="12" t="str">
        <f t="shared" si="32"/>
        <v>NY Submit</v>
      </c>
      <c r="BM210" s="12" t="str">
        <f t="shared" si="33"/>
        <v>NY Submit</v>
      </c>
      <c r="BN210" s="12"/>
      <c r="BO210" s="12"/>
      <c r="BP210" s="155" t="s">
        <v>2011</v>
      </c>
      <c r="BQ210" s="12" t="s">
        <v>3106</v>
      </c>
      <c r="BR210" s="12"/>
      <c r="BS210" s="143">
        <f t="shared" ca="1" si="34"/>
        <v>0</v>
      </c>
      <c r="BT210" s="176"/>
      <c r="BU210" s="12"/>
      <c r="BV210" s="143">
        <f t="shared" ca="1" si="35"/>
        <v>0</v>
      </c>
      <c r="BW210" s="12"/>
      <c r="BX210" s="12"/>
      <c r="BY210" s="143"/>
      <c r="BZ210" s="13"/>
      <c r="CA210" s="13"/>
      <c r="CB210" s="13"/>
      <c r="CC210" s="13"/>
      <c r="CD210" s="13"/>
      <c r="CE210" s="198"/>
      <c r="CF210" s="198"/>
      <c r="CG210" s="272"/>
      <c r="CH210" s="272"/>
      <c r="CI210" s="198"/>
      <c r="CJ210" s="198"/>
      <c r="CK210" s="198"/>
      <c r="CL210" s="198"/>
    </row>
    <row r="211" spans="1:90">
      <c r="A211" s="186">
        <v>206</v>
      </c>
      <c r="B211" s="190" t="s">
        <v>2486</v>
      </c>
      <c r="C211" s="190" t="s">
        <v>2487</v>
      </c>
      <c r="D211" s="190" t="s">
        <v>135</v>
      </c>
      <c r="E211" s="8" t="e">
        <f ca="1">+_xlfn.CONCAT(G211,"-",B211,"_",C211,"_",_xlfn.XLOOKUP(BP211,Account!M:M,Account!N:N))</f>
        <v>#NAME?</v>
      </c>
      <c r="F211" s="12">
        <v>45952</v>
      </c>
      <c r="G211" s="190" t="s">
        <v>2244</v>
      </c>
      <c r="H211" s="190" t="s">
        <v>3682</v>
      </c>
      <c r="I211" s="10" t="s">
        <v>2245</v>
      </c>
      <c r="J211" s="190">
        <v>11</v>
      </c>
      <c r="K211" s="190" t="s">
        <v>2486</v>
      </c>
      <c r="L211" s="190" t="s">
        <v>1263</v>
      </c>
      <c r="M211" s="190" t="s">
        <v>2514</v>
      </c>
      <c r="N211" s="10" t="s">
        <v>3683</v>
      </c>
      <c r="O211" s="178" t="s">
        <v>3684</v>
      </c>
      <c r="P211" s="178" t="s">
        <v>3685</v>
      </c>
      <c r="Q211" s="327">
        <v>4864.9399999999996</v>
      </c>
      <c r="R211" s="190">
        <v>35</v>
      </c>
      <c r="S211" s="190" t="s">
        <v>3686</v>
      </c>
      <c r="T211" s="190" t="s">
        <v>2494</v>
      </c>
      <c r="U211" s="190" t="s">
        <v>3330</v>
      </c>
      <c r="V211" s="8" t="s">
        <v>1768</v>
      </c>
      <c r="W211" s="10" t="s">
        <v>3687</v>
      </c>
      <c r="X211" s="15" t="s">
        <v>3688</v>
      </c>
      <c r="Y211" s="172" t="s">
        <v>2432</v>
      </c>
      <c r="Z211" s="172">
        <v>46155</v>
      </c>
      <c r="AA211" s="172">
        <v>46161</v>
      </c>
      <c r="AB211" s="143" t="str">
        <f t="shared" ca="1" si="29"/>
        <v>Expired</v>
      </c>
      <c r="AC211" s="13"/>
      <c r="AD211" s="12">
        <v>46160</v>
      </c>
      <c r="AE211" s="12">
        <v>46164</v>
      </c>
      <c r="AF211" s="12">
        <v>46294</v>
      </c>
      <c r="AG211" s="12"/>
      <c r="AH211" s="11"/>
      <c r="AI211" s="11"/>
      <c r="AJ211" s="11"/>
      <c r="AK211" s="11"/>
      <c r="AL211" s="11"/>
      <c r="AM211" s="11"/>
      <c r="AN211" s="11"/>
      <c r="AO211" s="11" t="str">
        <f>+IF(AM211&lt;&gt;"","ATP App MS",IF(AL211&lt;&gt;"","OA/RFS",IF(AK211&lt;&gt;"","Install",IF(AH211&lt;&gt;"","Dismantle Perangkat",IF(AF211="Drop","Drop",IF(AE211&lt;&gt;"","Survey Report",IF(AD211&lt;&gt;"","Survey","NY Survey")))))))</f>
        <v>Survey Report</v>
      </c>
      <c r="AP211" s="173"/>
      <c r="AQ211" s="12"/>
      <c r="AR211" s="12"/>
      <c r="AS211" s="12"/>
      <c r="AT211" s="12"/>
      <c r="AU211" s="12"/>
      <c r="AV211" s="12"/>
      <c r="AW211" s="11" t="str">
        <f t="shared" si="30"/>
        <v>NY Submit</v>
      </c>
      <c r="AX211" s="12"/>
      <c r="AY211" s="12"/>
      <c r="AZ211" s="12"/>
      <c r="BA211" s="12"/>
      <c r="BB211" s="12"/>
      <c r="BC211" s="12"/>
      <c r="BD211" s="11" t="str">
        <f t="shared" si="31"/>
        <v>NY Submit</v>
      </c>
      <c r="BE211" s="174" t="s">
        <v>3689</v>
      </c>
      <c r="BF211" s="12"/>
      <c r="BG211" s="12"/>
      <c r="BH211" s="10"/>
      <c r="BI211" s="12"/>
      <c r="BJ211" s="12"/>
      <c r="BK211" s="174"/>
      <c r="BL211" s="12" t="str">
        <f t="shared" si="32"/>
        <v>NY Submit</v>
      </c>
      <c r="BM211" s="12" t="str">
        <f t="shared" si="33"/>
        <v>NY Submit</v>
      </c>
      <c r="BN211" s="12"/>
      <c r="BO211" s="12"/>
      <c r="BP211" s="155" t="s">
        <v>1768</v>
      </c>
      <c r="BQ211" s="12" t="s">
        <v>3106</v>
      </c>
      <c r="BR211" s="12"/>
      <c r="BS211" s="143">
        <f t="shared" ca="1" si="34"/>
        <v>0</v>
      </c>
      <c r="BT211" s="176"/>
      <c r="BU211" s="12"/>
      <c r="BV211" s="143">
        <f t="shared" ca="1" si="35"/>
        <v>0</v>
      </c>
      <c r="BW211" s="12"/>
      <c r="BX211" s="12"/>
      <c r="BY211" s="143"/>
      <c r="BZ211" s="13"/>
      <c r="CA211" s="13"/>
      <c r="CB211" s="13"/>
      <c r="CC211" s="13"/>
      <c r="CD211" s="13"/>
      <c r="CE211" s="198"/>
      <c r="CF211" s="198"/>
      <c r="CG211" s="272"/>
      <c r="CH211" s="272"/>
      <c r="CI211" s="198"/>
      <c r="CJ211" s="198"/>
      <c r="CK211" s="198"/>
      <c r="CL211" s="198"/>
    </row>
    <row r="212" spans="1:90">
      <c r="A212" s="187">
        <v>207</v>
      </c>
      <c r="B212" s="190" t="s">
        <v>2486</v>
      </c>
      <c r="C212" s="190" t="s">
        <v>2487</v>
      </c>
      <c r="D212" s="190" t="s">
        <v>135</v>
      </c>
      <c r="E212" s="8" t="e">
        <f ca="1">+_xlfn.CONCAT(G212,"-",B212,"_",C212,"_",_xlfn.XLOOKUP(BP212,Account!M:M,Account!N:N))</f>
        <v>#NAME?</v>
      </c>
      <c r="F212" s="12">
        <v>45958</v>
      </c>
      <c r="G212" s="190" t="s">
        <v>855</v>
      </c>
      <c r="H212" s="190" t="s">
        <v>3692</v>
      </c>
      <c r="I212" s="10" t="s">
        <v>856</v>
      </c>
      <c r="J212" s="190">
        <v>10</v>
      </c>
      <c r="K212" s="190" t="s">
        <v>2486</v>
      </c>
      <c r="L212" s="190" t="s">
        <v>3156</v>
      </c>
      <c r="M212" s="190" t="s">
        <v>3362</v>
      </c>
      <c r="N212" s="10" t="s">
        <v>3693</v>
      </c>
      <c r="O212" s="178" t="s">
        <v>3694</v>
      </c>
      <c r="P212" s="178" t="s">
        <v>3695</v>
      </c>
      <c r="Q212" s="327">
        <v>3068.8915000000002</v>
      </c>
      <c r="R212" s="190">
        <v>31</v>
      </c>
      <c r="S212" s="190" t="s">
        <v>404</v>
      </c>
      <c r="T212" s="190" t="s">
        <v>2494</v>
      </c>
      <c r="U212" s="190" t="s">
        <v>2495</v>
      </c>
      <c r="V212" s="8" t="s">
        <v>1760</v>
      </c>
      <c r="W212" s="10" t="s">
        <v>3148</v>
      </c>
      <c r="X212" s="9"/>
      <c r="Y212" s="12" t="s">
        <v>2496</v>
      </c>
      <c r="Z212" s="172">
        <v>45975</v>
      </c>
      <c r="AA212" s="172">
        <v>45982</v>
      </c>
      <c r="AB212" s="143" t="str">
        <f t="shared" ca="1" si="29"/>
        <v>Expired</v>
      </c>
      <c r="AC212" s="13"/>
      <c r="AD212" s="12">
        <v>45960</v>
      </c>
      <c r="AE212" s="12">
        <v>45960</v>
      </c>
      <c r="AF212" s="12"/>
      <c r="AG212" s="12"/>
      <c r="AH212" s="11"/>
      <c r="AI212" s="11">
        <v>45993</v>
      </c>
      <c r="AJ212" s="11"/>
      <c r="AK212" s="11"/>
      <c r="AL212" s="11"/>
      <c r="AM212" s="11"/>
      <c r="AN212" s="11">
        <v>45994</v>
      </c>
      <c r="AO212" s="11" t="str">
        <f>+IF(AN212&lt;&gt;"","BAST",IF(AI212&lt;&gt;"","Dismantle",IF(AG212&lt;&gt;"","RFD App",IF(AF212="Drop","Drop",IF(AE212&lt;&gt;"","Survey Report",IF(AD212&lt;&gt;"","Survey","NY Survey"))))))</f>
        <v>BAST</v>
      </c>
      <c r="AP212" s="173"/>
      <c r="AQ212" s="12">
        <v>45980</v>
      </c>
      <c r="AR212" s="12">
        <v>45987</v>
      </c>
      <c r="AS212" s="12">
        <v>45988</v>
      </c>
      <c r="AT212" s="12"/>
      <c r="AU212" s="12">
        <v>45988</v>
      </c>
      <c r="AV212" s="12">
        <v>45988</v>
      </c>
      <c r="AW212" s="11" t="str">
        <f t="shared" si="30"/>
        <v>1st BOQ App on ISAAC</v>
      </c>
      <c r="AX212" s="12"/>
      <c r="AY212" s="12"/>
      <c r="AZ212" s="12"/>
      <c r="BA212" s="12"/>
      <c r="BB212" s="12"/>
      <c r="BC212" s="12"/>
      <c r="BD212" s="11" t="str">
        <f t="shared" si="31"/>
        <v>NY Submit</v>
      </c>
      <c r="BE212" s="174"/>
      <c r="BF212" s="12">
        <v>45960</v>
      </c>
      <c r="BG212" s="12">
        <v>45962</v>
      </c>
      <c r="BH212" s="10" t="s">
        <v>3696</v>
      </c>
      <c r="BI212" s="12">
        <v>45960</v>
      </c>
      <c r="BJ212" s="12">
        <v>45962</v>
      </c>
      <c r="BK212" s="174" t="s">
        <v>3697</v>
      </c>
      <c r="BL212" s="12" t="str">
        <f t="shared" si="32"/>
        <v>Approved</v>
      </c>
      <c r="BM212" s="12" t="str">
        <f t="shared" si="33"/>
        <v>Approved</v>
      </c>
      <c r="BN212" s="12"/>
      <c r="BO212" s="12"/>
      <c r="BP212" s="155" t="s">
        <v>1760</v>
      </c>
      <c r="BQ212" s="12" t="s">
        <v>3698</v>
      </c>
      <c r="BR212" s="12">
        <v>46000</v>
      </c>
      <c r="BS212" s="143">
        <f t="shared" ca="1" si="34"/>
        <v>12</v>
      </c>
      <c r="BT212" s="176"/>
      <c r="BU212" s="12"/>
      <c r="BV212" s="143">
        <f t="shared" ca="1" si="35"/>
        <v>0</v>
      </c>
      <c r="BW212" s="12"/>
      <c r="BX212" s="12"/>
      <c r="BY212" s="143"/>
      <c r="BZ212" s="13"/>
      <c r="CA212" s="13"/>
      <c r="CB212" s="13"/>
      <c r="CC212" s="13"/>
      <c r="CD212" s="13"/>
      <c r="CE212" s="198"/>
      <c r="CF212" s="198"/>
      <c r="CG212" s="272"/>
      <c r="CH212" s="272"/>
      <c r="CI212" s="198"/>
      <c r="CJ212" s="198"/>
      <c r="CK212" s="198"/>
      <c r="CL212" s="198"/>
    </row>
    <row r="213" spans="1:90">
      <c r="A213" s="187">
        <v>208</v>
      </c>
      <c r="B213" s="190" t="s">
        <v>2486</v>
      </c>
      <c r="C213" s="190" t="s">
        <v>2487</v>
      </c>
      <c r="D213" s="190" t="s">
        <v>135</v>
      </c>
      <c r="E213" s="8" t="e">
        <f ca="1">+_xlfn.CONCAT(G213,"-",B213,"_",C213,"_",_xlfn.XLOOKUP(BP213,Account!M:M,Account!N:N))</f>
        <v>#NAME?</v>
      </c>
      <c r="F213" s="12">
        <v>45958</v>
      </c>
      <c r="G213" s="190" t="s">
        <v>1893</v>
      </c>
      <c r="H213" s="190" t="s">
        <v>3699</v>
      </c>
      <c r="I213" s="10" t="s">
        <v>1894</v>
      </c>
      <c r="J213" s="190">
        <v>19</v>
      </c>
      <c r="K213" s="190" t="s">
        <v>2486</v>
      </c>
      <c r="L213" s="190" t="s">
        <v>1367</v>
      </c>
      <c r="M213" s="190" t="s">
        <v>3700</v>
      </c>
      <c r="N213" s="10" t="s">
        <v>3701</v>
      </c>
      <c r="O213" s="178" t="s">
        <v>3702</v>
      </c>
      <c r="P213" s="178" t="s">
        <v>3703</v>
      </c>
      <c r="Q213" s="327">
        <v>6828.5249999999996</v>
      </c>
      <c r="R213" s="190">
        <v>51</v>
      </c>
      <c r="S213" s="190" t="s">
        <v>3704</v>
      </c>
      <c r="T213" s="190" t="s">
        <v>2494</v>
      </c>
      <c r="U213" s="190" t="s">
        <v>3330</v>
      </c>
      <c r="V213" s="8" t="s">
        <v>1760</v>
      </c>
      <c r="W213" s="10"/>
      <c r="X213" s="9"/>
      <c r="Y213" s="172" t="s">
        <v>2432</v>
      </c>
      <c r="Z213" s="172">
        <v>45965</v>
      </c>
      <c r="AA213" s="172">
        <v>45978</v>
      </c>
      <c r="AB213" s="143" t="str">
        <f t="shared" ca="1" si="29"/>
        <v>Expired</v>
      </c>
      <c r="AC213" s="13"/>
      <c r="AD213" s="12">
        <v>45969</v>
      </c>
      <c r="AE213" s="12">
        <v>45975</v>
      </c>
      <c r="AF213" s="12"/>
      <c r="AG213" s="12">
        <v>46043</v>
      </c>
      <c r="AH213" s="11"/>
      <c r="AI213" s="11">
        <v>46072</v>
      </c>
      <c r="AJ213" s="11"/>
      <c r="AK213" s="11"/>
      <c r="AL213" s="11"/>
      <c r="AM213" s="11"/>
      <c r="AN213" s="11"/>
      <c r="AO213" s="11" t="str">
        <f>+IF(AN213&lt;&gt;"","BAST",IF(AI213&lt;&gt;"","Dismantle",IF(AG213&lt;&gt;"","RFD App",IF(AF213="Drop","Drop",IF(AE213&lt;&gt;"","Survey Report",IF(AD213&lt;&gt;"","Survey","NY Survey"))))))</f>
        <v>Dismantle</v>
      </c>
      <c r="AP213" s="173" t="s">
        <v>3705</v>
      </c>
      <c r="AQ213" s="12">
        <v>45996</v>
      </c>
      <c r="AR213" s="12">
        <v>46001</v>
      </c>
      <c r="AS213" s="12">
        <v>45999</v>
      </c>
      <c r="AT213" s="12">
        <v>46118</v>
      </c>
      <c r="AU213" s="12">
        <v>46001</v>
      </c>
      <c r="AV213" s="12">
        <v>46002</v>
      </c>
      <c r="AW213" s="11" t="str">
        <f t="shared" si="30"/>
        <v>1st BOQ App on ISAAC</v>
      </c>
      <c r="AX213" s="12"/>
      <c r="AY213" s="12"/>
      <c r="AZ213" s="12"/>
      <c r="BA213" s="12"/>
      <c r="BB213" s="12"/>
      <c r="BC213" s="12"/>
      <c r="BD213" s="11" t="str">
        <f t="shared" si="31"/>
        <v>NY Submit</v>
      </c>
      <c r="BE213" s="174"/>
      <c r="BF213" s="12"/>
      <c r="BG213" s="12"/>
      <c r="BH213" s="10" t="s">
        <v>3706</v>
      </c>
      <c r="BI213" s="12">
        <v>45978</v>
      </c>
      <c r="BJ213" s="12">
        <v>45978</v>
      </c>
      <c r="BK213" s="174" t="s">
        <v>3707</v>
      </c>
      <c r="BL213" s="12" t="str">
        <f t="shared" si="32"/>
        <v>NY Submit</v>
      </c>
      <c r="BM213" s="12" t="str">
        <f t="shared" si="33"/>
        <v>Approved</v>
      </c>
      <c r="BN213" s="12"/>
      <c r="BO213" s="12"/>
      <c r="BP213" s="155" t="s">
        <v>1760</v>
      </c>
      <c r="BQ213" s="12" t="s">
        <v>3708</v>
      </c>
      <c r="BR213" s="12">
        <v>46022</v>
      </c>
      <c r="BS213" s="143">
        <f t="shared" ca="1" si="34"/>
        <v>20</v>
      </c>
      <c r="BT213" s="176"/>
      <c r="BU213" s="12"/>
      <c r="BV213" s="143">
        <f t="shared" ca="1" si="35"/>
        <v>0</v>
      </c>
      <c r="BW213" s="12"/>
      <c r="BX213" s="12"/>
      <c r="BY213" s="143"/>
      <c r="BZ213" s="13" t="s">
        <v>3709</v>
      </c>
      <c r="CA213" s="13" t="s">
        <v>2555</v>
      </c>
      <c r="CB213" s="13" t="s">
        <v>2486</v>
      </c>
      <c r="CC213" s="13"/>
      <c r="CD213" s="13"/>
      <c r="CE213" s="198"/>
      <c r="CF213" s="198"/>
      <c r="CG213" s="272"/>
      <c r="CH213" s="272"/>
      <c r="CI213" s="198"/>
      <c r="CJ213" s="198"/>
      <c r="CK213" s="198"/>
      <c r="CL213" s="198"/>
    </row>
    <row r="214" spans="1:90" ht="30" customHeight="1">
      <c r="A214" s="187">
        <v>209</v>
      </c>
      <c r="B214" s="190" t="s">
        <v>2486</v>
      </c>
      <c r="C214" s="190" t="s">
        <v>2487</v>
      </c>
      <c r="D214" s="190" t="s">
        <v>135</v>
      </c>
      <c r="E214" s="8" t="e">
        <f ca="1">+_xlfn.CONCAT(G214,"-",B214,"_",C214,"_",_xlfn.XLOOKUP(BP214,Account!M:M,Account!N:N))</f>
        <v>#NAME?</v>
      </c>
      <c r="F214" s="12">
        <v>45958</v>
      </c>
      <c r="G214" s="190" t="s">
        <v>1893</v>
      </c>
      <c r="H214" s="190" t="s">
        <v>3699</v>
      </c>
      <c r="I214" s="10" t="s">
        <v>1894</v>
      </c>
      <c r="J214" s="190">
        <v>19</v>
      </c>
      <c r="K214" s="190" t="s">
        <v>2486</v>
      </c>
      <c r="L214" s="190" t="s">
        <v>1367</v>
      </c>
      <c r="M214" s="190" t="s">
        <v>3700</v>
      </c>
      <c r="N214" s="10" t="s">
        <v>3701</v>
      </c>
      <c r="O214" s="178" t="s">
        <v>3702</v>
      </c>
      <c r="P214" s="178" t="s">
        <v>3703</v>
      </c>
      <c r="Q214" s="327">
        <v>6828.5249999999996</v>
      </c>
      <c r="R214" s="190">
        <v>51</v>
      </c>
      <c r="S214" s="190" t="s">
        <v>3704</v>
      </c>
      <c r="T214" s="190" t="s">
        <v>2494</v>
      </c>
      <c r="U214" s="190" t="s">
        <v>3330</v>
      </c>
      <c r="V214" s="8" t="s">
        <v>2011</v>
      </c>
      <c r="W214" s="10"/>
      <c r="X214" s="9"/>
      <c r="Y214" s="172" t="s">
        <v>2432</v>
      </c>
      <c r="Z214" s="172">
        <v>45965</v>
      </c>
      <c r="AA214" s="172">
        <v>45978</v>
      </c>
      <c r="AB214" s="143" t="str">
        <f t="shared" ca="1" si="29"/>
        <v>Expired</v>
      </c>
      <c r="AC214" s="13"/>
      <c r="AD214" s="12">
        <v>45969</v>
      </c>
      <c r="AE214" s="12">
        <v>45975</v>
      </c>
      <c r="AF214" s="12"/>
      <c r="AG214" s="12">
        <v>46043</v>
      </c>
      <c r="AH214" s="11">
        <v>46061</v>
      </c>
      <c r="AI214" s="11"/>
      <c r="AJ214" s="11"/>
      <c r="AK214" s="11"/>
      <c r="AL214" s="11"/>
      <c r="AM214" s="11">
        <v>46069</v>
      </c>
      <c r="AN214" s="11">
        <v>46069</v>
      </c>
      <c r="AO214" s="11" t="str">
        <f>+IF(AM214&lt;&gt;"","ATP App MS",IF(AJ214&lt;&gt;"","Inbound",IF(AH214&lt;&gt;"","Dismantle Perangkat",IF(AF214="Drop","Drop",IF(AE214&lt;&gt;"","Survey Report",IF(AD214&lt;&gt;"","Survey","NY Survey"))))))</f>
        <v>ATP App MS</v>
      </c>
      <c r="AP214" s="185" t="s">
        <v>3710</v>
      </c>
      <c r="AQ214" s="12">
        <v>45996</v>
      </c>
      <c r="AR214" s="12">
        <v>46001</v>
      </c>
      <c r="AS214" s="12">
        <v>45999</v>
      </c>
      <c r="AT214" s="12">
        <v>46118</v>
      </c>
      <c r="AU214" s="12">
        <v>46001</v>
      </c>
      <c r="AV214" s="12">
        <v>46002</v>
      </c>
      <c r="AW214" s="11" t="str">
        <f t="shared" si="30"/>
        <v>1st BOQ App on ISAAC</v>
      </c>
      <c r="AX214" s="12"/>
      <c r="AY214" s="12"/>
      <c r="AZ214" s="12"/>
      <c r="BA214" s="12"/>
      <c r="BB214" s="12"/>
      <c r="BC214" s="12"/>
      <c r="BD214" s="11" t="str">
        <f t="shared" si="31"/>
        <v>NY Submit</v>
      </c>
      <c r="BE214" s="174"/>
      <c r="BF214" s="12"/>
      <c r="BG214" s="12"/>
      <c r="BH214" s="10"/>
      <c r="BI214" s="12"/>
      <c r="BJ214" s="12"/>
      <c r="BK214" s="174"/>
      <c r="BL214" s="12" t="str">
        <f t="shared" si="32"/>
        <v>NY Submit</v>
      </c>
      <c r="BM214" s="12" t="str">
        <f t="shared" si="33"/>
        <v>NY Submit</v>
      </c>
      <c r="BN214" s="12">
        <v>46084</v>
      </c>
      <c r="BO214" s="12">
        <v>46084</v>
      </c>
      <c r="BP214" s="155" t="s">
        <v>2011</v>
      </c>
      <c r="BQ214" s="12" t="s">
        <v>2718</v>
      </c>
      <c r="BR214" s="12">
        <v>46022</v>
      </c>
      <c r="BS214" s="143">
        <f t="shared" ca="1" si="34"/>
        <v>20</v>
      </c>
      <c r="BT214" s="176"/>
      <c r="BU214" s="12"/>
      <c r="BV214" s="143">
        <f t="shared" ca="1" si="35"/>
        <v>0</v>
      </c>
      <c r="BW214" s="12"/>
      <c r="BX214" s="12"/>
      <c r="BY214" s="143"/>
      <c r="BZ214" s="13" t="s">
        <v>2500</v>
      </c>
      <c r="CA214" s="13" t="s">
        <v>2555</v>
      </c>
      <c r="CB214" s="13" t="s">
        <v>2486</v>
      </c>
      <c r="CC214" s="13"/>
      <c r="CD214" s="13"/>
      <c r="CE214" s="198"/>
      <c r="CF214" s="198"/>
      <c r="CG214" s="272"/>
      <c r="CH214" s="272"/>
      <c r="CI214" s="198"/>
      <c r="CJ214" s="198"/>
      <c r="CK214" s="198"/>
      <c r="CL214" s="198"/>
    </row>
    <row r="215" spans="1:90" ht="120" customHeight="1">
      <c r="A215" s="181">
        <v>210</v>
      </c>
      <c r="B215" s="190" t="s">
        <v>2486</v>
      </c>
      <c r="C215" s="190" t="s">
        <v>2487</v>
      </c>
      <c r="D215" s="190" t="s">
        <v>135</v>
      </c>
      <c r="E215" s="8" t="e">
        <f ca="1">+_xlfn.CONCAT(G215,"-",B215,"_",C215,"_",_xlfn.XLOOKUP(BP215,Account!M:M,Account!N:N))</f>
        <v>#NAME?</v>
      </c>
      <c r="F215" s="12">
        <v>45958</v>
      </c>
      <c r="G215" s="190" t="s">
        <v>1893</v>
      </c>
      <c r="H215" s="190" t="s">
        <v>3699</v>
      </c>
      <c r="I215" s="10" t="s">
        <v>1894</v>
      </c>
      <c r="J215" s="190">
        <v>19</v>
      </c>
      <c r="K215" s="190" t="s">
        <v>2486</v>
      </c>
      <c r="L215" s="190" t="s">
        <v>1367</v>
      </c>
      <c r="M215" s="190" t="s">
        <v>3700</v>
      </c>
      <c r="N215" s="10" t="s">
        <v>3701</v>
      </c>
      <c r="O215" s="178" t="s">
        <v>3702</v>
      </c>
      <c r="P215" s="178" t="s">
        <v>3703</v>
      </c>
      <c r="Q215" s="327">
        <v>6828.5249999999996</v>
      </c>
      <c r="R215" s="190">
        <v>51</v>
      </c>
      <c r="S215" s="190" t="s">
        <v>3704</v>
      </c>
      <c r="T215" s="190" t="s">
        <v>2494</v>
      </c>
      <c r="U215" s="190" t="s">
        <v>3330</v>
      </c>
      <c r="V215" s="8" t="s">
        <v>1768</v>
      </c>
      <c r="W215" s="10"/>
      <c r="X215" s="9"/>
      <c r="Y215" s="172" t="s">
        <v>2432</v>
      </c>
      <c r="Z215" s="172">
        <v>45965</v>
      </c>
      <c r="AA215" s="172">
        <v>45978</v>
      </c>
      <c r="AB215" s="143" t="str">
        <f t="shared" ca="1" si="29"/>
        <v>Expired</v>
      </c>
      <c r="AC215" s="13"/>
      <c r="AD215" s="12">
        <v>45969</v>
      </c>
      <c r="AE215" s="12">
        <v>45975</v>
      </c>
      <c r="AF215" s="12"/>
      <c r="AG215" s="12">
        <v>46043</v>
      </c>
      <c r="AH215" s="11"/>
      <c r="AI215" s="11"/>
      <c r="AJ215" s="11"/>
      <c r="AK215" s="11">
        <v>46064</v>
      </c>
      <c r="AL215" s="11">
        <v>46064</v>
      </c>
      <c r="AM215" s="11">
        <v>46069</v>
      </c>
      <c r="AN215" s="11">
        <v>46069</v>
      </c>
      <c r="AO215" s="11" t="str">
        <f>+IF(AM215&lt;&gt;"","ATP App MS",IF(AL215&lt;&gt;"","OA/RFS",IF(AK215&lt;&gt;"","Install",IF(AH215&lt;&gt;"","Dismantle Perangkat",IF(AF215="Drop","Drop",IF(AE215&lt;&gt;"","Survey Report",IF(AD215&lt;&gt;"","Survey","NY Survey")))))))</f>
        <v>ATP App MS</v>
      </c>
      <c r="AP215" s="185" t="s">
        <v>3711</v>
      </c>
      <c r="AQ215" s="12">
        <v>45996</v>
      </c>
      <c r="AR215" s="12">
        <v>46001</v>
      </c>
      <c r="AS215" s="12">
        <v>45999</v>
      </c>
      <c r="AT215" s="12">
        <v>46118</v>
      </c>
      <c r="AU215" s="12">
        <v>46001</v>
      </c>
      <c r="AV215" s="12">
        <v>46002</v>
      </c>
      <c r="AW215" s="11" t="str">
        <f t="shared" si="30"/>
        <v>1st BOQ App on ISAAC</v>
      </c>
      <c r="AX215" s="12">
        <v>46065</v>
      </c>
      <c r="AY215" s="12"/>
      <c r="AZ215" s="12"/>
      <c r="BA215" s="12">
        <v>46071</v>
      </c>
      <c r="BB215" s="12"/>
      <c r="BC215" s="12">
        <v>46136</v>
      </c>
      <c r="BD215" s="11" t="str">
        <f t="shared" si="31"/>
        <v>2nd BOQ App on ISAAC</v>
      </c>
      <c r="BE215" s="174"/>
      <c r="BF215" s="12"/>
      <c r="BG215" s="12"/>
      <c r="BH215" s="10"/>
      <c r="BI215" s="12"/>
      <c r="BJ215" s="12"/>
      <c r="BK215" s="174"/>
      <c r="BL215" s="12" t="str">
        <f t="shared" si="32"/>
        <v>NY Submit</v>
      </c>
      <c r="BM215" s="12" t="str">
        <f t="shared" si="33"/>
        <v>NY Submit</v>
      </c>
      <c r="BN215" s="12">
        <v>46084</v>
      </c>
      <c r="BO215" s="12">
        <v>46084</v>
      </c>
      <c r="BP215" s="155" t="s">
        <v>1768</v>
      </c>
      <c r="BQ215" s="12" t="s">
        <v>3712</v>
      </c>
      <c r="BR215" s="12">
        <v>46022</v>
      </c>
      <c r="BS215" s="143">
        <f t="shared" ca="1" si="34"/>
        <v>20</v>
      </c>
      <c r="BT215" s="176" t="s">
        <v>3106</v>
      </c>
      <c r="BU215" s="12"/>
      <c r="BV215" s="143">
        <f t="shared" ca="1" si="35"/>
        <v>103</v>
      </c>
      <c r="BW215" s="12"/>
      <c r="BX215" s="12"/>
      <c r="BY215" s="143"/>
      <c r="BZ215" s="13" t="s">
        <v>3042</v>
      </c>
      <c r="CA215" s="13" t="s">
        <v>2555</v>
      </c>
      <c r="CB215" s="13" t="s">
        <v>2486</v>
      </c>
      <c r="CC215" s="13"/>
      <c r="CD215" s="13"/>
      <c r="CE215" s="198" t="s">
        <v>3713</v>
      </c>
      <c r="CF215" s="198" t="s">
        <v>3714</v>
      </c>
      <c r="CG215" s="272"/>
      <c r="CH215" s="272"/>
      <c r="CI215" s="198" t="s">
        <v>3715</v>
      </c>
      <c r="CJ215" s="198" t="s">
        <v>3716</v>
      </c>
      <c r="CK215" s="198"/>
      <c r="CL215" s="198"/>
    </row>
    <row r="216" spans="1:90">
      <c r="A216" s="186">
        <v>211</v>
      </c>
      <c r="B216" s="190" t="s">
        <v>2486</v>
      </c>
      <c r="C216" s="190" t="s">
        <v>2487</v>
      </c>
      <c r="D216" s="190" t="s">
        <v>135</v>
      </c>
      <c r="E216" s="8" t="e">
        <f ca="1">+_xlfn.CONCAT(G216,"-",B216,"_",C216,"_",_xlfn.XLOOKUP(BP216,Account!M:M,Account!N:N))</f>
        <v>#NAME?</v>
      </c>
      <c r="F216" s="12">
        <v>45958</v>
      </c>
      <c r="G216" s="190" t="s">
        <v>1944</v>
      </c>
      <c r="H216" s="190" t="s">
        <v>3717</v>
      </c>
      <c r="I216" s="10" t="s">
        <v>1945</v>
      </c>
      <c r="J216" s="190">
        <v>20</v>
      </c>
      <c r="K216" s="190" t="s">
        <v>2486</v>
      </c>
      <c r="L216" s="190" t="s">
        <v>2655</v>
      </c>
      <c r="M216" s="190" t="s">
        <v>3718</v>
      </c>
      <c r="N216" s="10" t="s">
        <v>3719</v>
      </c>
      <c r="O216" s="178" t="s">
        <v>3720</v>
      </c>
      <c r="P216" s="178" t="s">
        <v>3721</v>
      </c>
      <c r="Q216" s="327">
        <v>8909.32</v>
      </c>
      <c r="R216" s="190">
        <v>52</v>
      </c>
      <c r="S216" s="190" t="s">
        <v>3686</v>
      </c>
      <c r="T216" s="190" t="s">
        <v>2494</v>
      </c>
      <c r="U216" s="190" t="s">
        <v>3330</v>
      </c>
      <c r="V216" s="8" t="s">
        <v>1760</v>
      </c>
      <c r="W216" s="10"/>
      <c r="X216" s="9"/>
      <c r="Y216" s="172" t="s">
        <v>3722</v>
      </c>
      <c r="Z216" s="172">
        <v>46126</v>
      </c>
      <c r="AA216" s="172">
        <v>46132</v>
      </c>
      <c r="AB216" s="143" t="str">
        <f t="shared" ca="1" si="29"/>
        <v>Expired</v>
      </c>
      <c r="AC216" s="13"/>
      <c r="AD216" s="12">
        <v>45970</v>
      </c>
      <c r="AE216" s="12">
        <v>45971</v>
      </c>
      <c r="AF216" s="12">
        <v>46053</v>
      </c>
      <c r="AG216" s="12">
        <v>46041</v>
      </c>
      <c r="AH216" s="11"/>
      <c r="AI216" s="11"/>
      <c r="AJ216" s="11"/>
      <c r="AK216" s="11"/>
      <c r="AL216" s="11"/>
      <c r="AM216" s="11"/>
      <c r="AN216" s="11"/>
      <c r="AO216" s="11" t="str">
        <f>+IF(AN216&lt;&gt;"","BAST",IF(AI216&lt;&gt;"","Dismantle",IF(AG216&lt;&gt;"","RFD App",IF(AF216="Drop","Drop",IF(AE216&lt;&gt;"","Survey Report",IF(AD216&lt;&gt;"","Survey","NY Survey"))))))</f>
        <v>RFD App</v>
      </c>
      <c r="AP216" s="173" t="s">
        <v>3723</v>
      </c>
      <c r="AQ216" s="12">
        <v>45999</v>
      </c>
      <c r="AR216" s="12">
        <v>46009</v>
      </c>
      <c r="AS216" s="12">
        <v>45999</v>
      </c>
      <c r="AT216" s="12"/>
      <c r="AU216" s="12">
        <v>46010</v>
      </c>
      <c r="AV216" s="12">
        <v>46010</v>
      </c>
      <c r="AW216" s="11" t="str">
        <f t="shared" si="30"/>
        <v>1st BOQ App on ISAAC</v>
      </c>
      <c r="AX216" s="12"/>
      <c r="AY216" s="12"/>
      <c r="AZ216" s="12"/>
      <c r="BA216" s="12"/>
      <c r="BB216" s="12"/>
      <c r="BC216" s="12"/>
      <c r="BD216" s="11" t="str">
        <f t="shared" si="31"/>
        <v>NY Submit</v>
      </c>
      <c r="BE216" s="174" t="s">
        <v>3724</v>
      </c>
      <c r="BF216" s="12">
        <v>45971</v>
      </c>
      <c r="BG216" s="12">
        <v>45975</v>
      </c>
      <c r="BH216" s="10" t="s">
        <v>3725</v>
      </c>
      <c r="BI216" s="12">
        <v>45971</v>
      </c>
      <c r="BJ216" s="12">
        <v>45975</v>
      </c>
      <c r="BK216" s="174" t="s">
        <v>3726</v>
      </c>
      <c r="BL216" s="12" t="str">
        <f t="shared" si="32"/>
        <v>Approved</v>
      </c>
      <c r="BM216" s="12" t="str">
        <f t="shared" si="33"/>
        <v>Approved</v>
      </c>
      <c r="BN216" s="12"/>
      <c r="BO216" s="12"/>
      <c r="BP216" s="155" t="s">
        <v>1760</v>
      </c>
      <c r="BQ216" s="12" t="s">
        <v>3487</v>
      </c>
      <c r="BR216" s="12">
        <v>46022</v>
      </c>
      <c r="BS216" s="143">
        <f t="shared" ca="1" si="34"/>
        <v>12</v>
      </c>
      <c r="BT216" s="176"/>
      <c r="BU216" s="12"/>
      <c r="BV216" s="143">
        <f t="shared" ca="1" si="35"/>
        <v>0</v>
      </c>
      <c r="BW216" s="12"/>
      <c r="BX216" s="12"/>
      <c r="BY216" s="143"/>
      <c r="BZ216" s="13"/>
      <c r="CA216" s="13" t="s">
        <v>2555</v>
      </c>
      <c r="CB216" s="13" t="s">
        <v>2486</v>
      </c>
      <c r="CC216" s="13"/>
      <c r="CD216" s="13"/>
      <c r="CE216" s="198"/>
      <c r="CF216" s="198"/>
      <c r="CG216" s="272"/>
      <c r="CH216" s="272"/>
      <c r="CI216" s="198"/>
      <c r="CJ216" s="198"/>
      <c r="CK216" s="198"/>
      <c r="CL216" s="198"/>
    </row>
    <row r="217" spans="1:90" ht="30" customHeight="1">
      <c r="A217" s="187">
        <v>212</v>
      </c>
      <c r="B217" s="190" t="s">
        <v>2486</v>
      </c>
      <c r="C217" s="190" t="s">
        <v>2487</v>
      </c>
      <c r="D217" s="190" t="s">
        <v>135</v>
      </c>
      <c r="E217" s="8" t="e">
        <f ca="1">+_xlfn.CONCAT(G217,"-",B217,"_",C217,"_",_xlfn.XLOOKUP(BP217,Account!M:M,Account!N:N))</f>
        <v>#NAME?</v>
      </c>
      <c r="F217" s="12">
        <v>45958</v>
      </c>
      <c r="G217" s="190" t="s">
        <v>1944</v>
      </c>
      <c r="H217" s="190" t="s">
        <v>3717</v>
      </c>
      <c r="I217" s="10" t="s">
        <v>1945</v>
      </c>
      <c r="J217" s="190">
        <v>20</v>
      </c>
      <c r="K217" s="190" t="s">
        <v>2486</v>
      </c>
      <c r="L217" s="190" t="s">
        <v>2655</v>
      </c>
      <c r="M217" s="190" t="s">
        <v>3718</v>
      </c>
      <c r="N217" s="10" t="s">
        <v>3719</v>
      </c>
      <c r="O217" s="178" t="s">
        <v>3720</v>
      </c>
      <c r="P217" s="178" t="s">
        <v>3721</v>
      </c>
      <c r="Q217" s="327">
        <v>8909.32</v>
      </c>
      <c r="R217" s="190">
        <v>52</v>
      </c>
      <c r="S217" s="190" t="s">
        <v>3686</v>
      </c>
      <c r="T217" s="190" t="s">
        <v>2494</v>
      </c>
      <c r="U217" s="190" t="s">
        <v>3330</v>
      </c>
      <c r="V217" s="8" t="s">
        <v>2011</v>
      </c>
      <c r="W217" s="10"/>
      <c r="X217" s="9"/>
      <c r="Y217" s="172" t="s">
        <v>3722</v>
      </c>
      <c r="Z217" s="172">
        <v>46126</v>
      </c>
      <c r="AA217" s="172">
        <v>46132</v>
      </c>
      <c r="AB217" s="143" t="str">
        <f t="shared" ca="1" si="29"/>
        <v>Expired</v>
      </c>
      <c r="AC217" s="13"/>
      <c r="AD217" s="12">
        <v>45970</v>
      </c>
      <c r="AE217" s="12">
        <v>45971</v>
      </c>
      <c r="AF217" s="12"/>
      <c r="AG217" s="12">
        <v>46041</v>
      </c>
      <c r="AH217" s="11">
        <v>46130</v>
      </c>
      <c r="AI217" s="11"/>
      <c r="AJ217" s="11"/>
      <c r="AK217" s="11"/>
      <c r="AL217" s="11"/>
      <c r="AM217" s="11"/>
      <c r="AN217" s="11"/>
      <c r="AO217" s="11" t="str">
        <f>+IF(AM217&lt;&gt;"","ATP App MS",IF(AJ217&lt;&gt;"","Inbound",IF(AH217&lt;&gt;"","Dismantle Perangkat",IF(AF217="Drop","Drop",IF(AE217&lt;&gt;"","Survey Report",IF(AD217&lt;&gt;"","Survey","NY Survey"))))))</f>
        <v>Dismantle Perangkat</v>
      </c>
      <c r="AP217" s="185" t="s">
        <v>3727</v>
      </c>
      <c r="AQ217" s="12">
        <v>45999</v>
      </c>
      <c r="AR217" s="12">
        <v>46009</v>
      </c>
      <c r="AS217" s="12">
        <v>45999</v>
      </c>
      <c r="AT217" s="12"/>
      <c r="AU217" s="12">
        <v>46010</v>
      </c>
      <c r="AV217" s="12">
        <v>46010</v>
      </c>
      <c r="AW217" s="11" t="str">
        <f t="shared" si="30"/>
        <v>1st BOQ App on ISAAC</v>
      </c>
      <c r="AX217" s="12"/>
      <c r="AY217" s="12"/>
      <c r="AZ217" s="12"/>
      <c r="BA217" s="12"/>
      <c r="BB217" s="12"/>
      <c r="BC217" s="12"/>
      <c r="BD217" s="11" t="str">
        <f t="shared" si="31"/>
        <v>NY Submit</v>
      </c>
      <c r="BE217" s="174" t="s">
        <v>3728</v>
      </c>
      <c r="BF217" s="12">
        <v>45971</v>
      </c>
      <c r="BG217" s="12">
        <v>45975</v>
      </c>
      <c r="BH217" s="10" t="s">
        <v>3725</v>
      </c>
      <c r="BI217" s="12">
        <v>45971</v>
      </c>
      <c r="BJ217" s="12">
        <v>45975</v>
      </c>
      <c r="BK217" s="174"/>
      <c r="BL217" s="12" t="str">
        <f t="shared" si="32"/>
        <v>Approved</v>
      </c>
      <c r="BM217" s="12" t="str">
        <f t="shared" si="33"/>
        <v>Approved</v>
      </c>
      <c r="BN217" s="12">
        <v>46147</v>
      </c>
      <c r="BO217" s="12">
        <v>46147</v>
      </c>
      <c r="BP217" s="155" t="s">
        <v>2011</v>
      </c>
      <c r="BQ217" s="12" t="s">
        <v>2718</v>
      </c>
      <c r="BR217" s="12">
        <v>46022</v>
      </c>
      <c r="BS217" s="143">
        <f t="shared" ca="1" si="34"/>
        <v>12</v>
      </c>
      <c r="BT217" s="176"/>
      <c r="BU217" s="12"/>
      <c r="BV217" s="143">
        <f t="shared" ca="1" si="35"/>
        <v>0</v>
      </c>
      <c r="BW217" s="12"/>
      <c r="BX217" s="12"/>
      <c r="BY217" s="143"/>
      <c r="BZ217" s="13" t="s">
        <v>2500</v>
      </c>
      <c r="CA217" s="13" t="s">
        <v>2555</v>
      </c>
      <c r="CB217" s="13" t="s">
        <v>2486</v>
      </c>
      <c r="CC217" s="13"/>
      <c r="CD217" s="13"/>
      <c r="CE217" s="198"/>
      <c r="CF217" s="198"/>
      <c r="CG217" s="272"/>
      <c r="CH217" s="272"/>
      <c r="CI217" s="198"/>
      <c r="CJ217" s="198"/>
      <c r="CK217" s="198"/>
      <c r="CL217" s="198"/>
    </row>
    <row r="218" spans="1:90" ht="60" customHeight="1">
      <c r="A218" s="187">
        <v>213</v>
      </c>
      <c r="B218" s="190" t="s">
        <v>2486</v>
      </c>
      <c r="C218" s="190" t="s">
        <v>2487</v>
      </c>
      <c r="D218" s="190" t="s">
        <v>135</v>
      </c>
      <c r="E218" s="8" t="e">
        <f ca="1">+_xlfn.CONCAT(G218,"-",B218,"_",C218,"_",_xlfn.XLOOKUP(BP218,Account!M:M,Account!N:N))</f>
        <v>#NAME?</v>
      </c>
      <c r="F218" s="12">
        <v>45958</v>
      </c>
      <c r="G218" s="190" t="s">
        <v>1944</v>
      </c>
      <c r="H218" s="190" t="s">
        <v>3717</v>
      </c>
      <c r="I218" s="10" t="s">
        <v>1945</v>
      </c>
      <c r="J218" s="190">
        <v>20</v>
      </c>
      <c r="K218" s="190" t="s">
        <v>2486</v>
      </c>
      <c r="L218" s="190" t="s">
        <v>2655</v>
      </c>
      <c r="M218" s="190" t="s">
        <v>3718</v>
      </c>
      <c r="N218" s="10" t="s">
        <v>3719</v>
      </c>
      <c r="O218" s="178" t="s">
        <v>3720</v>
      </c>
      <c r="P218" s="178" t="s">
        <v>3721</v>
      </c>
      <c r="Q218" s="327">
        <v>8909.32</v>
      </c>
      <c r="R218" s="190">
        <v>52</v>
      </c>
      <c r="S218" s="190" t="s">
        <v>3686</v>
      </c>
      <c r="T218" s="190" t="s">
        <v>2494</v>
      </c>
      <c r="U218" s="190" t="s">
        <v>3330</v>
      </c>
      <c r="V218" s="8" t="s">
        <v>3729</v>
      </c>
      <c r="W218" s="10"/>
      <c r="X218" s="9"/>
      <c r="Y218" s="172" t="s">
        <v>3722</v>
      </c>
      <c r="Z218" s="172">
        <v>46126</v>
      </c>
      <c r="AA218" s="172">
        <v>46132</v>
      </c>
      <c r="AB218" s="143" t="str">
        <f t="shared" ca="1" si="29"/>
        <v>Expired</v>
      </c>
      <c r="AC218" s="13"/>
      <c r="AD218" s="12">
        <v>45970</v>
      </c>
      <c r="AE218" s="12">
        <v>45971</v>
      </c>
      <c r="AF218" s="12"/>
      <c r="AG218" s="12">
        <v>46041</v>
      </c>
      <c r="AH218" s="11"/>
      <c r="AI218" s="11"/>
      <c r="AJ218" s="11"/>
      <c r="AK218" s="11">
        <v>46134</v>
      </c>
      <c r="AL218" s="11">
        <v>46134</v>
      </c>
      <c r="AM218" s="11">
        <v>46136</v>
      </c>
      <c r="AN218" s="11"/>
      <c r="AO218" s="11" t="str">
        <f>+IF(AM218&lt;&gt;"","ATP App MS",IF(AL218&lt;&gt;"","OA/RFS",IF(AK218&lt;&gt;"","Install",IF(AH218&lt;&gt;"","Dismantle Perangkat",IF(AF218="Drop","Drop",IF(AE218&lt;&gt;"","Survey Report",IF(AD218&lt;&gt;"","Survey","NY Survey")))))))</f>
        <v>ATP App MS</v>
      </c>
      <c r="AP218" s="185" t="s">
        <v>3730</v>
      </c>
      <c r="AQ218" s="12">
        <v>45999</v>
      </c>
      <c r="AR218" s="12">
        <v>46009</v>
      </c>
      <c r="AS218" s="12">
        <v>45999</v>
      </c>
      <c r="AT218" s="12"/>
      <c r="AU218" s="12">
        <v>46010</v>
      </c>
      <c r="AV218" s="12">
        <v>46010</v>
      </c>
      <c r="AW218" s="11" t="str">
        <f t="shared" si="30"/>
        <v>1st BOQ App on ISAAC</v>
      </c>
      <c r="AX218" s="12"/>
      <c r="AY218" s="12"/>
      <c r="AZ218" s="12"/>
      <c r="BA218" s="12"/>
      <c r="BB218" s="12"/>
      <c r="BC218" s="12"/>
      <c r="BD218" s="11" t="str">
        <f t="shared" si="31"/>
        <v>NY Submit</v>
      </c>
      <c r="BE218" s="174" t="s">
        <v>3728</v>
      </c>
      <c r="BF218" s="12">
        <v>45971</v>
      </c>
      <c r="BG218" s="12">
        <v>45975</v>
      </c>
      <c r="BH218" s="10" t="s">
        <v>3725</v>
      </c>
      <c r="BI218" s="12">
        <v>45971</v>
      </c>
      <c r="BJ218" s="12">
        <v>45975</v>
      </c>
      <c r="BK218" s="174"/>
      <c r="BL218" s="12" t="str">
        <f t="shared" si="32"/>
        <v>Approved</v>
      </c>
      <c r="BM218" s="12" t="str">
        <f t="shared" si="33"/>
        <v>Approved</v>
      </c>
      <c r="BN218" s="12">
        <v>46147</v>
      </c>
      <c r="BO218" s="12">
        <v>46147</v>
      </c>
      <c r="BP218" s="155" t="s">
        <v>1768</v>
      </c>
      <c r="BQ218" s="12" t="s">
        <v>3731</v>
      </c>
      <c r="BR218" s="12">
        <v>46022</v>
      </c>
      <c r="BS218" s="143">
        <f t="shared" ca="1" si="34"/>
        <v>12</v>
      </c>
      <c r="BT218" s="176"/>
      <c r="BU218" s="12"/>
      <c r="BV218" s="143">
        <f t="shared" ca="1" si="35"/>
        <v>0</v>
      </c>
      <c r="BW218" s="12"/>
      <c r="BX218" s="12"/>
      <c r="BY218" s="143"/>
      <c r="BZ218" s="13" t="s">
        <v>2500</v>
      </c>
      <c r="CA218" s="13" t="s">
        <v>2555</v>
      </c>
      <c r="CB218" s="13" t="s">
        <v>2486</v>
      </c>
      <c r="CC218" s="13"/>
      <c r="CD218" s="13"/>
      <c r="CE218" s="198" t="s">
        <v>3732</v>
      </c>
      <c r="CF218" s="198" t="s">
        <v>3733</v>
      </c>
      <c r="CG218" s="273" t="s">
        <v>3734</v>
      </c>
      <c r="CH218" s="273" t="s">
        <v>3735</v>
      </c>
      <c r="CI218" s="198" t="s">
        <v>3736</v>
      </c>
      <c r="CJ218" s="198" t="s">
        <v>3737</v>
      </c>
      <c r="CK218" s="198"/>
      <c r="CL218" s="198"/>
    </row>
    <row r="219" spans="1:90">
      <c r="A219" s="186">
        <v>214</v>
      </c>
      <c r="B219" s="190" t="s">
        <v>2486</v>
      </c>
      <c r="C219" s="190" t="s">
        <v>2487</v>
      </c>
      <c r="D219" s="190" t="s">
        <v>135</v>
      </c>
      <c r="E219" s="8" t="e">
        <f ca="1">+_xlfn.CONCAT(G219,"-",B219,"_",C219,"_",_xlfn.XLOOKUP(BP219,Account!M:M,Account!N:N))</f>
        <v>#NAME?</v>
      </c>
      <c r="F219" s="12">
        <v>45964</v>
      </c>
      <c r="G219" s="190" t="s">
        <v>2339</v>
      </c>
      <c r="H219" s="190" t="s">
        <v>3738</v>
      </c>
      <c r="I219" s="10" t="s">
        <v>2340</v>
      </c>
      <c r="J219" s="190">
        <v>10</v>
      </c>
      <c r="K219" s="190" t="s">
        <v>2038</v>
      </c>
      <c r="L219" s="190" t="s">
        <v>3156</v>
      </c>
      <c r="M219" s="190" t="s">
        <v>3178</v>
      </c>
      <c r="N219" s="10" t="s">
        <v>3739</v>
      </c>
      <c r="O219" s="178" t="s">
        <v>3740</v>
      </c>
      <c r="P219" s="178" t="s">
        <v>3741</v>
      </c>
      <c r="Q219" s="327">
        <v>1080.8615</v>
      </c>
      <c r="R219" s="190">
        <v>32</v>
      </c>
      <c r="S219" s="190"/>
      <c r="T219" s="190" t="s">
        <v>2494</v>
      </c>
      <c r="U219" s="190" t="s">
        <v>3742</v>
      </c>
      <c r="V219" s="8" t="s">
        <v>1760</v>
      </c>
      <c r="W219" s="10" t="s">
        <v>3148</v>
      </c>
      <c r="X219" s="9"/>
      <c r="Y219" s="172" t="s">
        <v>2432</v>
      </c>
      <c r="Z219" s="172">
        <v>45966</v>
      </c>
      <c r="AA219" s="172">
        <v>45979</v>
      </c>
      <c r="AB219" s="143" t="str">
        <f t="shared" ca="1" si="29"/>
        <v>Expired</v>
      </c>
      <c r="AC219" s="13"/>
      <c r="AD219" s="12">
        <v>45972</v>
      </c>
      <c r="AE219" s="12">
        <v>45972</v>
      </c>
      <c r="AF219" s="12"/>
      <c r="AG219" s="12"/>
      <c r="AH219" s="11"/>
      <c r="AI219" s="11"/>
      <c r="AJ219" s="11"/>
      <c r="AK219" s="11"/>
      <c r="AL219" s="11"/>
      <c r="AM219" s="11"/>
      <c r="AN219" s="11"/>
      <c r="AO219" s="11" t="str">
        <f t="shared" ref="AO219:AO225" si="36">+IF(AN219&lt;&gt;"","BAST",IF(AI219&lt;&gt;"","Dismantle",IF(AG219&lt;&gt;"","RFD App",IF(AF219="Drop","Drop",IF(AE219&lt;&gt;"","Survey Report",IF(AD219&lt;&gt;"","Survey","NY Survey"))))))</f>
        <v>Survey Report</v>
      </c>
      <c r="AP219" s="173"/>
      <c r="AQ219" s="12"/>
      <c r="AR219" s="12"/>
      <c r="AS219" s="12"/>
      <c r="AT219" s="12"/>
      <c r="AU219" s="12"/>
      <c r="AV219" s="12"/>
      <c r="AW219" s="11" t="str">
        <f t="shared" si="30"/>
        <v>NY Submit</v>
      </c>
      <c r="AX219" s="12"/>
      <c r="AY219" s="12"/>
      <c r="AZ219" s="12"/>
      <c r="BA219" s="12"/>
      <c r="BB219" s="12"/>
      <c r="BC219" s="12"/>
      <c r="BD219" s="11" t="str">
        <f t="shared" si="31"/>
        <v>NY Submit</v>
      </c>
      <c r="BE219" s="174"/>
      <c r="BF219" s="12">
        <v>45972</v>
      </c>
      <c r="BG219" s="12">
        <v>45974</v>
      </c>
      <c r="BH219" s="10" t="s">
        <v>3706</v>
      </c>
      <c r="BI219" s="12">
        <v>45975</v>
      </c>
      <c r="BJ219" s="12">
        <v>45978</v>
      </c>
      <c r="BK219" s="174" t="s">
        <v>3743</v>
      </c>
      <c r="BL219" s="12" t="str">
        <f t="shared" si="32"/>
        <v>Approved</v>
      </c>
      <c r="BM219" s="12" t="str">
        <f t="shared" si="33"/>
        <v>Approved</v>
      </c>
      <c r="BN219" s="12"/>
      <c r="BO219" s="12"/>
      <c r="BP219" s="155" t="s">
        <v>1760</v>
      </c>
      <c r="BQ219" s="12" t="s">
        <v>3106</v>
      </c>
      <c r="BR219" s="12"/>
      <c r="BS219" s="143">
        <f t="shared" ca="1" si="34"/>
        <v>0</v>
      </c>
      <c r="BT219" s="176"/>
      <c r="BU219" s="12"/>
      <c r="BV219" s="143">
        <f t="shared" ca="1" si="35"/>
        <v>0</v>
      </c>
      <c r="BW219" s="12"/>
      <c r="BX219" s="12"/>
      <c r="BY219" s="143"/>
      <c r="BZ219" s="13" t="s">
        <v>3744</v>
      </c>
      <c r="CA219" s="13" t="s">
        <v>3186</v>
      </c>
      <c r="CB219" s="13" t="s">
        <v>2984</v>
      </c>
      <c r="CC219" s="13"/>
      <c r="CD219" s="13"/>
      <c r="CE219" s="198"/>
      <c r="CF219" s="198"/>
      <c r="CG219" s="272"/>
      <c r="CH219" s="272"/>
      <c r="CI219" s="198"/>
      <c r="CJ219" s="198"/>
      <c r="CK219" s="198"/>
      <c r="CL219" s="198"/>
    </row>
    <row r="220" spans="1:90">
      <c r="A220" s="186">
        <v>215</v>
      </c>
      <c r="B220" s="190" t="s">
        <v>2486</v>
      </c>
      <c r="C220" s="190" t="s">
        <v>2487</v>
      </c>
      <c r="D220" s="190" t="s">
        <v>135</v>
      </c>
      <c r="E220" s="8" t="e">
        <f ca="1">+_xlfn.CONCAT(G220,"-",B220,"_",C220,"_",_xlfn.XLOOKUP(BP220,Account!M:M,Account!N:N))</f>
        <v>#NAME?</v>
      </c>
      <c r="F220" s="12">
        <v>45964</v>
      </c>
      <c r="G220" s="190" t="s">
        <v>2265</v>
      </c>
      <c r="H220" s="190" t="s">
        <v>3745</v>
      </c>
      <c r="I220" s="10" t="s">
        <v>2266</v>
      </c>
      <c r="J220" s="190">
        <v>7</v>
      </c>
      <c r="K220" s="190" t="s">
        <v>2038</v>
      </c>
      <c r="L220" s="190" t="s">
        <v>2894</v>
      </c>
      <c r="M220" s="190" t="s">
        <v>3375</v>
      </c>
      <c r="N220" s="10" t="s">
        <v>3746</v>
      </c>
      <c r="O220" s="178" t="s">
        <v>3747</v>
      </c>
      <c r="P220" s="178" t="s">
        <v>3748</v>
      </c>
      <c r="Q220" s="327">
        <v>3220.4279999999999</v>
      </c>
      <c r="R220" s="190">
        <v>32</v>
      </c>
      <c r="S220" s="190"/>
      <c r="T220" s="190" t="s">
        <v>2494</v>
      </c>
      <c r="U220" s="6" t="s">
        <v>2495</v>
      </c>
      <c r="V220" s="8" t="s">
        <v>1760</v>
      </c>
      <c r="W220" s="10"/>
      <c r="X220" s="9"/>
      <c r="Y220" s="172" t="s">
        <v>2432</v>
      </c>
      <c r="Z220" s="172">
        <v>45966</v>
      </c>
      <c r="AA220" s="172">
        <v>45979</v>
      </c>
      <c r="AB220" s="143" t="str">
        <f t="shared" ca="1" si="29"/>
        <v>Expired</v>
      </c>
      <c r="AC220" s="13"/>
      <c r="AD220" s="12">
        <v>45969</v>
      </c>
      <c r="AE220" s="12"/>
      <c r="AF220" s="12">
        <v>46203</v>
      </c>
      <c r="AG220" s="12"/>
      <c r="AH220" s="11"/>
      <c r="AI220" s="11"/>
      <c r="AJ220" s="11"/>
      <c r="AK220" s="11"/>
      <c r="AL220" s="11"/>
      <c r="AM220" s="11"/>
      <c r="AN220" s="11"/>
      <c r="AO220" s="11" t="str">
        <f t="shared" si="36"/>
        <v>Survey</v>
      </c>
      <c r="AP220" s="173"/>
      <c r="AQ220" s="12">
        <v>46147</v>
      </c>
      <c r="AR220" s="12">
        <v>46177</v>
      </c>
      <c r="AS220" s="12">
        <v>46148</v>
      </c>
      <c r="AT220" s="12"/>
      <c r="AU220" s="12">
        <v>46177</v>
      </c>
      <c r="AV220" s="12"/>
      <c r="AW220" s="11" t="str">
        <f t="shared" si="30"/>
        <v>Upload 1st BOQ &amp; BAN Isaac</v>
      </c>
      <c r="AX220" s="12"/>
      <c r="AY220" s="12"/>
      <c r="AZ220" s="12"/>
      <c r="BA220" s="12"/>
      <c r="BB220" s="12"/>
      <c r="BC220" s="12"/>
      <c r="BD220" s="11" t="str">
        <f t="shared" si="31"/>
        <v>NY Submit</v>
      </c>
      <c r="BE220" s="174"/>
      <c r="BF220" s="12"/>
      <c r="BG220" s="12"/>
      <c r="BH220" s="10" t="s">
        <v>3749</v>
      </c>
      <c r="BI220" s="12">
        <v>45973</v>
      </c>
      <c r="BJ220" s="12">
        <v>45973</v>
      </c>
      <c r="BK220" s="200" t="s">
        <v>3750</v>
      </c>
      <c r="BL220" s="12" t="str">
        <f t="shared" si="32"/>
        <v>NY Submit</v>
      </c>
      <c r="BM220" s="12" t="str">
        <f t="shared" si="33"/>
        <v>Approved</v>
      </c>
      <c r="BN220" s="12"/>
      <c r="BO220" s="12"/>
      <c r="BP220" s="155" t="s">
        <v>1760</v>
      </c>
      <c r="BQ220" s="12" t="s">
        <v>3106</v>
      </c>
      <c r="BR220" s="12"/>
      <c r="BS220" s="143">
        <f t="shared" ca="1" si="34"/>
        <v>0</v>
      </c>
      <c r="BT220" s="176"/>
      <c r="BU220" s="12"/>
      <c r="BV220" s="143">
        <f t="shared" ca="1" si="35"/>
        <v>0</v>
      </c>
      <c r="BW220" s="12"/>
      <c r="BX220" s="12"/>
      <c r="BY220" s="143"/>
      <c r="BZ220" s="13"/>
      <c r="CA220" s="13"/>
      <c r="CB220" s="13"/>
      <c r="CC220" s="13"/>
      <c r="CD220" s="13"/>
      <c r="CE220" s="198"/>
      <c r="CF220" s="198"/>
      <c r="CG220" s="272"/>
      <c r="CH220" s="272"/>
      <c r="CI220" s="198"/>
      <c r="CJ220" s="198"/>
      <c r="CK220" s="198"/>
      <c r="CL220" s="198"/>
    </row>
    <row r="221" spans="1:90">
      <c r="A221" s="187">
        <v>216</v>
      </c>
      <c r="B221" s="190" t="s">
        <v>2486</v>
      </c>
      <c r="C221" s="190" t="s">
        <v>2487</v>
      </c>
      <c r="D221" s="190" t="s">
        <v>135</v>
      </c>
      <c r="E221" s="8" t="e">
        <f ca="1">+_xlfn.CONCAT(G221,"-",B221,"_",C221,"_",_xlfn.XLOOKUP(BP221,Account!M:M,Account!N:N))</f>
        <v>#NAME?</v>
      </c>
      <c r="F221" s="12">
        <v>45964</v>
      </c>
      <c r="G221" s="190" t="s">
        <v>1847</v>
      </c>
      <c r="H221" s="190" t="s">
        <v>3751</v>
      </c>
      <c r="I221" s="10" t="s">
        <v>1848</v>
      </c>
      <c r="J221" s="190">
        <v>7</v>
      </c>
      <c r="K221" s="190" t="s">
        <v>2486</v>
      </c>
      <c r="L221" s="190" t="s">
        <v>2894</v>
      </c>
      <c r="M221" s="190" t="s">
        <v>3752</v>
      </c>
      <c r="N221" s="10" t="s">
        <v>3753</v>
      </c>
      <c r="O221" s="178" t="s">
        <v>3754</v>
      </c>
      <c r="P221" s="178" t="s">
        <v>3755</v>
      </c>
      <c r="Q221" s="327">
        <v>853.60050000000001</v>
      </c>
      <c r="R221" s="190">
        <v>6</v>
      </c>
      <c r="S221" s="190"/>
      <c r="T221" s="190" t="s">
        <v>2518</v>
      </c>
      <c r="U221" s="190" t="s">
        <v>2565</v>
      </c>
      <c r="V221" s="8" t="s">
        <v>1760</v>
      </c>
      <c r="W221" s="10"/>
      <c r="X221" s="9"/>
      <c r="Y221" s="172" t="s">
        <v>2432</v>
      </c>
      <c r="Z221" s="172">
        <v>45966</v>
      </c>
      <c r="AA221" s="172">
        <v>45979</v>
      </c>
      <c r="AB221" s="143" t="str">
        <f t="shared" ca="1" si="29"/>
        <v>Expired</v>
      </c>
      <c r="AC221" s="13"/>
      <c r="AD221" s="12">
        <v>45938</v>
      </c>
      <c r="AE221" s="12">
        <v>45971</v>
      </c>
      <c r="AF221" s="12"/>
      <c r="AG221" s="12"/>
      <c r="AH221" s="11"/>
      <c r="AI221" s="11">
        <v>46008</v>
      </c>
      <c r="AJ221" s="11"/>
      <c r="AK221" s="11"/>
      <c r="AL221" s="11"/>
      <c r="AM221" s="11">
        <v>46015</v>
      </c>
      <c r="AN221" s="11">
        <v>46015</v>
      </c>
      <c r="AO221" s="11" t="str">
        <f t="shared" si="36"/>
        <v>BAST</v>
      </c>
      <c r="AP221" s="173"/>
      <c r="AQ221" s="12">
        <v>46003</v>
      </c>
      <c r="AR221" s="12">
        <v>46003</v>
      </c>
      <c r="AS221" s="12">
        <v>46003</v>
      </c>
      <c r="AT221" s="12"/>
      <c r="AU221" s="12">
        <v>46006</v>
      </c>
      <c r="AV221" s="12">
        <v>46006</v>
      </c>
      <c r="AW221" s="11" t="str">
        <f t="shared" si="30"/>
        <v>1st BOQ App on ISAAC</v>
      </c>
      <c r="AX221" s="12"/>
      <c r="AY221" s="12"/>
      <c r="AZ221" s="12"/>
      <c r="BA221" s="12"/>
      <c r="BB221" s="12"/>
      <c r="BC221" s="12"/>
      <c r="BD221" s="11" t="str">
        <f t="shared" si="31"/>
        <v>NY Submit</v>
      </c>
      <c r="BE221" s="174"/>
      <c r="BF221" s="12">
        <v>45971</v>
      </c>
      <c r="BG221" s="12">
        <v>45972</v>
      </c>
      <c r="BH221" s="10" t="s">
        <v>3756</v>
      </c>
      <c r="BI221" s="12">
        <v>45971</v>
      </c>
      <c r="BJ221" s="12">
        <v>45973</v>
      </c>
      <c r="BK221" s="174" t="s">
        <v>3757</v>
      </c>
      <c r="BL221" s="12" t="str">
        <f t="shared" si="32"/>
        <v>Approved</v>
      </c>
      <c r="BM221" s="12" t="str">
        <f t="shared" si="33"/>
        <v>Approved</v>
      </c>
      <c r="BN221" s="12">
        <v>46020</v>
      </c>
      <c r="BO221" s="12">
        <v>46020</v>
      </c>
      <c r="BP221" s="155" t="s">
        <v>1760</v>
      </c>
      <c r="BQ221" s="176" t="s">
        <v>3708</v>
      </c>
      <c r="BR221" s="12">
        <v>46022</v>
      </c>
      <c r="BS221" s="143">
        <f t="shared" ca="1" si="34"/>
        <v>16</v>
      </c>
      <c r="BT221" s="176" t="s">
        <v>3758</v>
      </c>
      <c r="BU221" s="12">
        <v>46022</v>
      </c>
      <c r="BV221" s="143">
        <f t="shared" ca="1" si="35"/>
        <v>0</v>
      </c>
      <c r="BW221" s="176"/>
      <c r="BX221" s="12"/>
      <c r="BY221" s="143"/>
      <c r="BZ221" s="13" t="s">
        <v>2500</v>
      </c>
      <c r="CA221" s="13"/>
      <c r="CB221" s="13"/>
      <c r="CC221" s="13"/>
      <c r="CD221" s="13"/>
      <c r="CE221" s="198" t="s">
        <v>3759</v>
      </c>
      <c r="CF221" s="198" t="s">
        <v>3760</v>
      </c>
      <c r="CG221" s="273" t="s">
        <v>3761</v>
      </c>
      <c r="CH221" s="273" t="s">
        <v>3762</v>
      </c>
      <c r="CI221" s="198"/>
      <c r="CJ221" s="198"/>
      <c r="CK221" s="198"/>
      <c r="CL221" s="198"/>
    </row>
    <row r="222" spans="1:90">
      <c r="A222" s="187">
        <v>217</v>
      </c>
      <c r="B222" s="190" t="s">
        <v>2486</v>
      </c>
      <c r="C222" s="190" t="s">
        <v>2487</v>
      </c>
      <c r="D222" s="190" t="s">
        <v>135</v>
      </c>
      <c r="E222" s="8" t="e">
        <f ca="1">+_xlfn.CONCAT(G222,"-",B222,"_",C222,"_",_xlfn.XLOOKUP(BP222,Account!M:M,Account!N:N))</f>
        <v>#NAME?</v>
      </c>
      <c r="F222" s="12">
        <v>45964</v>
      </c>
      <c r="G222" s="190" t="s">
        <v>683</v>
      </c>
      <c r="H222" s="190" t="s">
        <v>3763</v>
      </c>
      <c r="I222" s="10" t="s">
        <v>684</v>
      </c>
      <c r="J222" s="190">
        <v>7</v>
      </c>
      <c r="K222" s="190" t="s">
        <v>2486</v>
      </c>
      <c r="L222" s="190" t="s">
        <v>2894</v>
      </c>
      <c r="M222" s="190" t="s">
        <v>3375</v>
      </c>
      <c r="N222" s="10" t="s">
        <v>3764</v>
      </c>
      <c r="O222" s="178" t="s">
        <v>3765</v>
      </c>
      <c r="P222" s="178" t="s">
        <v>3766</v>
      </c>
      <c r="Q222" s="327">
        <v>2906.38</v>
      </c>
      <c r="R222" s="190">
        <v>20</v>
      </c>
      <c r="S222" s="190"/>
      <c r="T222" s="190" t="s">
        <v>2518</v>
      </c>
      <c r="U222" s="190" t="s">
        <v>2519</v>
      </c>
      <c r="V222" s="8" t="s">
        <v>1760</v>
      </c>
      <c r="W222" s="10"/>
      <c r="X222" s="9"/>
      <c r="Y222" s="172" t="s">
        <v>3722</v>
      </c>
      <c r="Z222" s="172">
        <v>46005</v>
      </c>
      <c r="AA222" s="172">
        <v>46012</v>
      </c>
      <c r="AB222" s="143" t="str">
        <f t="shared" ca="1" si="29"/>
        <v>Expired</v>
      </c>
      <c r="AC222" s="13"/>
      <c r="AD222" s="12">
        <v>45969</v>
      </c>
      <c r="AE222" s="12">
        <v>45971</v>
      </c>
      <c r="AF222" s="12"/>
      <c r="AG222" s="12">
        <v>45987</v>
      </c>
      <c r="AH222" s="11"/>
      <c r="AI222" s="11">
        <v>46019</v>
      </c>
      <c r="AJ222" s="11"/>
      <c r="AK222" s="11"/>
      <c r="AL222" s="11"/>
      <c r="AM222" s="11">
        <v>46085</v>
      </c>
      <c r="AN222" s="11">
        <v>46085</v>
      </c>
      <c r="AO222" s="11" t="str">
        <f t="shared" si="36"/>
        <v>BAST</v>
      </c>
      <c r="AP222" s="173"/>
      <c r="AQ222" s="12">
        <v>45986</v>
      </c>
      <c r="AR222" s="12">
        <v>45992</v>
      </c>
      <c r="AS222" s="12">
        <v>45995</v>
      </c>
      <c r="AT222" s="12"/>
      <c r="AU222" s="12">
        <v>45995</v>
      </c>
      <c r="AV222" s="12">
        <v>45996</v>
      </c>
      <c r="AW222" s="11" t="str">
        <f t="shared" si="30"/>
        <v>1st BOQ App on ISAAC</v>
      </c>
      <c r="AX222" s="12"/>
      <c r="AY222" s="12"/>
      <c r="AZ222" s="12"/>
      <c r="BA222" s="12"/>
      <c r="BB222" s="12"/>
      <c r="BC222" s="12"/>
      <c r="BD222" s="11" t="str">
        <f t="shared" si="31"/>
        <v>NY Submit</v>
      </c>
      <c r="BE222" s="174"/>
      <c r="BF222" s="12">
        <v>45971</v>
      </c>
      <c r="BG222" s="12">
        <v>45972</v>
      </c>
      <c r="BH222" s="10" t="s">
        <v>3767</v>
      </c>
      <c r="BI222" s="12">
        <v>45971</v>
      </c>
      <c r="BJ222" s="12">
        <v>45973</v>
      </c>
      <c r="BK222" s="174" t="s">
        <v>3768</v>
      </c>
      <c r="BL222" s="12" t="str">
        <f t="shared" si="32"/>
        <v>Approved</v>
      </c>
      <c r="BM222" s="12" t="str">
        <f t="shared" si="33"/>
        <v>Approved</v>
      </c>
      <c r="BN222" s="12">
        <v>46085</v>
      </c>
      <c r="BO222" s="12">
        <v>46085</v>
      </c>
      <c r="BP222" s="155" t="s">
        <v>1760</v>
      </c>
      <c r="BQ222" s="12" t="s">
        <v>3769</v>
      </c>
      <c r="BR222" s="12">
        <v>46008</v>
      </c>
      <c r="BS222" s="143">
        <f t="shared" ca="1" si="34"/>
        <v>12</v>
      </c>
      <c r="BT222" s="176"/>
      <c r="BU222" s="12"/>
      <c r="BV222" s="143">
        <f t="shared" ca="1" si="35"/>
        <v>0</v>
      </c>
      <c r="BW222" s="12"/>
      <c r="BX222" s="12"/>
      <c r="BY222" s="143"/>
      <c r="BZ222" s="13" t="s">
        <v>2500</v>
      </c>
      <c r="CA222" s="13"/>
      <c r="CB222" s="13"/>
      <c r="CC222" s="13"/>
      <c r="CD222" s="13"/>
      <c r="CE222" s="198"/>
      <c r="CF222" s="198"/>
      <c r="CG222" s="272"/>
      <c r="CH222" s="272"/>
      <c r="CI222" s="198"/>
      <c r="CJ222" s="198"/>
      <c r="CK222" s="198"/>
      <c r="CL222" s="198"/>
    </row>
    <row r="223" spans="1:90" ht="30" customHeight="1">
      <c r="A223" s="187">
        <v>218</v>
      </c>
      <c r="B223" s="190" t="s">
        <v>2486</v>
      </c>
      <c r="C223" s="190" t="s">
        <v>2487</v>
      </c>
      <c r="D223" s="190" t="s">
        <v>135</v>
      </c>
      <c r="E223" s="8" t="e">
        <f ca="1">+_xlfn.CONCAT(G223,"-",B223,"_",C223,"_",_xlfn.XLOOKUP(BP223,Account!M:M,Account!N:N))</f>
        <v>#NAME?</v>
      </c>
      <c r="F223" s="12">
        <v>45966</v>
      </c>
      <c r="G223" s="190" t="s">
        <v>2272</v>
      </c>
      <c r="H223" s="190" t="s">
        <v>3770</v>
      </c>
      <c r="I223" s="198" t="s">
        <v>2273</v>
      </c>
      <c r="J223" s="190">
        <v>2</v>
      </c>
      <c r="K223" s="6" t="s">
        <v>2038</v>
      </c>
      <c r="L223" s="190" t="s">
        <v>2780</v>
      </c>
      <c r="M223" s="190" t="s">
        <v>3771</v>
      </c>
      <c r="N223" s="198" t="s">
        <v>3772</v>
      </c>
      <c r="O223" s="178" t="s">
        <v>3773</v>
      </c>
      <c r="P223" s="178" t="s">
        <v>3774</v>
      </c>
      <c r="Q223" s="327">
        <v>9236.0759999999991</v>
      </c>
      <c r="R223" s="190">
        <v>52</v>
      </c>
      <c r="S223" s="190"/>
      <c r="T223" s="6" t="s">
        <v>2494</v>
      </c>
      <c r="U223" s="6" t="s">
        <v>2495</v>
      </c>
      <c r="V223" s="8" t="s">
        <v>1760</v>
      </c>
      <c r="W223" s="10"/>
      <c r="X223" s="9"/>
      <c r="Y223" s="172"/>
      <c r="Z223" s="172"/>
      <c r="AA223" s="172"/>
      <c r="AB223" s="143" t="str">
        <f t="shared" ca="1" si="29"/>
        <v>NY Submit</v>
      </c>
      <c r="AC223" s="13"/>
      <c r="AD223" s="12">
        <v>46120</v>
      </c>
      <c r="AE223" s="12">
        <v>46120</v>
      </c>
      <c r="AF223" s="12">
        <v>46032</v>
      </c>
      <c r="AG223" s="12"/>
      <c r="AH223" s="11"/>
      <c r="AI223" s="11"/>
      <c r="AJ223" s="11"/>
      <c r="AK223" s="11"/>
      <c r="AL223" s="11"/>
      <c r="AM223" s="11"/>
      <c r="AN223" s="11"/>
      <c r="AO223" s="11" t="str">
        <f t="shared" si="36"/>
        <v>Survey Report</v>
      </c>
      <c r="AP223" s="173" t="s">
        <v>3194</v>
      </c>
      <c r="AQ223" s="12">
        <v>46121</v>
      </c>
      <c r="AR223" s="12">
        <v>46126</v>
      </c>
      <c r="AS223" s="12">
        <v>46121</v>
      </c>
      <c r="AT223" s="12"/>
      <c r="AU223" s="12">
        <v>46126</v>
      </c>
      <c r="AV223" s="12">
        <v>46127</v>
      </c>
      <c r="AW223" s="11" t="str">
        <f t="shared" si="30"/>
        <v>1st BOQ App on ISAAC</v>
      </c>
      <c r="AX223" s="12"/>
      <c r="AY223" s="12"/>
      <c r="AZ223" s="12"/>
      <c r="BA223" s="12"/>
      <c r="BB223" s="12"/>
      <c r="BC223" s="12"/>
      <c r="BD223" s="11" t="str">
        <f t="shared" si="31"/>
        <v>NY Submit</v>
      </c>
      <c r="BE223" s="174"/>
      <c r="BF223" s="12">
        <v>46121</v>
      </c>
      <c r="BG223" s="12">
        <v>46126</v>
      </c>
      <c r="BH223" s="10" t="s">
        <v>3775</v>
      </c>
      <c r="BI223" s="12">
        <v>46121</v>
      </c>
      <c r="BJ223" s="12">
        <v>46122</v>
      </c>
      <c r="BK223" s="174" t="s">
        <v>3776</v>
      </c>
      <c r="BL223" s="12" t="str">
        <f t="shared" si="32"/>
        <v>Approved</v>
      </c>
      <c r="BM223" s="12" t="str">
        <f t="shared" si="33"/>
        <v>Approved</v>
      </c>
      <c r="BN223" s="12">
        <v>46170</v>
      </c>
      <c r="BO223" s="12">
        <v>46170</v>
      </c>
      <c r="BP223" s="155" t="s">
        <v>1760</v>
      </c>
      <c r="BQ223" s="12" t="s">
        <v>3777</v>
      </c>
      <c r="BR223" s="12">
        <v>46132</v>
      </c>
      <c r="BS223" s="143">
        <f t="shared" ca="1" si="34"/>
        <v>5</v>
      </c>
      <c r="BT223" s="176"/>
      <c r="BU223" s="12"/>
      <c r="BV223" s="143">
        <f t="shared" ca="1" si="35"/>
        <v>0</v>
      </c>
      <c r="BW223" s="12"/>
      <c r="BX223" s="12"/>
      <c r="BY223" s="143"/>
      <c r="BZ223" s="13" t="s">
        <v>2500</v>
      </c>
      <c r="CA223" s="13"/>
      <c r="CB223" s="13"/>
      <c r="CC223" s="13"/>
      <c r="CD223" s="13"/>
      <c r="CE223" s="198"/>
      <c r="CF223" s="198"/>
      <c r="CG223" s="272"/>
      <c r="CH223" s="272"/>
      <c r="CI223" s="198"/>
      <c r="CJ223" s="198"/>
      <c r="CK223" s="198"/>
      <c r="CL223" s="198"/>
    </row>
    <row r="224" spans="1:90">
      <c r="A224" s="187">
        <v>219</v>
      </c>
      <c r="B224" s="190" t="s">
        <v>2486</v>
      </c>
      <c r="C224" s="190" t="s">
        <v>2487</v>
      </c>
      <c r="D224" s="190" t="s">
        <v>135</v>
      </c>
      <c r="E224" s="8" t="e">
        <f ca="1">+_xlfn.CONCAT(G224,"-",B224,"_",C224,"_",_xlfn.XLOOKUP(BP224,Account!M:M,Account!N:N))</f>
        <v>#NAME?</v>
      </c>
      <c r="F224" s="12">
        <v>45967</v>
      </c>
      <c r="G224" s="190" t="s">
        <v>240</v>
      </c>
      <c r="H224" s="190" t="s">
        <v>3778</v>
      </c>
      <c r="I224" s="10" t="s">
        <v>2278</v>
      </c>
      <c r="J224" s="190">
        <v>15</v>
      </c>
      <c r="K224" s="190" t="s">
        <v>2486</v>
      </c>
      <c r="L224" s="190" t="s">
        <v>1279</v>
      </c>
      <c r="M224" s="190" t="s">
        <v>2884</v>
      </c>
      <c r="N224" s="10" t="s">
        <v>3779</v>
      </c>
      <c r="O224" s="178" t="s">
        <v>3780</v>
      </c>
      <c r="P224" s="178" t="s">
        <v>3781</v>
      </c>
      <c r="Q224" s="327">
        <v>3713.64</v>
      </c>
      <c r="R224" s="190">
        <v>25</v>
      </c>
      <c r="S224" s="190"/>
      <c r="T224" s="190" t="s">
        <v>2518</v>
      </c>
      <c r="U224" s="190" t="s">
        <v>2519</v>
      </c>
      <c r="V224" s="8" t="s">
        <v>1760</v>
      </c>
      <c r="W224" s="10"/>
      <c r="X224" s="9"/>
      <c r="Y224" s="172"/>
      <c r="Z224" s="172"/>
      <c r="AA224" s="172"/>
      <c r="AB224" s="143" t="str">
        <f t="shared" ca="1" si="29"/>
        <v>NY Submit</v>
      </c>
      <c r="AC224" s="13"/>
      <c r="AD224" s="12">
        <v>45999</v>
      </c>
      <c r="AE224" s="12">
        <v>45999</v>
      </c>
      <c r="AF224" s="12"/>
      <c r="AG224" s="12">
        <v>46066</v>
      </c>
      <c r="AH224" s="11"/>
      <c r="AI224" s="11">
        <v>46089</v>
      </c>
      <c r="AJ224" s="11"/>
      <c r="AK224" s="11"/>
      <c r="AL224" s="11"/>
      <c r="AM224" s="11"/>
      <c r="AN224" s="11">
        <v>46089</v>
      </c>
      <c r="AO224" s="11" t="str">
        <f t="shared" si="36"/>
        <v>BAST</v>
      </c>
      <c r="AP224" s="173" t="s">
        <v>3782</v>
      </c>
      <c r="AQ224" s="12">
        <v>46030</v>
      </c>
      <c r="AR224" s="12">
        <v>46062</v>
      </c>
      <c r="AS224" s="12">
        <v>46043</v>
      </c>
      <c r="AT224" s="12"/>
      <c r="AU224" s="12">
        <v>46062</v>
      </c>
      <c r="AV224" s="12">
        <v>46062</v>
      </c>
      <c r="AW224" s="11" t="str">
        <f t="shared" si="30"/>
        <v>1st BOQ App on ISAAC</v>
      </c>
      <c r="AX224" s="12"/>
      <c r="AY224" s="12"/>
      <c r="AZ224" s="12"/>
      <c r="BA224" s="12"/>
      <c r="BB224" s="12"/>
      <c r="BC224" s="12"/>
      <c r="BD224" s="11" t="str">
        <f t="shared" si="31"/>
        <v>NY Submit</v>
      </c>
      <c r="BE224" s="174"/>
      <c r="BF224" s="12">
        <v>45999</v>
      </c>
      <c r="BG224" s="12">
        <v>46001</v>
      </c>
      <c r="BH224" s="10" t="s">
        <v>3783</v>
      </c>
      <c r="BI224" s="12">
        <v>46000</v>
      </c>
      <c r="BJ224" s="12">
        <v>46002</v>
      </c>
      <c r="BK224" s="174" t="s">
        <v>3784</v>
      </c>
      <c r="BL224" s="12" t="str">
        <f t="shared" si="32"/>
        <v>Approved</v>
      </c>
      <c r="BM224" s="12" t="str">
        <f t="shared" si="33"/>
        <v>Approved</v>
      </c>
      <c r="BN224" s="12">
        <v>46092</v>
      </c>
      <c r="BO224" s="12">
        <v>46093</v>
      </c>
      <c r="BP224" s="155" t="s">
        <v>1760</v>
      </c>
      <c r="BQ224" s="12" t="s">
        <v>3785</v>
      </c>
      <c r="BR224" s="12">
        <v>46079</v>
      </c>
      <c r="BS224" s="143">
        <f t="shared" ca="1" si="34"/>
        <v>17</v>
      </c>
      <c r="BT224" s="176"/>
      <c r="BU224" s="12"/>
      <c r="BV224" s="143">
        <f t="shared" ca="1" si="35"/>
        <v>0</v>
      </c>
      <c r="BW224" s="12"/>
      <c r="BX224" s="12"/>
      <c r="BY224" s="143"/>
      <c r="BZ224" s="13"/>
      <c r="CA224" s="13"/>
      <c r="CB224" s="13"/>
      <c r="CC224" s="13"/>
      <c r="CD224" s="13"/>
      <c r="CE224" s="198"/>
      <c r="CF224" s="198"/>
      <c r="CG224" s="272"/>
      <c r="CH224" s="272"/>
      <c r="CI224" s="198"/>
      <c r="CJ224" s="198"/>
      <c r="CK224" s="198"/>
      <c r="CL224" s="198"/>
    </row>
    <row r="225" spans="1:90">
      <c r="A225" s="187">
        <v>220</v>
      </c>
      <c r="B225" s="190" t="s">
        <v>2486</v>
      </c>
      <c r="C225" s="190" t="s">
        <v>2487</v>
      </c>
      <c r="D225" s="190" t="s">
        <v>135</v>
      </c>
      <c r="E225" s="8" t="e">
        <f ca="1">+_xlfn.CONCAT(G225,"-",B225,"_",C225,"_",_xlfn.XLOOKUP(BP225,Account!M:M,Account!N:N))</f>
        <v>#NAME?</v>
      </c>
      <c r="F225" s="12">
        <v>45971</v>
      </c>
      <c r="G225" s="157" t="s">
        <v>1818</v>
      </c>
      <c r="H225" s="190" t="s">
        <v>3786</v>
      </c>
      <c r="I225" s="10" t="s">
        <v>1819</v>
      </c>
      <c r="J225" s="190">
        <v>18</v>
      </c>
      <c r="K225" s="6" t="s">
        <v>2038</v>
      </c>
      <c r="L225" s="6" t="s">
        <v>1293</v>
      </c>
      <c r="M225" s="190" t="s">
        <v>2544</v>
      </c>
      <c r="N225" s="10" t="s">
        <v>3787</v>
      </c>
      <c r="O225" s="178" t="s">
        <v>3788</v>
      </c>
      <c r="P225" s="178" t="s">
        <v>3789</v>
      </c>
      <c r="Q225" s="327">
        <v>16015.06</v>
      </c>
      <c r="R225" s="190">
        <v>52</v>
      </c>
      <c r="S225" s="190" t="s">
        <v>3790</v>
      </c>
      <c r="T225" s="6" t="s">
        <v>2494</v>
      </c>
      <c r="U225" s="6" t="s">
        <v>2495</v>
      </c>
      <c r="V225" s="8" t="s">
        <v>1760</v>
      </c>
      <c r="W225" s="10"/>
      <c r="X225" s="9"/>
      <c r="Y225" s="172" t="s">
        <v>2432</v>
      </c>
      <c r="Z225" s="172">
        <v>45966</v>
      </c>
      <c r="AA225" s="172">
        <v>45979</v>
      </c>
      <c r="AB225" s="143" t="str">
        <f t="shared" ca="1" si="29"/>
        <v>Expired</v>
      </c>
      <c r="AC225" s="13"/>
      <c r="AD225" s="12">
        <v>45968</v>
      </c>
      <c r="AE225" s="12">
        <v>45968</v>
      </c>
      <c r="AF225" s="12"/>
      <c r="AG225" s="12"/>
      <c r="AH225" s="11"/>
      <c r="AI225" s="11">
        <v>45996</v>
      </c>
      <c r="AJ225" s="11"/>
      <c r="AK225" s="11"/>
      <c r="AL225" s="11"/>
      <c r="AM225" s="11">
        <v>46006</v>
      </c>
      <c r="AN225" s="11">
        <v>46006</v>
      </c>
      <c r="AO225" s="11" t="str">
        <f t="shared" si="36"/>
        <v>BAST</v>
      </c>
      <c r="AP225" s="173"/>
      <c r="AQ225" s="12">
        <v>45975</v>
      </c>
      <c r="AR225" s="12">
        <v>45992</v>
      </c>
      <c r="AS225" s="12"/>
      <c r="AT225" s="12">
        <v>45663</v>
      </c>
      <c r="AU225" s="12">
        <v>45993</v>
      </c>
      <c r="AV225" s="12">
        <v>45993</v>
      </c>
      <c r="AW225" s="11" t="str">
        <f t="shared" si="30"/>
        <v>1st BOQ App on ISAAC</v>
      </c>
      <c r="AX225" s="12">
        <v>46006</v>
      </c>
      <c r="AY225" s="12"/>
      <c r="AZ225" s="12"/>
      <c r="BA225" s="12">
        <v>46028</v>
      </c>
      <c r="BB225" s="12"/>
      <c r="BC225" s="12">
        <v>46029</v>
      </c>
      <c r="BD225" s="11" t="str">
        <f t="shared" si="31"/>
        <v>2nd BOQ App on ISAAC</v>
      </c>
      <c r="BE225" s="174" t="s">
        <v>3791</v>
      </c>
      <c r="BF225" s="12">
        <v>45968</v>
      </c>
      <c r="BG225" s="12">
        <v>45975</v>
      </c>
      <c r="BH225" s="10" t="s">
        <v>3792</v>
      </c>
      <c r="BI225" s="12">
        <v>45973</v>
      </c>
      <c r="BJ225" s="12">
        <v>45973</v>
      </c>
      <c r="BK225" s="200" t="s">
        <v>3793</v>
      </c>
      <c r="BL225" s="12" t="str">
        <f t="shared" si="32"/>
        <v>Approved</v>
      </c>
      <c r="BM225" s="12" t="str">
        <f t="shared" si="33"/>
        <v>Approved</v>
      </c>
      <c r="BN225" s="12">
        <v>46006</v>
      </c>
      <c r="BO225" s="12">
        <v>46009</v>
      </c>
      <c r="BP225" s="155" t="s">
        <v>1760</v>
      </c>
      <c r="BQ225" s="176" t="s">
        <v>3794</v>
      </c>
      <c r="BR225" s="12">
        <v>46000</v>
      </c>
      <c r="BS225" s="143">
        <f t="shared" ca="1" si="34"/>
        <v>7</v>
      </c>
      <c r="BT225" s="176" t="s">
        <v>3795</v>
      </c>
      <c r="BU225" s="12">
        <v>46000</v>
      </c>
      <c r="BV225" s="143" t="e">
        <f t="shared" ca="1" si="35"/>
        <v>#NUM!</v>
      </c>
      <c r="BW225" s="176"/>
      <c r="BX225" s="12"/>
      <c r="BY225" s="143"/>
      <c r="BZ225" s="13" t="s">
        <v>3262</v>
      </c>
      <c r="CA225" s="13" t="s">
        <v>3263</v>
      </c>
      <c r="CB225" s="13" t="s">
        <v>2984</v>
      </c>
      <c r="CC225" s="13"/>
      <c r="CD225" s="13"/>
      <c r="CE225" s="198"/>
      <c r="CF225" s="198"/>
      <c r="CG225" s="272"/>
      <c r="CH225" s="272"/>
      <c r="CI225" s="198"/>
      <c r="CJ225" s="198"/>
      <c r="CK225" s="198"/>
      <c r="CL225" s="198"/>
    </row>
    <row r="226" spans="1:90" ht="30" customHeight="1">
      <c r="A226" s="187">
        <v>221</v>
      </c>
      <c r="B226" s="190" t="s">
        <v>2486</v>
      </c>
      <c r="C226" s="190" t="s">
        <v>2487</v>
      </c>
      <c r="D226" s="190" t="s">
        <v>135</v>
      </c>
      <c r="E226" s="8" t="e">
        <f ca="1">+_xlfn.CONCAT(G226,"-",B226,"_",C226,"_",_xlfn.XLOOKUP(BP226,Account!M:M,Account!N:N))</f>
        <v>#NAME?</v>
      </c>
      <c r="F226" s="12">
        <v>45971</v>
      </c>
      <c r="G226" s="190" t="s">
        <v>1818</v>
      </c>
      <c r="H226" s="190" t="s">
        <v>3786</v>
      </c>
      <c r="I226" s="10" t="s">
        <v>1819</v>
      </c>
      <c r="J226" s="190">
        <v>18</v>
      </c>
      <c r="K226" s="6" t="s">
        <v>2038</v>
      </c>
      <c r="L226" s="6" t="s">
        <v>1293</v>
      </c>
      <c r="M226" s="190" t="s">
        <v>2544</v>
      </c>
      <c r="N226" s="10" t="s">
        <v>3787</v>
      </c>
      <c r="O226" s="178" t="s">
        <v>3788</v>
      </c>
      <c r="P226" s="178" t="s">
        <v>3789</v>
      </c>
      <c r="Q226" s="327">
        <v>16015.06</v>
      </c>
      <c r="R226" s="190">
        <v>52</v>
      </c>
      <c r="S226" s="190" t="s">
        <v>3790</v>
      </c>
      <c r="T226" s="6" t="s">
        <v>2494</v>
      </c>
      <c r="U226" s="6" t="s">
        <v>2495</v>
      </c>
      <c r="V226" s="8" t="s">
        <v>2011</v>
      </c>
      <c r="W226" s="10"/>
      <c r="X226" s="9"/>
      <c r="Y226" s="172" t="s">
        <v>2432</v>
      </c>
      <c r="Z226" s="172">
        <v>45966</v>
      </c>
      <c r="AA226" s="172">
        <v>45979</v>
      </c>
      <c r="AB226" s="143" t="str">
        <f t="shared" ca="1" si="29"/>
        <v>Expired</v>
      </c>
      <c r="AC226" s="13"/>
      <c r="AD226" s="12">
        <v>45968</v>
      </c>
      <c r="AE226" s="12">
        <v>45968</v>
      </c>
      <c r="AF226" s="12"/>
      <c r="AG226" s="12"/>
      <c r="AH226" s="11">
        <v>45994</v>
      </c>
      <c r="AI226" s="11"/>
      <c r="AJ226" s="11"/>
      <c r="AK226" s="11"/>
      <c r="AL226" s="11"/>
      <c r="AM226" s="11">
        <v>45994</v>
      </c>
      <c r="AN226" s="11"/>
      <c r="AO226" s="11" t="str">
        <f>+IF(AM226&lt;&gt;"","ATP App MS",IF(AJ226&lt;&gt;"","Inbound",IF(AH226&lt;&gt;"","Dismantle Perangkat",IF(AF226="Drop","Drop",IF(AE226&lt;&gt;"","Survey Report",IF(AD226&lt;&gt;"","Survey","NY Survey"))))))</f>
        <v>ATP App MS</v>
      </c>
      <c r="AP226" s="185" t="s">
        <v>3796</v>
      </c>
      <c r="AQ226" s="12">
        <v>45975</v>
      </c>
      <c r="AR226" s="12">
        <v>45992</v>
      </c>
      <c r="AS226" s="12"/>
      <c r="AT226" s="12">
        <v>45663</v>
      </c>
      <c r="AU226" s="12">
        <v>45993</v>
      </c>
      <c r="AV226" s="12">
        <v>45993</v>
      </c>
      <c r="AW226" s="11" t="str">
        <f t="shared" si="30"/>
        <v>1st BOQ App on ISAAC</v>
      </c>
      <c r="AX226" s="12">
        <v>46006</v>
      </c>
      <c r="AY226" s="12"/>
      <c r="AZ226" s="12"/>
      <c r="BA226" s="12">
        <v>46028</v>
      </c>
      <c r="BB226" s="12"/>
      <c r="BC226" s="12">
        <v>46029</v>
      </c>
      <c r="BD226" s="11" t="str">
        <f t="shared" si="31"/>
        <v>2nd BOQ App on ISAAC</v>
      </c>
      <c r="BE226" s="174"/>
      <c r="BF226" s="12">
        <v>45968</v>
      </c>
      <c r="BG226" s="12">
        <v>45975</v>
      </c>
      <c r="BH226" s="10" t="s">
        <v>3792</v>
      </c>
      <c r="BI226" s="12">
        <v>45973</v>
      </c>
      <c r="BJ226" s="12">
        <v>45973</v>
      </c>
      <c r="BK226" s="174"/>
      <c r="BL226" s="12" t="str">
        <f t="shared" si="32"/>
        <v>Approved</v>
      </c>
      <c r="BM226" s="12" t="str">
        <f t="shared" si="33"/>
        <v>Approved</v>
      </c>
      <c r="BN226" s="12"/>
      <c r="BO226" s="12"/>
      <c r="BP226" s="155" t="s">
        <v>2011</v>
      </c>
      <c r="BQ226" s="12" t="s">
        <v>2968</v>
      </c>
      <c r="BR226" s="12">
        <v>46000</v>
      </c>
      <c r="BS226" s="143">
        <f t="shared" ca="1" si="34"/>
        <v>7</v>
      </c>
      <c r="BT226" s="176"/>
      <c r="BU226" s="12"/>
      <c r="BV226" s="143">
        <f t="shared" ca="1" si="35"/>
        <v>210</v>
      </c>
      <c r="BW226" s="12"/>
      <c r="BX226" s="12"/>
      <c r="BY226" s="143"/>
      <c r="BZ226" s="13"/>
      <c r="CA226" s="13"/>
      <c r="CB226" s="13"/>
      <c r="CC226" s="13"/>
      <c r="CD226" s="13"/>
      <c r="CE226" s="198"/>
      <c r="CF226" s="198"/>
      <c r="CG226" s="272"/>
      <c r="CH226" s="272"/>
      <c r="CI226" s="198"/>
      <c r="CJ226" s="198"/>
      <c r="CK226" s="198"/>
      <c r="CL226" s="198"/>
    </row>
    <row r="227" spans="1:90">
      <c r="A227" s="187">
        <v>222</v>
      </c>
      <c r="B227" s="190" t="s">
        <v>2486</v>
      </c>
      <c r="C227" s="190" t="s">
        <v>2487</v>
      </c>
      <c r="D227" s="190" t="s">
        <v>135</v>
      </c>
      <c r="E227" s="8" t="e">
        <f ca="1">+_xlfn.CONCAT(G227,"-",B227,"_",C227,"_",_xlfn.XLOOKUP(BP227,Account!M:M,Account!N:N))</f>
        <v>#NAME?</v>
      </c>
      <c r="F227" s="12">
        <v>45971</v>
      </c>
      <c r="G227" s="190" t="s">
        <v>1906</v>
      </c>
      <c r="H227" s="190" t="s">
        <v>3797</v>
      </c>
      <c r="I227" s="10" t="s">
        <v>1907</v>
      </c>
      <c r="J227" s="190">
        <v>7</v>
      </c>
      <c r="K227" s="190" t="s">
        <v>2038</v>
      </c>
      <c r="L227" s="190" t="s">
        <v>2894</v>
      </c>
      <c r="M227" s="190" t="s">
        <v>3798</v>
      </c>
      <c r="N227" s="10" t="s">
        <v>3799</v>
      </c>
      <c r="O227" s="178" t="s">
        <v>3800</v>
      </c>
      <c r="P227" s="178" t="s">
        <v>3801</v>
      </c>
      <c r="Q227" s="327">
        <v>9236.07</v>
      </c>
      <c r="R227" s="190">
        <v>52</v>
      </c>
      <c r="S227" s="190" t="s">
        <v>3686</v>
      </c>
      <c r="T227" s="6" t="s">
        <v>2494</v>
      </c>
      <c r="U227" s="6" t="s">
        <v>2495</v>
      </c>
      <c r="V227" s="8" t="s">
        <v>1760</v>
      </c>
      <c r="W227" s="10" t="s">
        <v>3148</v>
      </c>
      <c r="X227" s="9"/>
      <c r="Y227" s="172" t="s">
        <v>2496</v>
      </c>
      <c r="Z227" s="172">
        <v>46092</v>
      </c>
      <c r="AA227" s="172">
        <v>46098</v>
      </c>
      <c r="AB227" s="143" t="str">
        <f t="shared" ca="1" si="29"/>
        <v>Expired</v>
      </c>
      <c r="AC227" s="13"/>
      <c r="AD227" s="12">
        <v>46015</v>
      </c>
      <c r="AE227" s="12">
        <v>46027</v>
      </c>
      <c r="AF227" s="12">
        <v>46096</v>
      </c>
      <c r="AG227" s="12"/>
      <c r="AH227" s="11"/>
      <c r="AI227" s="11">
        <v>46113</v>
      </c>
      <c r="AJ227" s="11"/>
      <c r="AK227" s="11"/>
      <c r="AL227" s="11"/>
      <c r="AM227" s="11">
        <v>46113</v>
      </c>
      <c r="AN227" s="11">
        <v>46113</v>
      </c>
      <c r="AO227" s="11" t="str">
        <f>+IF(AN227&lt;&gt;"","BAST",IF(AI227&lt;&gt;"","Dismantle",IF(AG227&lt;&gt;"","RFD App",IF(AF227="Drop","Drop",IF(AE227&lt;&gt;"","Survey Report",IF(AD227&lt;&gt;"","Survey","NY Survey"))))))</f>
        <v>BAST</v>
      </c>
      <c r="AP227" s="173" t="s">
        <v>3802</v>
      </c>
      <c r="AQ227" s="12">
        <v>46037</v>
      </c>
      <c r="AR227" s="12">
        <v>46071</v>
      </c>
      <c r="AS227" s="12">
        <v>46037</v>
      </c>
      <c r="AT227" s="12"/>
      <c r="AU227" s="12">
        <v>46072</v>
      </c>
      <c r="AV227" s="12"/>
      <c r="AW227" s="11" t="str">
        <f t="shared" si="30"/>
        <v>Upload 1st BOQ &amp; BAN Isaac</v>
      </c>
      <c r="AX227" s="12"/>
      <c r="AY227" s="12"/>
      <c r="AZ227" s="12"/>
      <c r="BA227" s="12"/>
      <c r="BB227" s="12"/>
      <c r="BC227" s="12"/>
      <c r="BD227" s="11" t="str">
        <f t="shared" si="31"/>
        <v>NY Submit</v>
      </c>
      <c r="BE227" s="174"/>
      <c r="BF227" s="12">
        <v>46027</v>
      </c>
      <c r="BG227" s="12">
        <v>46027</v>
      </c>
      <c r="BH227" s="10" t="s">
        <v>3803</v>
      </c>
      <c r="BI227" s="12">
        <v>46027</v>
      </c>
      <c r="BJ227" s="12">
        <v>46028</v>
      </c>
      <c r="BK227" s="174" t="s">
        <v>3804</v>
      </c>
      <c r="BL227" s="12" t="str">
        <f t="shared" si="32"/>
        <v>Approved</v>
      </c>
      <c r="BM227" s="12" t="str">
        <f t="shared" si="33"/>
        <v>Approved</v>
      </c>
      <c r="BN227" s="12">
        <v>46140</v>
      </c>
      <c r="BO227" s="12">
        <v>46141</v>
      </c>
      <c r="BP227" s="155" t="s">
        <v>1760</v>
      </c>
      <c r="BQ227" s="12" t="s">
        <v>3805</v>
      </c>
      <c r="BR227" s="12">
        <v>46198</v>
      </c>
      <c r="BS227" s="143">
        <f t="shared" ca="1" si="34"/>
        <v>0</v>
      </c>
      <c r="BT227" s="176"/>
      <c r="BU227" s="12"/>
      <c r="BV227" s="143">
        <f t="shared" ca="1" si="35"/>
        <v>0</v>
      </c>
      <c r="BW227" s="12"/>
      <c r="BX227" s="12"/>
      <c r="BY227" s="143"/>
      <c r="BZ227" s="13" t="s">
        <v>2500</v>
      </c>
      <c r="CA227" s="13" t="s">
        <v>2555</v>
      </c>
      <c r="CB227" s="13" t="s">
        <v>2486</v>
      </c>
      <c r="CC227" s="13"/>
      <c r="CD227" s="13"/>
      <c r="CE227" s="198"/>
      <c r="CF227" s="198"/>
      <c r="CG227" s="272"/>
      <c r="CH227" s="272"/>
      <c r="CI227" s="198"/>
      <c r="CJ227" s="198"/>
      <c r="CK227" s="198"/>
      <c r="CL227" s="198"/>
    </row>
    <row r="228" spans="1:90" ht="30" customHeight="1">
      <c r="A228" s="187">
        <v>223</v>
      </c>
      <c r="B228" s="190" t="s">
        <v>2486</v>
      </c>
      <c r="C228" s="190" t="s">
        <v>2487</v>
      </c>
      <c r="D228" s="190" t="s">
        <v>135</v>
      </c>
      <c r="E228" s="8" t="e">
        <f ca="1">+_xlfn.CONCAT(G228,"-",B228,"_",C228,"_",_xlfn.XLOOKUP(BP228,Account!M:M,Account!N:N))</f>
        <v>#NAME?</v>
      </c>
      <c r="F228" s="12">
        <v>45971</v>
      </c>
      <c r="G228" s="190" t="s">
        <v>1906</v>
      </c>
      <c r="H228" s="190" t="s">
        <v>3797</v>
      </c>
      <c r="I228" s="10" t="s">
        <v>1907</v>
      </c>
      <c r="J228" s="190">
        <v>7</v>
      </c>
      <c r="K228" s="190" t="s">
        <v>2038</v>
      </c>
      <c r="L228" s="190" t="s">
        <v>2894</v>
      </c>
      <c r="M228" s="190" t="s">
        <v>3798</v>
      </c>
      <c r="N228" s="10" t="s">
        <v>3799</v>
      </c>
      <c r="O228" s="178" t="s">
        <v>3800</v>
      </c>
      <c r="P228" s="178" t="s">
        <v>3801</v>
      </c>
      <c r="Q228" s="327">
        <v>9236.07</v>
      </c>
      <c r="R228" s="190">
        <v>52</v>
      </c>
      <c r="S228" s="190" t="s">
        <v>3686</v>
      </c>
      <c r="T228" s="6" t="s">
        <v>2494</v>
      </c>
      <c r="U228" s="6" t="s">
        <v>2495</v>
      </c>
      <c r="V228" s="8" t="s">
        <v>2011</v>
      </c>
      <c r="W228" s="10" t="s">
        <v>3148</v>
      </c>
      <c r="X228" s="9"/>
      <c r="Y228" s="172" t="s">
        <v>2496</v>
      </c>
      <c r="Z228" s="172">
        <v>46092</v>
      </c>
      <c r="AA228" s="172">
        <v>46098</v>
      </c>
      <c r="AB228" s="143" t="str">
        <f t="shared" ca="1" si="29"/>
        <v>Expired</v>
      </c>
      <c r="AC228" s="13"/>
      <c r="AD228" s="12">
        <v>46015</v>
      </c>
      <c r="AE228" s="12">
        <v>46027</v>
      </c>
      <c r="AF228" s="12">
        <v>46096</v>
      </c>
      <c r="AG228" s="12"/>
      <c r="AH228" s="11">
        <v>46095</v>
      </c>
      <c r="AI228" s="11"/>
      <c r="AJ228" s="11"/>
      <c r="AK228" s="11"/>
      <c r="AL228" s="11"/>
      <c r="AM228" s="11"/>
      <c r="AN228" s="11"/>
      <c r="AO228" s="11" t="str">
        <f>+IF(AM228&lt;&gt;"","ATP App MS",IF(AJ228&lt;&gt;"","Inbound",IF(AH228&lt;&gt;"","Dismantle Perangkat",IF(AF228="Drop","Drop",IF(AE228&lt;&gt;"","Survey Report",IF(AD228&lt;&gt;"","Survey","NY Survey"))))))</f>
        <v>Dismantle Perangkat</v>
      </c>
      <c r="AP228" s="185" t="s">
        <v>3806</v>
      </c>
      <c r="AQ228" s="12">
        <v>46037</v>
      </c>
      <c r="AR228" s="12">
        <v>46071</v>
      </c>
      <c r="AS228" s="12">
        <v>46037</v>
      </c>
      <c r="AT228" s="12"/>
      <c r="AU228" s="12">
        <v>46072</v>
      </c>
      <c r="AV228" s="12"/>
      <c r="AW228" s="11" t="str">
        <f t="shared" si="30"/>
        <v>Upload 1st BOQ &amp; BAN Isaac</v>
      </c>
      <c r="AX228" s="12"/>
      <c r="AY228" s="12"/>
      <c r="AZ228" s="12"/>
      <c r="BA228" s="12"/>
      <c r="BB228" s="12"/>
      <c r="BC228" s="12"/>
      <c r="BD228" s="11" t="str">
        <f t="shared" si="31"/>
        <v>NY Submit</v>
      </c>
      <c r="BE228" s="174" t="s">
        <v>3728</v>
      </c>
      <c r="BF228" s="12">
        <v>46027</v>
      </c>
      <c r="BG228" s="12">
        <v>46027</v>
      </c>
      <c r="BH228" s="10" t="s">
        <v>3803</v>
      </c>
      <c r="BI228" s="12">
        <v>46027</v>
      </c>
      <c r="BJ228" s="12">
        <v>46028</v>
      </c>
      <c r="BK228" s="174"/>
      <c r="BL228" s="12" t="str">
        <f t="shared" si="32"/>
        <v>Approved</v>
      </c>
      <c r="BM228" s="12" t="str">
        <f t="shared" si="33"/>
        <v>Approved</v>
      </c>
      <c r="BN228" s="12">
        <v>46204</v>
      </c>
      <c r="BO228" s="12">
        <v>46204</v>
      </c>
      <c r="BP228" s="155" t="s">
        <v>2011</v>
      </c>
      <c r="BQ228" s="12" t="s">
        <v>2718</v>
      </c>
      <c r="BR228" s="12">
        <v>46079</v>
      </c>
      <c r="BS228" s="143">
        <f t="shared" ca="1" si="34"/>
        <v>0</v>
      </c>
      <c r="BT228" s="176"/>
      <c r="BU228" s="12"/>
      <c r="BV228" s="143">
        <f t="shared" ca="1" si="35"/>
        <v>0</v>
      </c>
      <c r="BW228" s="12"/>
      <c r="BX228" s="12"/>
      <c r="BY228" s="143"/>
      <c r="BZ228" s="13" t="s">
        <v>2500</v>
      </c>
      <c r="CA228" s="13" t="s">
        <v>2555</v>
      </c>
      <c r="CB228" s="13" t="s">
        <v>2486</v>
      </c>
      <c r="CC228" s="13"/>
      <c r="CD228" s="13"/>
      <c r="CE228" s="198"/>
      <c r="CF228" s="198"/>
      <c r="CG228" s="272"/>
      <c r="CH228" s="272"/>
      <c r="CI228" s="198"/>
      <c r="CJ228" s="198"/>
      <c r="CK228" s="198"/>
      <c r="CL228" s="198"/>
    </row>
    <row r="229" spans="1:90" ht="30" customHeight="1">
      <c r="A229" s="181">
        <v>224</v>
      </c>
      <c r="B229" s="190" t="s">
        <v>2486</v>
      </c>
      <c r="C229" s="190" t="s">
        <v>2487</v>
      </c>
      <c r="D229" s="190" t="s">
        <v>135</v>
      </c>
      <c r="E229" s="8" t="e">
        <f ca="1">+_xlfn.CONCAT(G229,"-",B229,"_",C229,"_",_xlfn.XLOOKUP(BP229,Account!M:M,Account!N:N))</f>
        <v>#NAME?</v>
      </c>
      <c r="F229" s="12">
        <v>45971</v>
      </c>
      <c r="G229" s="190" t="s">
        <v>1906</v>
      </c>
      <c r="H229" s="190" t="s">
        <v>3797</v>
      </c>
      <c r="I229" s="10" t="s">
        <v>1907</v>
      </c>
      <c r="J229" s="190">
        <v>7</v>
      </c>
      <c r="K229" s="190" t="s">
        <v>2038</v>
      </c>
      <c r="L229" s="190" t="s">
        <v>2894</v>
      </c>
      <c r="M229" s="190" t="s">
        <v>3798</v>
      </c>
      <c r="N229" s="10" t="s">
        <v>3799</v>
      </c>
      <c r="O229" s="178" t="s">
        <v>3800</v>
      </c>
      <c r="P229" s="178" t="s">
        <v>3801</v>
      </c>
      <c r="Q229" s="327">
        <v>9236.07</v>
      </c>
      <c r="R229" s="190">
        <v>52</v>
      </c>
      <c r="S229" s="190" t="s">
        <v>3686</v>
      </c>
      <c r="T229" s="6" t="s">
        <v>2494</v>
      </c>
      <c r="U229" s="6" t="s">
        <v>2495</v>
      </c>
      <c r="V229" s="8" t="s">
        <v>1768</v>
      </c>
      <c r="W229" s="10" t="s">
        <v>3148</v>
      </c>
      <c r="X229" s="9"/>
      <c r="Y229" s="172" t="s">
        <v>2496</v>
      </c>
      <c r="Z229" s="172">
        <v>46092</v>
      </c>
      <c r="AA229" s="172">
        <v>46098</v>
      </c>
      <c r="AB229" s="143" t="str">
        <f t="shared" ca="1" si="29"/>
        <v>Expired</v>
      </c>
      <c r="AC229" s="13"/>
      <c r="AD229" s="12">
        <v>46015</v>
      </c>
      <c r="AE229" s="12">
        <v>46027</v>
      </c>
      <c r="AF229" s="12">
        <v>46096</v>
      </c>
      <c r="AG229" s="12"/>
      <c r="AH229" s="11"/>
      <c r="AI229" s="11"/>
      <c r="AJ229" s="11"/>
      <c r="AK229" s="11">
        <v>46099</v>
      </c>
      <c r="AL229" s="11"/>
      <c r="AM229" s="11"/>
      <c r="AN229" s="11"/>
      <c r="AO229" s="11" t="str">
        <f>+IF(AM229&lt;&gt;"","ATP App MS",IF(AL229&lt;&gt;"","OA/RFS",IF(AK229&lt;&gt;"","Install",IF(AH229&lt;&gt;"","Dismantle Perangkat",IF(AF229="Drop","Drop",IF(AE229&lt;&gt;"","Survey Report",IF(AD229&lt;&gt;"","Survey","NY Survey")))))))</f>
        <v>Install</v>
      </c>
      <c r="AP229" s="185" t="s">
        <v>3807</v>
      </c>
      <c r="AQ229" s="12">
        <v>46037</v>
      </c>
      <c r="AR229" s="12">
        <v>46071</v>
      </c>
      <c r="AS229" s="12">
        <v>46037</v>
      </c>
      <c r="AT229" s="12"/>
      <c r="AU229" s="12">
        <v>46072</v>
      </c>
      <c r="AV229" s="12"/>
      <c r="AW229" s="11" t="str">
        <f t="shared" si="30"/>
        <v>Upload 1st BOQ &amp; BAN Isaac</v>
      </c>
      <c r="AX229" s="12">
        <v>46119</v>
      </c>
      <c r="AY229" s="12"/>
      <c r="AZ229" s="12"/>
      <c r="BA229" s="12">
        <v>46227</v>
      </c>
      <c r="BB229" s="12">
        <v>46231</v>
      </c>
      <c r="BC229" s="12">
        <v>46231</v>
      </c>
      <c r="BD229" s="11" t="str">
        <f t="shared" si="31"/>
        <v>2nd BOQ App on ISAAC</v>
      </c>
      <c r="BE229" s="174" t="s">
        <v>3728</v>
      </c>
      <c r="BF229" s="12">
        <v>46027</v>
      </c>
      <c r="BG229" s="12">
        <v>46027</v>
      </c>
      <c r="BH229" s="10" t="s">
        <v>3803</v>
      </c>
      <c r="BI229" s="12">
        <v>46027</v>
      </c>
      <c r="BJ229" s="12">
        <v>46028</v>
      </c>
      <c r="BK229" s="174"/>
      <c r="BL229" s="12" t="str">
        <f t="shared" si="32"/>
        <v>Approved</v>
      </c>
      <c r="BM229" s="12" t="str">
        <f t="shared" si="33"/>
        <v>Approved</v>
      </c>
      <c r="BN229" s="12">
        <v>46204</v>
      </c>
      <c r="BO229" s="12">
        <v>46204</v>
      </c>
      <c r="BP229" s="155" t="s">
        <v>1768</v>
      </c>
      <c r="BQ229" s="12" t="s">
        <v>3808</v>
      </c>
      <c r="BR229" s="12">
        <v>46079</v>
      </c>
      <c r="BS229" s="143">
        <f t="shared" ca="1" si="34"/>
        <v>0</v>
      </c>
      <c r="BT229" s="176" t="s">
        <v>3106</v>
      </c>
      <c r="BU229" s="12"/>
      <c r="BV229" s="143">
        <f t="shared" ca="1" si="35"/>
        <v>8</v>
      </c>
      <c r="BW229" s="12"/>
      <c r="BX229" s="12"/>
      <c r="BY229" s="143"/>
      <c r="BZ229" s="13" t="s">
        <v>3809</v>
      </c>
      <c r="CA229" s="13" t="s">
        <v>2555</v>
      </c>
      <c r="CB229" s="13" t="s">
        <v>2486</v>
      </c>
      <c r="CC229" s="13"/>
      <c r="CD229" s="13"/>
      <c r="CE229" s="198" t="s">
        <v>3810</v>
      </c>
      <c r="CF229" s="198" t="s">
        <v>3811</v>
      </c>
      <c r="CG229" s="272"/>
      <c r="CH229" s="272"/>
      <c r="CI229" s="198"/>
      <c r="CJ229" s="198"/>
      <c r="CK229" s="198"/>
      <c r="CL229" s="198"/>
    </row>
    <row r="230" spans="1:90">
      <c r="A230" s="187">
        <v>225</v>
      </c>
      <c r="B230" s="190" t="s">
        <v>2486</v>
      </c>
      <c r="C230" s="190" t="s">
        <v>2487</v>
      </c>
      <c r="D230" s="190" t="s">
        <v>135</v>
      </c>
      <c r="E230" s="8" t="e">
        <f ca="1">+_xlfn.CONCAT(G230,"-",B230,"_",C230,"_",_xlfn.XLOOKUP(BP230,Account!M:M,Account!N:N))</f>
        <v>#NAME?</v>
      </c>
      <c r="F230" s="12">
        <v>45958</v>
      </c>
      <c r="G230" s="190" t="s">
        <v>855</v>
      </c>
      <c r="H230" s="190" t="s">
        <v>3692</v>
      </c>
      <c r="I230" s="10" t="s">
        <v>856</v>
      </c>
      <c r="J230" s="190">
        <v>10</v>
      </c>
      <c r="K230" s="190" t="s">
        <v>2486</v>
      </c>
      <c r="L230" s="190" t="s">
        <v>3156</v>
      </c>
      <c r="M230" s="190" t="s">
        <v>3362</v>
      </c>
      <c r="N230" s="10" t="s">
        <v>3693</v>
      </c>
      <c r="O230" s="178" t="s">
        <v>3694</v>
      </c>
      <c r="P230" s="178" t="s">
        <v>3695</v>
      </c>
      <c r="Q230" s="327">
        <v>3068.8915000000002</v>
      </c>
      <c r="R230" s="190">
        <v>31</v>
      </c>
      <c r="S230" s="190" t="s">
        <v>404</v>
      </c>
      <c r="T230" s="190" t="s">
        <v>2494</v>
      </c>
      <c r="U230" s="190" t="s">
        <v>2495</v>
      </c>
      <c r="V230" s="8" t="s">
        <v>2011</v>
      </c>
      <c r="W230" s="10" t="s">
        <v>3148</v>
      </c>
      <c r="X230" s="9"/>
      <c r="Y230" s="12" t="s">
        <v>2496</v>
      </c>
      <c r="Z230" s="172">
        <v>45975</v>
      </c>
      <c r="AA230" s="172">
        <v>45982</v>
      </c>
      <c r="AB230" s="143" t="str">
        <f t="shared" ca="1" si="29"/>
        <v>Expired</v>
      </c>
      <c r="AC230" s="13"/>
      <c r="AD230" s="12">
        <v>45960</v>
      </c>
      <c r="AE230" s="12">
        <v>45960</v>
      </c>
      <c r="AF230" s="12"/>
      <c r="AG230" s="12"/>
      <c r="AH230" s="11">
        <v>45993</v>
      </c>
      <c r="AI230" s="11"/>
      <c r="AJ230" s="11">
        <v>46091</v>
      </c>
      <c r="AK230" s="11"/>
      <c r="AL230" s="11"/>
      <c r="AM230" s="11">
        <v>46091</v>
      </c>
      <c r="AN230" s="11">
        <v>46091</v>
      </c>
      <c r="AO230" s="11" t="str">
        <f>+IF(AM230&lt;&gt;"","ATP App MS",IF(AJ230&lt;&gt;"","Inbound",IF(AH230&lt;&gt;"","Dismantle Perangkat",IF(AF230="Drop","Drop",IF(AE230&lt;&gt;"","Survey Report",IF(AD230&lt;&gt;"","Survey","NY Survey"))))))</f>
        <v>ATP App MS</v>
      </c>
      <c r="AP230" s="173" t="s">
        <v>3812</v>
      </c>
      <c r="AQ230" s="12">
        <v>45980</v>
      </c>
      <c r="AR230" s="12">
        <v>45987</v>
      </c>
      <c r="AS230" s="12">
        <v>45988</v>
      </c>
      <c r="AT230" s="12"/>
      <c r="AU230" s="12">
        <v>45988</v>
      </c>
      <c r="AV230" s="12">
        <v>45988</v>
      </c>
      <c r="AW230" s="11" t="str">
        <f t="shared" si="30"/>
        <v>1st BOQ App on ISAAC</v>
      </c>
      <c r="AX230" s="12"/>
      <c r="AY230" s="12"/>
      <c r="AZ230" s="12"/>
      <c r="BA230" s="12"/>
      <c r="BB230" s="12"/>
      <c r="BC230" s="12"/>
      <c r="BD230" s="11" t="str">
        <f t="shared" si="31"/>
        <v>NY Submit</v>
      </c>
      <c r="BE230" s="174"/>
      <c r="BF230" s="12">
        <v>45960</v>
      </c>
      <c r="BG230" s="12">
        <v>45962</v>
      </c>
      <c r="BH230" s="10" t="s">
        <v>3696</v>
      </c>
      <c r="BI230" s="12">
        <v>45960</v>
      </c>
      <c r="BJ230" s="12">
        <v>45962</v>
      </c>
      <c r="BK230" s="174"/>
      <c r="BL230" s="12" t="str">
        <f t="shared" si="32"/>
        <v>Approved</v>
      </c>
      <c r="BM230" s="12" t="str">
        <f t="shared" si="33"/>
        <v>Approved</v>
      </c>
      <c r="BN230" s="12"/>
      <c r="BO230" s="12"/>
      <c r="BP230" s="155" t="s">
        <v>2011</v>
      </c>
      <c r="BQ230" s="12" t="s">
        <v>2968</v>
      </c>
      <c r="BR230" s="12">
        <v>46000</v>
      </c>
      <c r="BS230" s="143">
        <f t="shared" ca="1" si="34"/>
        <v>12</v>
      </c>
      <c r="BT230" s="176"/>
      <c r="BU230" s="12"/>
      <c r="BV230" s="143">
        <f t="shared" ca="1" si="35"/>
        <v>0</v>
      </c>
      <c r="BW230" s="12"/>
      <c r="BX230" s="12"/>
      <c r="BY230" s="143"/>
      <c r="BZ230" s="13"/>
      <c r="CA230" s="13"/>
      <c r="CB230" s="13"/>
      <c r="CC230" s="13"/>
      <c r="CD230" s="13"/>
      <c r="CE230" s="198"/>
      <c r="CF230" s="198"/>
      <c r="CG230" s="272"/>
      <c r="CH230" s="272"/>
      <c r="CI230" s="198"/>
      <c r="CJ230" s="198"/>
      <c r="CK230" s="198"/>
      <c r="CL230" s="198"/>
    </row>
    <row r="231" spans="1:90">
      <c r="A231" s="187">
        <v>226</v>
      </c>
      <c r="B231" s="190" t="s">
        <v>2486</v>
      </c>
      <c r="C231" s="190" t="s">
        <v>2487</v>
      </c>
      <c r="D231" s="190" t="s">
        <v>135</v>
      </c>
      <c r="E231" s="8" t="e">
        <f ca="1">+_xlfn.CONCAT(G231,"-",B231,"_",C231,"_",_xlfn.XLOOKUP(BP231,Account!M:M,Account!N:N))</f>
        <v>#NAME?</v>
      </c>
      <c r="F231" s="12">
        <v>45981</v>
      </c>
      <c r="G231" s="190" t="s">
        <v>3813</v>
      </c>
      <c r="H231" s="190" t="s">
        <v>3814</v>
      </c>
      <c r="I231" s="10" t="s">
        <v>3815</v>
      </c>
      <c r="J231" s="190">
        <v>20</v>
      </c>
      <c r="K231" s="190" t="s">
        <v>2486</v>
      </c>
      <c r="L231" s="190" t="s">
        <v>3816</v>
      </c>
      <c r="M231" s="190" t="s">
        <v>3817</v>
      </c>
      <c r="N231" s="10" t="s">
        <v>3818</v>
      </c>
      <c r="O231" s="178" t="s">
        <v>3819</v>
      </c>
      <c r="P231" s="178" t="s">
        <v>3820</v>
      </c>
      <c r="Q231" s="327">
        <v>805.62</v>
      </c>
      <c r="R231" s="190" t="s">
        <v>3821</v>
      </c>
      <c r="S231" s="190"/>
      <c r="T231" s="190" t="s">
        <v>2518</v>
      </c>
      <c r="U231" s="190" t="s">
        <v>2565</v>
      </c>
      <c r="V231" s="8" t="s">
        <v>1760</v>
      </c>
      <c r="W231" s="10"/>
      <c r="X231" s="9"/>
      <c r="Y231" s="172"/>
      <c r="Z231" s="172"/>
      <c r="AA231" s="172"/>
      <c r="AB231" s="143" t="str">
        <f t="shared" ca="1" si="29"/>
        <v>NY Submit</v>
      </c>
      <c r="AC231" s="13"/>
      <c r="AD231" s="12">
        <v>45996</v>
      </c>
      <c r="AE231" s="12">
        <v>45999</v>
      </c>
      <c r="AF231" s="12"/>
      <c r="AG231" s="12">
        <v>46014</v>
      </c>
      <c r="AH231" s="11"/>
      <c r="AI231" s="11">
        <v>46050</v>
      </c>
      <c r="AJ231" s="11"/>
      <c r="AK231" s="11"/>
      <c r="AL231" s="11"/>
      <c r="AM231" s="11"/>
      <c r="AN231" s="11"/>
      <c r="AO231" s="11" t="str">
        <f>+IF(AN231&lt;&gt;"","BAST",IF(AI231&lt;&gt;"","Dismantle",IF(AG231&lt;&gt;"","RFD App",IF(AF231="Drop","Drop",IF(AE231&lt;&gt;"","Survey Report",IF(AD231&lt;&gt;"","Survey","NY Survey"))))))</f>
        <v>Dismantle</v>
      </c>
      <c r="AP231" s="173"/>
      <c r="AQ231" s="12">
        <v>46014</v>
      </c>
      <c r="AR231" s="12">
        <v>46030</v>
      </c>
      <c r="AS231" s="12">
        <v>46014</v>
      </c>
      <c r="AT231" s="12"/>
      <c r="AU231" s="12">
        <v>46030</v>
      </c>
      <c r="AV231" s="12">
        <v>46036</v>
      </c>
      <c r="AW231" s="11" t="str">
        <f t="shared" si="30"/>
        <v>1st BOQ App on ISAAC</v>
      </c>
      <c r="AX231" s="12"/>
      <c r="AY231" s="12"/>
      <c r="AZ231" s="12"/>
      <c r="BA231" s="12"/>
      <c r="BB231" s="12"/>
      <c r="BC231" s="12"/>
      <c r="BD231" s="11" t="str">
        <f t="shared" si="31"/>
        <v>NY Submit</v>
      </c>
      <c r="BE231" s="174" t="s">
        <v>3822</v>
      </c>
      <c r="BF231" s="12">
        <v>45999</v>
      </c>
      <c r="BG231" s="12">
        <v>46003</v>
      </c>
      <c r="BH231" s="10" t="s">
        <v>3823</v>
      </c>
      <c r="BI231" s="12">
        <v>46003</v>
      </c>
      <c r="BJ231" s="12">
        <v>46003</v>
      </c>
      <c r="BK231" s="174" t="s">
        <v>3824</v>
      </c>
      <c r="BL231" s="12" t="str">
        <f t="shared" si="32"/>
        <v>Approved</v>
      </c>
      <c r="BM231" s="12" t="str">
        <f t="shared" si="33"/>
        <v>Approved</v>
      </c>
      <c r="BN231" s="12">
        <v>46055</v>
      </c>
      <c r="BO231" s="12">
        <v>46055</v>
      </c>
      <c r="BP231" s="155" t="s">
        <v>1760</v>
      </c>
      <c r="BQ231" s="12" t="s">
        <v>3825</v>
      </c>
      <c r="BR231" s="12">
        <v>46037</v>
      </c>
      <c r="BS231" s="143">
        <f t="shared" ref="BS231:BS262" ca="1" si="37">IF(AO231="Drop",
"Drop",
IF(ISBLANK(AV231),
0,
IF(ISBLANK(BR231),
DATEDIF(AV231,TODAY(),"d"),
DATEDIF(AV231,BR231,"d")
)
)
)</f>
        <v>1</v>
      </c>
      <c r="BT231" s="176"/>
      <c r="BU231" s="12"/>
      <c r="BV231" s="143">
        <f t="shared" ref="BV231:BV262" ca="1" si="38">IF(AO231="Drop",
"Drop",
IF(ISBLANK(BC231),
0,
IF(ISBLANK(BU231),
DATEDIF(BC231,TODAY(),"d"),
DATEDIF(BC231,BU231,"d")
)
)
)</f>
        <v>0</v>
      </c>
      <c r="BW231" s="12"/>
      <c r="BX231" s="12"/>
      <c r="BY231" s="143"/>
      <c r="BZ231" s="13" t="s">
        <v>2500</v>
      </c>
      <c r="CA231" s="13" t="s">
        <v>2555</v>
      </c>
      <c r="CB231" s="13" t="s">
        <v>2486</v>
      </c>
      <c r="CC231" s="13"/>
      <c r="CD231" s="13"/>
      <c r="CE231" s="198"/>
      <c r="CF231" s="198"/>
      <c r="CG231" s="272"/>
      <c r="CH231" s="272"/>
      <c r="CI231" s="198"/>
      <c r="CJ231" s="198"/>
      <c r="CK231" s="198"/>
      <c r="CL231" s="198"/>
    </row>
    <row r="232" spans="1:90" ht="30" customHeight="1">
      <c r="A232" s="187">
        <v>227</v>
      </c>
      <c r="B232" s="190" t="s">
        <v>2486</v>
      </c>
      <c r="C232" s="190" t="s">
        <v>2487</v>
      </c>
      <c r="D232" s="190" t="s">
        <v>135</v>
      </c>
      <c r="E232" s="8" t="e">
        <f ca="1">+_xlfn.CONCAT(G232,"-",B232,"_",C232,"_",_xlfn.XLOOKUP(BP232,Account!M:M,Account!N:N))</f>
        <v>#NAME?</v>
      </c>
      <c r="F232" s="12">
        <v>45964</v>
      </c>
      <c r="G232" s="190" t="s">
        <v>683</v>
      </c>
      <c r="H232" s="190" t="s">
        <v>3763</v>
      </c>
      <c r="I232" s="10" t="s">
        <v>684</v>
      </c>
      <c r="J232" s="190">
        <v>7</v>
      </c>
      <c r="K232" s="190" t="s">
        <v>2486</v>
      </c>
      <c r="L232" s="190" t="s">
        <v>2894</v>
      </c>
      <c r="M232" s="190" t="s">
        <v>3375</v>
      </c>
      <c r="N232" s="10" t="s">
        <v>3764</v>
      </c>
      <c r="O232" s="178" t="s">
        <v>3765</v>
      </c>
      <c r="P232" s="178" t="s">
        <v>3766</v>
      </c>
      <c r="Q232" s="327">
        <v>2906.38</v>
      </c>
      <c r="R232" s="190">
        <v>20</v>
      </c>
      <c r="S232" s="190"/>
      <c r="T232" s="190" t="s">
        <v>2518</v>
      </c>
      <c r="U232" s="190" t="s">
        <v>2519</v>
      </c>
      <c r="V232" s="8" t="s">
        <v>2011</v>
      </c>
      <c r="W232" s="10"/>
      <c r="X232" s="9"/>
      <c r="Y232" s="172" t="s">
        <v>3722</v>
      </c>
      <c r="Z232" s="172">
        <v>46005</v>
      </c>
      <c r="AA232" s="172">
        <v>46012</v>
      </c>
      <c r="AB232" s="143" t="str">
        <f t="shared" ca="1" si="29"/>
        <v>Expired</v>
      </c>
      <c r="AC232" s="13"/>
      <c r="AD232" s="12">
        <v>45969</v>
      </c>
      <c r="AE232" s="12">
        <v>45969</v>
      </c>
      <c r="AF232" s="12"/>
      <c r="AG232" s="12"/>
      <c r="AH232" s="11">
        <v>46016</v>
      </c>
      <c r="AI232" s="11"/>
      <c r="AJ232" s="11">
        <v>46085</v>
      </c>
      <c r="AK232" s="11"/>
      <c r="AL232" s="11"/>
      <c r="AM232" s="11"/>
      <c r="AN232" s="11"/>
      <c r="AO232" s="11" t="str">
        <f>+IF(AM232&lt;&gt;"","ATP App MS",IF(AJ232&lt;&gt;"","Inbound",IF(AH232&lt;&gt;"","Dismantle Perangkat",IF(AF232="Drop","Drop",IF(AE232&lt;&gt;"","Survey Report",IF(AD232&lt;&gt;"","Survey","NY Survey"))))))</f>
        <v>Inbound</v>
      </c>
      <c r="AP232" s="185" t="s">
        <v>3826</v>
      </c>
      <c r="AQ232" s="12">
        <v>45986</v>
      </c>
      <c r="AR232" s="12">
        <v>45992</v>
      </c>
      <c r="AS232" s="12">
        <v>45995</v>
      </c>
      <c r="AT232" s="12"/>
      <c r="AU232" s="12">
        <v>45995</v>
      </c>
      <c r="AV232" s="12">
        <v>45996</v>
      </c>
      <c r="AW232" s="11" t="str">
        <f t="shared" si="30"/>
        <v>1st BOQ App on ISAAC</v>
      </c>
      <c r="AX232" s="12"/>
      <c r="AY232" s="12"/>
      <c r="AZ232" s="12"/>
      <c r="BA232" s="12"/>
      <c r="BB232" s="12"/>
      <c r="BC232" s="12"/>
      <c r="BD232" s="11" t="str">
        <f t="shared" si="31"/>
        <v>NY Submit</v>
      </c>
      <c r="BE232" s="174"/>
      <c r="BF232" s="12"/>
      <c r="BG232" s="12"/>
      <c r="BH232" s="10"/>
      <c r="BI232" s="12"/>
      <c r="BJ232" s="12"/>
      <c r="BK232" s="174"/>
      <c r="BL232" s="12" t="str">
        <f t="shared" si="32"/>
        <v>NY Submit</v>
      </c>
      <c r="BM232" s="12" t="str">
        <f t="shared" si="33"/>
        <v>NY Submit</v>
      </c>
      <c r="BN232" s="12"/>
      <c r="BO232" s="12"/>
      <c r="BP232" s="155" t="s">
        <v>2011</v>
      </c>
      <c r="BQ232" s="12" t="s">
        <v>2968</v>
      </c>
      <c r="BR232" s="12">
        <v>46008</v>
      </c>
      <c r="BS232" s="143">
        <f t="shared" ca="1" si="37"/>
        <v>12</v>
      </c>
      <c r="BT232" s="176"/>
      <c r="BU232" s="12"/>
      <c r="BV232" s="143">
        <f t="shared" ca="1" si="38"/>
        <v>0</v>
      </c>
      <c r="BW232" s="12"/>
      <c r="BX232" s="12"/>
      <c r="BY232" s="143"/>
      <c r="BZ232" s="13" t="s">
        <v>2500</v>
      </c>
      <c r="CA232" s="13"/>
      <c r="CB232" s="13"/>
      <c r="CC232" s="13"/>
      <c r="CD232" s="13"/>
      <c r="CE232" s="198"/>
      <c r="CF232" s="198"/>
      <c r="CG232" s="272"/>
      <c r="CH232" s="272"/>
      <c r="CI232" s="198"/>
      <c r="CJ232" s="198"/>
      <c r="CK232" s="198"/>
      <c r="CL232" s="198"/>
    </row>
    <row r="233" spans="1:90">
      <c r="A233" s="187">
        <v>228</v>
      </c>
      <c r="B233" s="190" t="s">
        <v>2486</v>
      </c>
      <c r="C233" s="190" t="s">
        <v>2487</v>
      </c>
      <c r="D233" s="190" t="s">
        <v>135</v>
      </c>
      <c r="E233" s="8" t="e">
        <f ca="1">+_xlfn.CONCAT(G233,"-",B233,"_",C233,"_",_xlfn.XLOOKUP(BP233,Account!M:M,Account!N:N))</f>
        <v>#NAME?</v>
      </c>
      <c r="F233" s="12">
        <v>45995</v>
      </c>
      <c r="G233" s="190" t="s">
        <v>3827</v>
      </c>
      <c r="H233" s="190" t="s">
        <v>3828</v>
      </c>
      <c r="I233" s="10" t="s">
        <v>3829</v>
      </c>
      <c r="J233" s="190">
        <v>10</v>
      </c>
      <c r="K233" s="190" t="s">
        <v>2486</v>
      </c>
      <c r="L233" s="190" t="s">
        <v>3156</v>
      </c>
      <c r="M233" s="190" t="s">
        <v>3830</v>
      </c>
      <c r="N233" s="10" t="s">
        <v>3831</v>
      </c>
      <c r="O233" s="178" t="s">
        <v>3832</v>
      </c>
      <c r="P233" s="178" t="s">
        <v>3833</v>
      </c>
      <c r="Q233" s="327">
        <v>436.3</v>
      </c>
      <c r="R233" s="190">
        <v>6</v>
      </c>
      <c r="S233" s="190"/>
      <c r="T233" s="190" t="s">
        <v>2518</v>
      </c>
      <c r="U233" s="190" t="s">
        <v>2565</v>
      </c>
      <c r="V233" s="8" t="s">
        <v>1760</v>
      </c>
      <c r="W233" s="10" t="s">
        <v>3148</v>
      </c>
      <c r="X233" s="9"/>
      <c r="Y233" s="172"/>
      <c r="Z233" s="172"/>
      <c r="AA233" s="172"/>
      <c r="AB233" s="143" t="str">
        <f t="shared" ca="1" si="29"/>
        <v>NY Submit</v>
      </c>
      <c r="AC233" s="13"/>
      <c r="AD233" s="12"/>
      <c r="AE233" s="12"/>
      <c r="AF233" s="12" t="s">
        <v>3628</v>
      </c>
      <c r="AG233" s="12"/>
      <c r="AH233" s="11"/>
      <c r="AI233" s="11"/>
      <c r="AJ233" s="11"/>
      <c r="AK233" s="11"/>
      <c r="AL233" s="11"/>
      <c r="AM233" s="11"/>
      <c r="AN233" s="11"/>
      <c r="AO233" s="11" t="str">
        <f>+IF(AN233&lt;&gt;"","BAST",IF(AI233&lt;&gt;"","Dismantle",IF(AG233&lt;&gt;"","RFD App",IF(AF233="Drop","Drop",IF(AE233&lt;&gt;"","Survey Report",IF(AD233&lt;&gt;"","Survey","NY Survey"))))))</f>
        <v>Drop</v>
      </c>
      <c r="AP233" s="173"/>
      <c r="AQ233" s="12"/>
      <c r="AR233" s="12"/>
      <c r="AS233" s="12"/>
      <c r="AT233" s="12"/>
      <c r="AU233" s="12"/>
      <c r="AV233" s="12"/>
      <c r="AW233" s="11" t="str">
        <f t="shared" si="30"/>
        <v>NY Submit</v>
      </c>
      <c r="AX233" s="12"/>
      <c r="AY233" s="12"/>
      <c r="AZ233" s="12"/>
      <c r="BA233" s="12"/>
      <c r="BB233" s="12"/>
      <c r="BC233" s="12"/>
      <c r="BD233" s="11" t="str">
        <f t="shared" si="31"/>
        <v>NY Submit</v>
      </c>
      <c r="BE233" s="174"/>
      <c r="BF233" s="12"/>
      <c r="BG233" s="12"/>
      <c r="BH233" s="10"/>
      <c r="BI233" s="12"/>
      <c r="BJ233" s="12"/>
      <c r="BK233" s="174"/>
      <c r="BL233" s="12" t="str">
        <f t="shared" si="32"/>
        <v>NY Submit</v>
      </c>
      <c r="BM233" s="12" t="str">
        <f t="shared" si="33"/>
        <v>NY Submit</v>
      </c>
      <c r="BN233" s="12"/>
      <c r="BO233" s="12"/>
      <c r="BP233" s="155" t="s">
        <v>1760</v>
      </c>
      <c r="BQ233" s="12" t="s">
        <v>2526</v>
      </c>
      <c r="BR233" s="12"/>
      <c r="BS233" s="143" t="str">
        <f t="shared" ca="1" si="37"/>
        <v>Drop</v>
      </c>
      <c r="BT233" s="176"/>
      <c r="BU233" s="12"/>
      <c r="BV233" s="143" t="str">
        <f t="shared" ca="1" si="38"/>
        <v>Drop</v>
      </c>
      <c r="BW233" s="12"/>
      <c r="BX233" s="12"/>
      <c r="BY233" s="143"/>
      <c r="BZ233" s="13" t="s">
        <v>2526</v>
      </c>
      <c r="CA233" s="13"/>
      <c r="CB233" s="13"/>
      <c r="CC233" s="13"/>
      <c r="CD233" s="13"/>
      <c r="CE233" s="198"/>
      <c r="CF233" s="198"/>
      <c r="CG233" s="272"/>
      <c r="CH233" s="272"/>
      <c r="CI233" s="198"/>
      <c r="CJ233" s="198"/>
      <c r="CK233" s="198"/>
      <c r="CL233" s="198"/>
    </row>
    <row r="234" spans="1:90" ht="60" customHeight="1">
      <c r="A234" s="187">
        <v>229</v>
      </c>
      <c r="B234" s="190" t="s">
        <v>2486</v>
      </c>
      <c r="C234" s="190" t="s">
        <v>2487</v>
      </c>
      <c r="D234" s="190" t="s">
        <v>135</v>
      </c>
      <c r="E234" s="8" t="e">
        <f ca="1">+_xlfn.CONCAT(G234,"-",B234,"_",C234,"_",_xlfn.XLOOKUP(BP234,Account!M:M,Account!N:N))</f>
        <v>#NAME?</v>
      </c>
      <c r="F234" s="12">
        <v>45937</v>
      </c>
      <c r="G234" s="190" t="s">
        <v>913</v>
      </c>
      <c r="H234" s="190" t="s">
        <v>3602</v>
      </c>
      <c r="I234" s="10" t="s">
        <v>914</v>
      </c>
      <c r="J234" s="190">
        <v>15</v>
      </c>
      <c r="K234" s="190" t="s">
        <v>2038</v>
      </c>
      <c r="L234" s="190" t="s">
        <v>1279</v>
      </c>
      <c r="M234" s="190" t="s">
        <v>3603</v>
      </c>
      <c r="N234" s="10" t="s">
        <v>3604</v>
      </c>
      <c r="O234" s="178" t="s">
        <v>3605</v>
      </c>
      <c r="P234" s="178" t="s">
        <v>3606</v>
      </c>
      <c r="Q234" s="327">
        <v>22120.78</v>
      </c>
      <c r="R234" s="190">
        <v>70</v>
      </c>
      <c r="S234" s="190" t="s">
        <v>2930</v>
      </c>
      <c r="T234" s="190" t="s">
        <v>2494</v>
      </c>
      <c r="U234" s="190" t="s">
        <v>2495</v>
      </c>
      <c r="V234" s="8" t="s">
        <v>2011</v>
      </c>
      <c r="W234" s="10"/>
      <c r="X234" s="9"/>
      <c r="Y234" s="172"/>
      <c r="Z234" s="172"/>
      <c r="AA234" s="172"/>
      <c r="AB234" s="143" t="str">
        <f t="shared" ca="1" si="29"/>
        <v>NY Submit</v>
      </c>
      <c r="AC234" s="13"/>
      <c r="AD234" s="12">
        <v>45933</v>
      </c>
      <c r="AE234" s="12">
        <v>45572</v>
      </c>
      <c r="AF234" s="12"/>
      <c r="AG234" s="12"/>
      <c r="AH234" s="11">
        <v>46064</v>
      </c>
      <c r="AI234" s="11"/>
      <c r="AJ234" s="11">
        <v>46124</v>
      </c>
      <c r="AK234" s="11"/>
      <c r="AL234" s="11"/>
      <c r="AM234" s="11">
        <v>46071</v>
      </c>
      <c r="AN234" s="11"/>
      <c r="AO234" s="11" t="str">
        <f>+IF(AM234&lt;&gt;"","ATP App MS",IF(AJ234&lt;&gt;"","Inbound",IF(AH234&lt;&gt;"","Dismantle Perangkat",IF(AF234="Drop","Drop",IF(AE234&lt;&gt;"","Survey Report",IF(AD234&lt;&gt;"","Survey","NY Survey"))))))</f>
        <v>ATP App MS</v>
      </c>
      <c r="AP234" s="185" t="s">
        <v>3834</v>
      </c>
      <c r="AQ234" s="12">
        <v>46002</v>
      </c>
      <c r="AR234" s="12">
        <v>46010</v>
      </c>
      <c r="AS234" s="12">
        <v>46003</v>
      </c>
      <c r="AT234" s="12"/>
      <c r="AU234" s="12">
        <v>46010</v>
      </c>
      <c r="AV234" s="12">
        <v>46010</v>
      </c>
      <c r="AW234" s="11" t="str">
        <f t="shared" si="30"/>
        <v>1st BOQ App on ISAAC</v>
      </c>
      <c r="AX234" s="12"/>
      <c r="AY234" s="12"/>
      <c r="AZ234" s="12"/>
      <c r="BA234" s="12"/>
      <c r="BB234" s="12"/>
      <c r="BC234" s="12"/>
      <c r="BD234" s="11" t="str">
        <f t="shared" si="31"/>
        <v>NY Submit</v>
      </c>
      <c r="BE234" s="174"/>
      <c r="BF234" s="199">
        <v>45937</v>
      </c>
      <c r="BG234" s="12">
        <v>45937</v>
      </c>
      <c r="BH234" s="10" t="s">
        <v>3608</v>
      </c>
      <c r="BI234" s="12">
        <v>45937</v>
      </c>
      <c r="BJ234" s="12">
        <v>45572</v>
      </c>
      <c r="BK234" s="174"/>
      <c r="BL234" s="12" t="str">
        <f t="shared" si="32"/>
        <v>Approved</v>
      </c>
      <c r="BM234" s="12" t="str">
        <f t="shared" si="33"/>
        <v>Approved</v>
      </c>
      <c r="BN234" s="12"/>
      <c r="BO234" s="12"/>
      <c r="BP234" s="155" t="s">
        <v>2011</v>
      </c>
      <c r="BQ234" s="12" t="s">
        <v>2968</v>
      </c>
      <c r="BR234" s="12">
        <v>46022</v>
      </c>
      <c r="BS234" s="143">
        <f t="shared" ca="1" si="37"/>
        <v>12</v>
      </c>
      <c r="BT234" s="176"/>
      <c r="BU234" s="12"/>
      <c r="BV234" s="143">
        <f t="shared" ca="1" si="38"/>
        <v>0</v>
      </c>
      <c r="BW234" s="12"/>
      <c r="BX234" s="12"/>
      <c r="BY234" s="143"/>
      <c r="BZ234" s="13" t="s">
        <v>2500</v>
      </c>
      <c r="CA234" s="13"/>
      <c r="CB234" s="13"/>
      <c r="CC234" s="13"/>
      <c r="CD234" s="13"/>
      <c r="CE234" s="198"/>
      <c r="CF234" s="198"/>
      <c r="CG234" s="272"/>
      <c r="CH234" s="272"/>
      <c r="CI234" s="198"/>
      <c r="CJ234" s="198"/>
      <c r="CK234" s="198" t="s">
        <v>3835</v>
      </c>
      <c r="CL234" s="198"/>
    </row>
    <row r="235" spans="1:90">
      <c r="A235" s="187">
        <v>230</v>
      </c>
      <c r="B235" s="190" t="s">
        <v>2486</v>
      </c>
      <c r="C235" s="190" t="s">
        <v>2487</v>
      </c>
      <c r="D235" s="190" t="s">
        <v>135</v>
      </c>
      <c r="E235" s="8" t="e">
        <f ca="1">+_xlfn.CONCAT(G235,"-",B235,"_",C235,"_",_xlfn.XLOOKUP(BP235,Account!M:M,Account!N:N))</f>
        <v>#NAME?</v>
      </c>
      <c r="F235" s="12">
        <v>45964</v>
      </c>
      <c r="G235" s="190" t="s">
        <v>1847</v>
      </c>
      <c r="H235" s="190" t="s">
        <v>3751</v>
      </c>
      <c r="I235" s="10" t="s">
        <v>1848</v>
      </c>
      <c r="J235" s="190">
        <v>7</v>
      </c>
      <c r="K235" s="190" t="s">
        <v>2486</v>
      </c>
      <c r="L235" s="190" t="s">
        <v>2894</v>
      </c>
      <c r="M235" s="190" t="s">
        <v>3752</v>
      </c>
      <c r="N235" s="10" t="s">
        <v>3753</v>
      </c>
      <c r="O235" s="178" t="s">
        <v>3754</v>
      </c>
      <c r="P235" s="178" t="s">
        <v>3755</v>
      </c>
      <c r="Q235" s="327">
        <v>853.60050000000001</v>
      </c>
      <c r="R235" s="190">
        <v>6</v>
      </c>
      <c r="S235" s="190"/>
      <c r="T235" s="190" t="s">
        <v>2518</v>
      </c>
      <c r="U235" s="190" t="s">
        <v>2565</v>
      </c>
      <c r="V235" s="8" t="s">
        <v>2011</v>
      </c>
      <c r="W235" s="10"/>
      <c r="X235" s="9"/>
      <c r="Y235" s="172" t="s">
        <v>2432</v>
      </c>
      <c r="Z235" s="172">
        <v>45966</v>
      </c>
      <c r="AA235" s="172">
        <v>45979</v>
      </c>
      <c r="AB235" s="143" t="str">
        <f t="shared" ca="1" si="29"/>
        <v>Expired</v>
      </c>
      <c r="AC235" s="13"/>
      <c r="AD235" s="12">
        <v>45938</v>
      </c>
      <c r="AE235" s="12">
        <v>45971</v>
      </c>
      <c r="AF235" s="12"/>
      <c r="AG235" s="12"/>
      <c r="AH235" s="11">
        <v>46007</v>
      </c>
      <c r="AI235" s="11"/>
      <c r="AJ235" s="11"/>
      <c r="AK235" s="11"/>
      <c r="AL235" s="11"/>
      <c r="AM235" s="11">
        <v>46139</v>
      </c>
      <c r="AN235" s="11">
        <v>46139</v>
      </c>
      <c r="AO235" s="11" t="str">
        <f>+IF(AM235&lt;&gt;"","ATP App MS",IF(AJ235&lt;&gt;"","Inbound",IF(AH235&lt;&gt;"","Dismantle Perangkat",IF(AF235="Drop","Drop",IF(AE235&lt;&gt;"","Survey Report",IF(AD235&lt;&gt;"","Survey","NY Survey"))))))</f>
        <v>ATP App MS</v>
      </c>
      <c r="AP235" s="173" t="s">
        <v>3836</v>
      </c>
      <c r="AQ235" s="12">
        <v>46003</v>
      </c>
      <c r="AR235" s="12">
        <v>46006</v>
      </c>
      <c r="AS235" s="12">
        <v>46003</v>
      </c>
      <c r="AT235" s="12"/>
      <c r="AU235" s="12">
        <v>46006</v>
      </c>
      <c r="AV235" s="12"/>
      <c r="AW235" s="11" t="str">
        <f t="shared" si="30"/>
        <v>Upload 1st BOQ &amp; BAN Isaac</v>
      </c>
      <c r="AX235" s="12"/>
      <c r="AY235" s="12"/>
      <c r="AZ235" s="12"/>
      <c r="BA235" s="12"/>
      <c r="BB235" s="12"/>
      <c r="BC235" s="12"/>
      <c r="BD235" s="11" t="str">
        <f t="shared" si="31"/>
        <v>NY Submit</v>
      </c>
      <c r="BE235" s="174"/>
      <c r="BF235" s="12">
        <v>45971</v>
      </c>
      <c r="BG235" s="12">
        <v>45972</v>
      </c>
      <c r="BH235" s="10" t="s">
        <v>3756</v>
      </c>
      <c r="BI235" s="12">
        <v>45971</v>
      </c>
      <c r="BJ235" s="12">
        <v>45973</v>
      </c>
      <c r="BK235" s="174"/>
      <c r="BL235" s="12" t="str">
        <f t="shared" si="32"/>
        <v>Approved</v>
      </c>
      <c r="BM235" s="12" t="str">
        <f t="shared" si="33"/>
        <v>Approved</v>
      </c>
      <c r="BN235" s="12"/>
      <c r="BO235" s="12"/>
      <c r="BP235" s="155" t="s">
        <v>2011</v>
      </c>
      <c r="BQ235" s="12" t="s">
        <v>2718</v>
      </c>
      <c r="BR235" s="12">
        <v>46050</v>
      </c>
      <c r="BS235" s="143">
        <f t="shared" ca="1" si="37"/>
        <v>0</v>
      </c>
      <c r="BT235" s="176"/>
      <c r="BU235" s="12"/>
      <c r="BV235" s="143">
        <f t="shared" ca="1" si="38"/>
        <v>0</v>
      </c>
      <c r="BW235" s="12"/>
      <c r="BX235" s="12"/>
      <c r="BY235" s="143"/>
      <c r="BZ235" s="13" t="s">
        <v>2500</v>
      </c>
      <c r="CA235" s="13"/>
      <c r="CB235" s="13"/>
      <c r="CC235" s="13"/>
      <c r="CD235" s="13"/>
      <c r="CE235" s="198"/>
      <c r="CF235" s="198"/>
      <c r="CG235" s="272"/>
      <c r="CH235" s="272"/>
      <c r="CI235" s="198"/>
      <c r="CJ235" s="198"/>
      <c r="CK235" s="198"/>
      <c r="CL235" s="198"/>
    </row>
    <row r="236" spans="1:90" ht="30" customHeight="1">
      <c r="A236" s="187">
        <v>231</v>
      </c>
      <c r="B236" s="190" t="s">
        <v>2486</v>
      </c>
      <c r="C236" s="190" t="s">
        <v>2487</v>
      </c>
      <c r="D236" s="190" t="s">
        <v>135</v>
      </c>
      <c r="E236" s="8" t="e">
        <f ca="1">+_xlfn.CONCAT(G236,"-",B236,"_",C236,"_",_xlfn.XLOOKUP(BP236,Account!M:M,Account!N:N))</f>
        <v>#NAME?</v>
      </c>
      <c r="F236" s="12">
        <v>45964</v>
      </c>
      <c r="G236" s="190" t="s">
        <v>1847</v>
      </c>
      <c r="H236" s="190" t="s">
        <v>3751</v>
      </c>
      <c r="I236" s="10" t="s">
        <v>1848</v>
      </c>
      <c r="J236" s="190">
        <v>7</v>
      </c>
      <c r="K236" s="190" t="s">
        <v>2486</v>
      </c>
      <c r="L236" s="190" t="s">
        <v>2894</v>
      </c>
      <c r="M236" s="190" t="s">
        <v>3752</v>
      </c>
      <c r="N236" s="10" t="s">
        <v>3837</v>
      </c>
      <c r="O236" s="178" t="s">
        <v>3754</v>
      </c>
      <c r="P236" s="178" t="s">
        <v>3755</v>
      </c>
      <c r="Q236" s="327">
        <v>853.60050000000001</v>
      </c>
      <c r="R236" s="190">
        <v>6</v>
      </c>
      <c r="S236" s="190"/>
      <c r="T236" s="190" t="s">
        <v>2518</v>
      </c>
      <c r="U236" s="190" t="s">
        <v>2565</v>
      </c>
      <c r="V236" s="8" t="s">
        <v>1768</v>
      </c>
      <c r="W236" s="10" t="s">
        <v>3148</v>
      </c>
      <c r="X236" s="9"/>
      <c r="Y236" s="172" t="s">
        <v>2432</v>
      </c>
      <c r="Z236" s="172">
        <v>45966</v>
      </c>
      <c r="AA236" s="172">
        <v>45979</v>
      </c>
      <c r="AB236" s="143" t="str">
        <f t="shared" ca="1" si="29"/>
        <v>Expired</v>
      </c>
      <c r="AC236" s="13"/>
      <c r="AD236" s="12">
        <v>45938</v>
      </c>
      <c r="AE236" s="12">
        <v>45971</v>
      </c>
      <c r="AF236" s="12"/>
      <c r="AG236" s="12"/>
      <c r="AH236" s="11"/>
      <c r="AI236" s="11"/>
      <c r="AJ236" s="11"/>
      <c r="AK236" s="11">
        <v>46008</v>
      </c>
      <c r="AL236" s="11"/>
      <c r="AM236" s="11">
        <v>46139</v>
      </c>
      <c r="AN236" s="11">
        <v>46139</v>
      </c>
      <c r="AO236" s="11" t="str">
        <f>+IF(AM236&lt;&gt;"","ATP App MS",IF(AL236&lt;&gt;"","OA/RFS",IF(AK236&lt;&gt;"","Install",IF(AH236&lt;&gt;"","Dismantle Perangkat",IF(AF236="Drop","Drop",IF(AE236&lt;&gt;"","Survey Report",IF(AD236&lt;&gt;"","Survey","NY Survey")))))))</f>
        <v>ATP App MS</v>
      </c>
      <c r="AP236" s="185" t="s">
        <v>3838</v>
      </c>
      <c r="AQ236" s="12">
        <v>46003</v>
      </c>
      <c r="AR236" s="12">
        <v>46006</v>
      </c>
      <c r="AS236" s="12">
        <v>46003</v>
      </c>
      <c r="AT236" s="12"/>
      <c r="AU236" s="12">
        <v>46006</v>
      </c>
      <c r="AV236" s="12"/>
      <c r="AW236" s="11" t="str">
        <f t="shared" si="30"/>
        <v>Upload 1st BOQ &amp; BAN Isaac</v>
      </c>
      <c r="AX236" s="12"/>
      <c r="AY236" s="12"/>
      <c r="AZ236" s="12"/>
      <c r="BA236" s="12"/>
      <c r="BB236" s="12"/>
      <c r="BC236" s="12"/>
      <c r="BD236" s="11" t="str">
        <f t="shared" si="31"/>
        <v>NY Submit</v>
      </c>
      <c r="BE236" s="174"/>
      <c r="BF236" s="12">
        <v>45971</v>
      </c>
      <c r="BG236" s="12">
        <v>45972</v>
      </c>
      <c r="BH236" s="10" t="s">
        <v>3756</v>
      </c>
      <c r="BI236" s="12">
        <v>45971</v>
      </c>
      <c r="BJ236" s="12">
        <v>45973</v>
      </c>
      <c r="BK236" s="174"/>
      <c r="BL236" s="12" t="str">
        <f t="shared" si="32"/>
        <v>Approved</v>
      </c>
      <c r="BM236" s="12" t="str">
        <f t="shared" si="33"/>
        <v>Approved</v>
      </c>
      <c r="BN236" s="12"/>
      <c r="BO236" s="12"/>
      <c r="BP236" s="155" t="s">
        <v>1768</v>
      </c>
      <c r="BQ236" s="176" t="s">
        <v>3839</v>
      </c>
      <c r="BR236" s="12">
        <v>46063</v>
      </c>
      <c r="BS236" s="143">
        <f t="shared" ca="1" si="37"/>
        <v>0</v>
      </c>
      <c r="BT236" s="176" t="s">
        <v>3840</v>
      </c>
      <c r="BU236" s="12">
        <v>46063</v>
      </c>
      <c r="BV236" s="143">
        <f t="shared" ca="1" si="38"/>
        <v>0</v>
      </c>
      <c r="BW236" s="176"/>
      <c r="BX236" s="12"/>
      <c r="BY236" s="143"/>
      <c r="BZ236" s="13" t="s">
        <v>2500</v>
      </c>
      <c r="CA236" s="13"/>
      <c r="CB236" s="13"/>
      <c r="CC236" s="13"/>
      <c r="CD236" s="13"/>
      <c r="CE236" s="198" t="s">
        <v>3759</v>
      </c>
      <c r="CF236" s="198" t="s">
        <v>3841</v>
      </c>
      <c r="CG236" s="272"/>
      <c r="CH236" s="272"/>
      <c r="CI236" s="198"/>
      <c r="CJ236" s="198"/>
      <c r="CK236" s="198"/>
      <c r="CL236" s="198"/>
    </row>
    <row r="237" spans="1:90">
      <c r="A237" s="187">
        <v>232</v>
      </c>
      <c r="B237" s="190" t="s">
        <v>2486</v>
      </c>
      <c r="C237" s="190" t="s">
        <v>2487</v>
      </c>
      <c r="D237" s="190" t="s">
        <v>135</v>
      </c>
      <c r="E237" s="8" t="e">
        <f ca="1">+_xlfn.CONCAT(G237,"-",B237,"_",C237,"_",_xlfn.XLOOKUP(BP237,Account!M:M,Account!N:N))</f>
        <v>#NAME?</v>
      </c>
      <c r="F237" s="12">
        <v>46002</v>
      </c>
      <c r="G237" s="190" t="s">
        <v>53</v>
      </c>
      <c r="H237" s="190" t="s">
        <v>3842</v>
      </c>
      <c r="I237" s="10" t="s">
        <v>54</v>
      </c>
      <c r="J237" s="190">
        <v>1</v>
      </c>
      <c r="K237" s="190" t="s">
        <v>2486</v>
      </c>
      <c r="L237" s="190" t="s">
        <v>1419</v>
      </c>
      <c r="M237" s="190" t="s">
        <v>3843</v>
      </c>
      <c r="N237" s="10" t="s">
        <v>3844</v>
      </c>
      <c r="O237" s="178" t="s">
        <v>3845</v>
      </c>
      <c r="P237" s="178" t="s">
        <v>3846</v>
      </c>
      <c r="Q237" s="327">
        <v>13212.913</v>
      </c>
      <c r="R237" s="190">
        <v>71</v>
      </c>
      <c r="S237" s="190" t="s">
        <v>404</v>
      </c>
      <c r="T237" s="190" t="s">
        <v>2494</v>
      </c>
      <c r="U237" s="190" t="s">
        <v>3330</v>
      </c>
      <c r="V237" s="8" t="s">
        <v>1760</v>
      </c>
      <c r="W237" s="10"/>
      <c r="X237" s="9"/>
      <c r="Y237" s="172" t="s">
        <v>2432</v>
      </c>
      <c r="Z237" s="172">
        <v>46004</v>
      </c>
      <c r="AA237" s="172">
        <v>46018</v>
      </c>
      <c r="AB237" s="143" t="str">
        <f t="shared" ca="1" si="29"/>
        <v>Expired</v>
      </c>
      <c r="AC237" s="13"/>
      <c r="AD237" s="12">
        <v>46007</v>
      </c>
      <c r="AE237" s="12">
        <v>46007</v>
      </c>
      <c r="AF237" s="12">
        <v>46174</v>
      </c>
      <c r="AG237" s="12">
        <v>46160</v>
      </c>
      <c r="AH237" s="11"/>
      <c r="AI237" s="11">
        <v>46184</v>
      </c>
      <c r="AJ237" s="11"/>
      <c r="AK237" s="11"/>
      <c r="AL237" s="11"/>
      <c r="AM237" s="11"/>
      <c r="AN237" s="11">
        <v>46185</v>
      </c>
      <c r="AO237" s="11" t="str">
        <f>+IF(AN237&lt;&gt;"","BAST",IF(AI237&lt;&gt;"","Dismantle",IF(AG237&lt;&gt;"","RFD App",IF(AF237="Drop","Drop",IF(AE237&lt;&gt;"","Survey Report",IF(AD237&lt;&gt;"","Survey","NY Survey"))))))</f>
        <v>BAST</v>
      </c>
      <c r="AP237" s="173" t="s">
        <v>3847</v>
      </c>
      <c r="AQ237" s="12">
        <v>46120</v>
      </c>
      <c r="AR237" s="12">
        <v>46125</v>
      </c>
      <c r="AS237" s="12">
        <v>46121</v>
      </c>
      <c r="AT237" s="12">
        <v>46148</v>
      </c>
      <c r="AU237" s="12">
        <v>46150</v>
      </c>
      <c r="AV237" s="12">
        <v>46154</v>
      </c>
      <c r="AW237" s="11" t="str">
        <f t="shared" si="30"/>
        <v>1st BOQ App on ISAAC</v>
      </c>
      <c r="AX237" s="12"/>
      <c r="AY237" s="12"/>
      <c r="AZ237" s="12"/>
      <c r="BA237" s="12"/>
      <c r="BB237" s="12"/>
      <c r="BC237" s="12"/>
      <c r="BD237" s="11" t="str">
        <f t="shared" si="31"/>
        <v>NY Submit</v>
      </c>
      <c r="BE237" s="174" t="s">
        <v>3848</v>
      </c>
      <c r="BF237" s="12">
        <v>46007</v>
      </c>
      <c r="BG237" s="12">
        <v>46009</v>
      </c>
      <c r="BH237" s="10" t="s">
        <v>3849</v>
      </c>
      <c r="BI237" s="12">
        <v>46019</v>
      </c>
      <c r="BJ237" s="12">
        <v>46022</v>
      </c>
      <c r="BK237" s="174" t="s">
        <v>3850</v>
      </c>
      <c r="BL237" s="12" t="str">
        <f t="shared" si="32"/>
        <v>Approved</v>
      </c>
      <c r="BM237" s="12" t="str">
        <f t="shared" si="33"/>
        <v>Approved</v>
      </c>
      <c r="BN237" s="12">
        <v>46185</v>
      </c>
      <c r="BO237" s="12">
        <v>46185</v>
      </c>
      <c r="BP237" s="155" t="s">
        <v>1760</v>
      </c>
      <c r="BQ237" s="12" t="s">
        <v>3851</v>
      </c>
      <c r="BR237" s="12">
        <v>46210</v>
      </c>
      <c r="BS237" s="143">
        <f t="shared" ca="1" si="37"/>
        <v>56</v>
      </c>
      <c r="BT237" s="176"/>
      <c r="BU237" s="12"/>
      <c r="BV237" s="143">
        <f t="shared" ca="1" si="38"/>
        <v>0</v>
      </c>
      <c r="BW237" s="12"/>
      <c r="BX237" s="12"/>
      <c r="BY237" s="143"/>
      <c r="BZ237" s="13" t="s">
        <v>2500</v>
      </c>
      <c r="CA237" s="13" t="s">
        <v>2555</v>
      </c>
      <c r="CB237" s="13"/>
      <c r="CC237" s="13"/>
      <c r="CD237" s="13"/>
      <c r="CE237" s="198" t="s">
        <v>62</v>
      </c>
      <c r="CF237" s="198" t="s">
        <v>54</v>
      </c>
      <c r="CG237" s="273" t="s">
        <v>63</v>
      </c>
      <c r="CH237" s="273" t="s">
        <v>64</v>
      </c>
      <c r="CI237" s="198"/>
      <c r="CJ237" s="198"/>
      <c r="CK237" s="198"/>
      <c r="CL237" s="198"/>
    </row>
    <row r="238" spans="1:90" ht="30" customHeight="1">
      <c r="A238" s="187">
        <v>233</v>
      </c>
      <c r="B238" s="190" t="s">
        <v>2486</v>
      </c>
      <c r="C238" s="190" t="s">
        <v>2487</v>
      </c>
      <c r="D238" s="190" t="s">
        <v>135</v>
      </c>
      <c r="E238" s="8" t="e">
        <f ca="1">+_xlfn.CONCAT(G238,"-",B238,"_",C238,"_",_xlfn.XLOOKUP(BP238,Account!M:M,Account!N:N))</f>
        <v>#NAME?</v>
      </c>
      <c r="F238" s="12">
        <v>46002</v>
      </c>
      <c r="G238" s="190" t="s">
        <v>53</v>
      </c>
      <c r="H238" s="190" t="s">
        <v>3842</v>
      </c>
      <c r="I238" s="10" t="s">
        <v>54</v>
      </c>
      <c r="J238" s="190">
        <v>1</v>
      </c>
      <c r="K238" s="190" t="s">
        <v>2486</v>
      </c>
      <c r="L238" s="190" t="s">
        <v>1419</v>
      </c>
      <c r="M238" s="190" t="s">
        <v>3843</v>
      </c>
      <c r="N238" s="198" t="s">
        <v>3844</v>
      </c>
      <c r="O238" s="178" t="s">
        <v>3845</v>
      </c>
      <c r="P238" s="178" t="s">
        <v>3846</v>
      </c>
      <c r="Q238" s="327">
        <v>13212.913</v>
      </c>
      <c r="R238" s="190">
        <v>71</v>
      </c>
      <c r="S238" s="190" t="s">
        <v>404</v>
      </c>
      <c r="T238" s="190" t="s">
        <v>2494</v>
      </c>
      <c r="U238" s="190" t="s">
        <v>3330</v>
      </c>
      <c r="V238" s="8" t="s">
        <v>2011</v>
      </c>
      <c r="W238" s="10"/>
      <c r="X238" s="9"/>
      <c r="Y238" s="172" t="s">
        <v>2432</v>
      </c>
      <c r="Z238" s="172">
        <v>46004</v>
      </c>
      <c r="AA238" s="172">
        <v>46018</v>
      </c>
      <c r="AB238" s="143" t="str">
        <f t="shared" ca="1" si="29"/>
        <v>Expired</v>
      </c>
      <c r="AC238" s="13"/>
      <c r="AD238" s="12">
        <v>46007</v>
      </c>
      <c r="AE238" s="12">
        <v>46007</v>
      </c>
      <c r="AF238" s="12">
        <v>46174</v>
      </c>
      <c r="AG238" s="12"/>
      <c r="AH238" s="11">
        <v>46168</v>
      </c>
      <c r="AI238" s="11"/>
      <c r="AJ238" s="11"/>
      <c r="AK238" s="11"/>
      <c r="AL238" s="11"/>
      <c r="AM238" s="11">
        <v>46191</v>
      </c>
      <c r="AN238" s="11"/>
      <c r="AO238" s="11" t="str">
        <f>+IF(AM238&lt;&gt;"","ATP App MS",IF(AJ238&lt;&gt;"","Inbound",IF(AH238&lt;&gt;"","Dismantle Perangkat",IF(AF238="Drop","Drop",IF(AE238&lt;&gt;"","Survey Report",IF(AD238&lt;&gt;"","Survey","NY Survey"))))))</f>
        <v>ATP App MS</v>
      </c>
      <c r="AP238" s="173"/>
      <c r="AQ238" s="12">
        <v>46120</v>
      </c>
      <c r="AR238" s="12">
        <v>46125</v>
      </c>
      <c r="AS238" s="12">
        <v>46121</v>
      </c>
      <c r="AT238" s="12">
        <v>46148</v>
      </c>
      <c r="AU238" s="12">
        <v>46150</v>
      </c>
      <c r="AV238" s="12">
        <v>46154</v>
      </c>
      <c r="AW238" s="11" t="str">
        <f t="shared" si="30"/>
        <v>1st BOQ App on ISAAC</v>
      </c>
      <c r="AX238" s="12"/>
      <c r="AY238" s="12"/>
      <c r="AZ238" s="12"/>
      <c r="BA238" s="12"/>
      <c r="BB238" s="12"/>
      <c r="BC238" s="12"/>
      <c r="BD238" s="11" t="str">
        <f t="shared" si="31"/>
        <v>NY Submit</v>
      </c>
      <c r="BE238" s="174" t="s">
        <v>3848</v>
      </c>
      <c r="BF238" s="12">
        <v>46007</v>
      </c>
      <c r="BG238" s="12">
        <v>46009</v>
      </c>
      <c r="BH238" s="10" t="s">
        <v>3849</v>
      </c>
      <c r="BI238" s="12">
        <v>46019</v>
      </c>
      <c r="BJ238" s="12">
        <v>46022</v>
      </c>
      <c r="BK238" s="174"/>
      <c r="BL238" s="12" t="str">
        <f t="shared" si="32"/>
        <v>Approved</v>
      </c>
      <c r="BM238" s="12" t="str">
        <f t="shared" si="33"/>
        <v>Approved</v>
      </c>
      <c r="BN238" s="12"/>
      <c r="BO238" s="12"/>
      <c r="BP238" s="155" t="s">
        <v>2011</v>
      </c>
      <c r="BQ238" s="12" t="s">
        <v>2718</v>
      </c>
      <c r="BR238" s="12">
        <v>46210</v>
      </c>
      <c r="BS238" s="143">
        <f t="shared" ca="1" si="37"/>
        <v>56</v>
      </c>
      <c r="BT238" s="176"/>
      <c r="BU238" s="12"/>
      <c r="BV238" s="143">
        <f t="shared" ca="1" si="38"/>
        <v>0</v>
      </c>
      <c r="BW238" s="12"/>
      <c r="BX238" s="12"/>
      <c r="BY238" s="143"/>
      <c r="BZ238" s="13" t="s">
        <v>2500</v>
      </c>
      <c r="CA238" s="13" t="s">
        <v>2984</v>
      </c>
      <c r="CB238" s="13"/>
      <c r="CC238" s="13"/>
      <c r="CD238" s="13"/>
      <c r="CE238" s="198" t="s">
        <v>62</v>
      </c>
      <c r="CF238" s="198" t="s">
        <v>54</v>
      </c>
      <c r="CG238" s="273" t="s">
        <v>63</v>
      </c>
      <c r="CH238" s="273" t="s">
        <v>64</v>
      </c>
      <c r="CI238" s="198"/>
      <c r="CJ238" s="198" t="s">
        <v>65</v>
      </c>
      <c r="CK238" s="198"/>
      <c r="CL238" s="198"/>
    </row>
    <row r="239" spans="1:90" ht="30" customHeight="1">
      <c r="A239" s="181">
        <v>234</v>
      </c>
      <c r="B239" s="190" t="s">
        <v>2486</v>
      </c>
      <c r="C239" s="190" t="s">
        <v>2487</v>
      </c>
      <c r="D239" s="190" t="s">
        <v>135</v>
      </c>
      <c r="E239" s="8" t="e">
        <f ca="1">+_xlfn.CONCAT(G239,"-",B239,"_",C239,"_",_xlfn.XLOOKUP(BP239,Account!M:M,Account!N:N))</f>
        <v>#NAME?</v>
      </c>
      <c r="F239" s="12">
        <v>46002</v>
      </c>
      <c r="G239" s="190" t="s">
        <v>53</v>
      </c>
      <c r="H239" s="190" t="s">
        <v>3842</v>
      </c>
      <c r="I239" s="10" t="s">
        <v>54</v>
      </c>
      <c r="J239" s="190">
        <v>1</v>
      </c>
      <c r="K239" s="190" t="s">
        <v>2486</v>
      </c>
      <c r="L239" s="190" t="s">
        <v>1419</v>
      </c>
      <c r="M239" s="190" t="s">
        <v>3843</v>
      </c>
      <c r="N239" s="10" t="s">
        <v>3844</v>
      </c>
      <c r="O239" s="178" t="s">
        <v>3845</v>
      </c>
      <c r="P239" s="178" t="s">
        <v>3846</v>
      </c>
      <c r="Q239" s="327">
        <v>13212.913</v>
      </c>
      <c r="R239" s="190">
        <v>71</v>
      </c>
      <c r="S239" s="190" t="s">
        <v>404</v>
      </c>
      <c r="T239" s="190" t="s">
        <v>2494</v>
      </c>
      <c r="U239" s="190" t="s">
        <v>3330</v>
      </c>
      <c r="V239" s="8" t="s">
        <v>1768</v>
      </c>
      <c r="W239" s="10"/>
      <c r="X239" s="9"/>
      <c r="Y239" s="172" t="s">
        <v>2432</v>
      </c>
      <c r="Z239" s="172">
        <v>46004</v>
      </c>
      <c r="AA239" s="172">
        <v>46018</v>
      </c>
      <c r="AB239" s="143" t="str">
        <f t="shared" ca="1" si="29"/>
        <v>Expired</v>
      </c>
      <c r="AC239" s="13"/>
      <c r="AD239" s="12">
        <v>46007</v>
      </c>
      <c r="AE239" s="12">
        <v>46007</v>
      </c>
      <c r="AF239" s="12">
        <v>46174</v>
      </c>
      <c r="AG239" s="12"/>
      <c r="AH239" s="11">
        <v>46168</v>
      </c>
      <c r="AI239" s="11"/>
      <c r="AJ239" s="11"/>
      <c r="AK239" s="11">
        <v>46169</v>
      </c>
      <c r="AL239" s="11">
        <v>46170</v>
      </c>
      <c r="AM239" s="11">
        <v>46191</v>
      </c>
      <c r="AN239" s="11"/>
      <c r="AO239" s="11" t="str">
        <f>+IF(AM239&lt;&gt;"","ATP App MS",IF(AL239&lt;&gt;"","OA/RFS",IF(AK239&lt;&gt;"","Install",IF(AH239&lt;&gt;"","Dismantle Perangkat",IF(AF239="Drop","Drop",IF(AE239&lt;&gt;"","Survey Report",IF(AD239&lt;&gt;"","Survey","NY Survey")))))))</f>
        <v>ATP App MS</v>
      </c>
      <c r="AP239" s="173"/>
      <c r="AQ239" s="12">
        <v>46120</v>
      </c>
      <c r="AR239" s="12">
        <v>46125</v>
      </c>
      <c r="AS239" s="12">
        <v>46121</v>
      </c>
      <c r="AT239" s="12">
        <v>46148</v>
      </c>
      <c r="AU239" s="12">
        <v>46150</v>
      </c>
      <c r="AV239" s="12">
        <v>46154</v>
      </c>
      <c r="AW239" s="11" t="str">
        <f t="shared" si="30"/>
        <v>1st BOQ App on ISAAC</v>
      </c>
      <c r="AX239" s="12">
        <v>46163</v>
      </c>
      <c r="AY239" s="12"/>
      <c r="AZ239" s="12"/>
      <c r="BA239" s="12">
        <v>46227</v>
      </c>
      <c r="BB239" s="12">
        <v>46231</v>
      </c>
      <c r="BC239" s="12">
        <v>46231</v>
      </c>
      <c r="BD239" s="11" t="str">
        <f t="shared" si="31"/>
        <v>2nd BOQ App on ISAAC</v>
      </c>
      <c r="BE239" s="220" t="s">
        <v>3852</v>
      </c>
      <c r="BF239" s="12">
        <v>46007</v>
      </c>
      <c r="BG239" s="12">
        <v>46009</v>
      </c>
      <c r="BH239" s="10" t="s">
        <v>3849</v>
      </c>
      <c r="BI239" s="12">
        <v>46019</v>
      </c>
      <c r="BJ239" s="12">
        <v>46022</v>
      </c>
      <c r="BK239" s="174"/>
      <c r="BL239" s="12" t="str">
        <f t="shared" si="32"/>
        <v>Approved</v>
      </c>
      <c r="BM239" s="12" t="str">
        <f t="shared" si="33"/>
        <v>Approved</v>
      </c>
      <c r="BN239" s="12"/>
      <c r="BO239" s="12"/>
      <c r="BP239" s="155" t="s">
        <v>1768</v>
      </c>
      <c r="BQ239" s="12" t="s">
        <v>3853</v>
      </c>
      <c r="BR239" s="12">
        <v>46210</v>
      </c>
      <c r="BS239" s="143">
        <f t="shared" ca="1" si="37"/>
        <v>56</v>
      </c>
      <c r="BT239" s="176" t="s">
        <v>3106</v>
      </c>
      <c r="BU239" s="12"/>
      <c r="BV239" s="143">
        <f t="shared" ca="1" si="38"/>
        <v>8</v>
      </c>
      <c r="BW239" s="12"/>
      <c r="BX239" s="12"/>
      <c r="BY239" s="143"/>
      <c r="BZ239" s="13" t="s">
        <v>3854</v>
      </c>
      <c r="CA239" s="13" t="s">
        <v>2984</v>
      </c>
      <c r="CB239" s="13"/>
      <c r="CC239" s="13"/>
      <c r="CD239" s="13"/>
      <c r="CE239" s="198" t="s">
        <v>62</v>
      </c>
      <c r="CF239" s="198" t="s">
        <v>54</v>
      </c>
      <c r="CG239" s="273" t="s">
        <v>63</v>
      </c>
      <c r="CH239" s="273" t="s">
        <v>64</v>
      </c>
      <c r="CI239" s="198"/>
      <c r="CJ239" s="198" t="s">
        <v>65</v>
      </c>
      <c r="CK239" s="198"/>
      <c r="CL239" s="198"/>
    </row>
    <row r="240" spans="1:90">
      <c r="A240" s="187">
        <v>235</v>
      </c>
      <c r="B240" s="190" t="s">
        <v>2486</v>
      </c>
      <c r="C240" s="190" t="s">
        <v>2487</v>
      </c>
      <c r="D240" s="190" t="s">
        <v>135</v>
      </c>
      <c r="E240" s="8" t="e">
        <f ca="1">+_xlfn.CONCAT(G240,"-",B240,"_",C240,"_",_xlfn.XLOOKUP(BP240,Account!M:M,Account!N:N))</f>
        <v>#NAME?</v>
      </c>
      <c r="F240" s="12">
        <v>46006</v>
      </c>
      <c r="G240" s="190" t="s">
        <v>2300</v>
      </c>
      <c r="H240" s="190" t="s">
        <v>3855</v>
      </c>
      <c r="I240" s="10" t="s">
        <v>2301</v>
      </c>
      <c r="J240" s="190">
        <v>11</v>
      </c>
      <c r="K240" s="190" t="s">
        <v>2486</v>
      </c>
      <c r="L240" s="190" t="s">
        <v>1263</v>
      </c>
      <c r="M240" s="190" t="s">
        <v>3856</v>
      </c>
      <c r="N240" s="10" t="s">
        <v>3857</v>
      </c>
      <c r="O240" s="178" t="s">
        <v>3858</v>
      </c>
      <c r="P240" s="178" t="s">
        <v>3859</v>
      </c>
      <c r="Q240" s="327">
        <v>13212.913</v>
      </c>
      <c r="R240" s="190">
        <v>71</v>
      </c>
      <c r="S240" s="190"/>
      <c r="T240" s="190" t="s">
        <v>2494</v>
      </c>
      <c r="U240" s="190" t="s">
        <v>2495</v>
      </c>
      <c r="V240" s="8" t="s">
        <v>1760</v>
      </c>
      <c r="W240" s="10"/>
      <c r="X240" s="9"/>
      <c r="Y240" s="172" t="s">
        <v>2432</v>
      </c>
      <c r="Z240" s="172">
        <v>46008</v>
      </c>
      <c r="AA240" s="172">
        <v>46014</v>
      </c>
      <c r="AB240" s="143" t="str">
        <f t="shared" ca="1" si="29"/>
        <v>Expired</v>
      </c>
      <c r="AC240" s="13"/>
      <c r="AD240" s="12">
        <v>46009</v>
      </c>
      <c r="AE240" s="12">
        <v>46009</v>
      </c>
      <c r="AF240" s="12"/>
      <c r="AG240" s="12">
        <v>46028</v>
      </c>
      <c r="AH240" s="11"/>
      <c r="AI240" s="11">
        <v>46046</v>
      </c>
      <c r="AJ240" s="11"/>
      <c r="AK240" s="11"/>
      <c r="AL240" s="11"/>
      <c r="AM240" s="11">
        <v>46048</v>
      </c>
      <c r="AN240" s="11">
        <v>46048</v>
      </c>
      <c r="AO240" s="11" t="str">
        <f t="shared" ref="AO240:AO246" si="39">+IF(AN240&lt;&gt;"","BAST",IF(AI240&lt;&gt;"","Dismantle",IF(AG240&lt;&gt;"","RFD App",IF(AF240="Drop","Drop",IF(AE240&lt;&gt;"","Survey Report",IF(AD240&lt;&gt;"","Survey","NY Survey"))))))</f>
        <v>BAST</v>
      </c>
      <c r="AP240" s="173" t="s">
        <v>3034</v>
      </c>
      <c r="AQ240" s="12">
        <v>46027</v>
      </c>
      <c r="AR240" s="12">
        <v>46036</v>
      </c>
      <c r="AS240" s="12">
        <v>46028</v>
      </c>
      <c r="AT240" s="12"/>
      <c r="AU240" s="12">
        <v>46036</v>
      </c>
      <c r="AV240" s="12">
        <v>46036</v>
      </c>
      <c r="AW240" s="11" t="str">
        <f t="shared" si="30"/>
        <v>1st BOQ App on ISAAC</v>
      </c>
      <c r="AX240" s="12"/>
      <c r="AY240" s="12"/>
      <c r="AZ240" s="12"/>
      <c r="BA240" s="12"/>
      <c r="BB240" s="12"/>
      <c r="BC240" s="12"/>
      <c r="BD240" s="11" t="str">
        <f t="shared" si="31"/>
        <v>NY Submit</v>
      </c>
      <c r="BE240" s="174"/>
      <c r="BF240" s="12">
        <v>46009</v>
      </c>
      <c r="BG240" s="12">
        <v>46010</v>
      </c>
      <c r="BH240" s="10" t="s">
        <v>3860</v>
      </c>
      <c r="BI240" s="12">
        <v>46019</v>
      </c>
      <c r="BJ240" s="12">
        <v>46022</v>
      </c>
      <c r="BK240" s="174" t="s">
        <v>3861</v>
      </c>
      <c r="BL240" s="12" t="str">
        <f t="shared" si="32"/>
        <v>Approved</v>
      </c>
      <c r="BM240" s="12" t="str">
        <f t="shared" si="33"/>
        <v>Approved</v>
      </c>
      <c r="BN240" s="12">
        <v>46049</v>
      </c>
      <c r="BO240" s="12">
        <v>46050</v>
      </c>
      <c r="BP240" s="155" t="s">
        <v>1760</v>
      </c>
      <c r="BQ240" s="12" t="s">
        <v>3862</v>
      </c>
      <c r="BR240" s="12">
        <v>46052</v>
      </c>
      <c r="BS240" s="143">
        <f t="shared" ca="1" si="37"/>
        <v>16</v>
      </c>
      <c r="BT240" s="176"/>
      <c r="BU240" s="12"/>
      <c r="BV240" s="143">
        <f t="shared" ca="1" si="38"/>
        <v>0</v>
      </c>
      <c r="BW240" s="12"/>
      <c r="BX240" s="12"/>
      <c r="BY240" s="143"/>
      <c r="BZ240" s="13" t="s">
        <v>3499</v>
      </c>
      <c r="CA240" s="13" t="s">
        <v>3263</v>
      </c>
      <c r="CB240" s="13" t="s">
        <v>2984</v>
      </c>
      <c r="CC240" s="13"/>
      <c r="CD240" s="13"/>
      <c r="CE240" s="198"/>
      <c r="CF240" s="198"/>
      <c r="CG240" s="272"/>
      <c r="CH240" s="272"/>
      <c r="CI240" s="198"/>
      <c r="CJ240" s="198"/>
      <c r="CK240" s="198"/>
      <c r="CL240" s="198"/>
    </row>
    <row r="241" spans="1:90">
      <c r="A241" s="187">
        <v>236</v>
      </c>
      <c r="B241" s="190" t="s">
        <v>2486</v>
      </c>
      <c r="C241" s="190" t="s">
        <v>2487</v>
      </c>
      <c r="D241" s="190" t="s">
        <v>135</v>
      </c>
      <c r="E241" s="8" t="e">
        <f ca="1">+_xlfn.CONCAT(G241,"-",B241,"_",C241,"_",_xlfn.XLOOKUP(BP241,Account!M:M,Account!N:N))</f>
        <v>#NAME?</v>
      </c>
      <c r="F241" s="12">
        <v>46006</v>
      </c>
      <c r="G241" s="190" t="s">
        <v>2294</v>
      </c>
      <c r="H241" s="190" t="s">
        <v>3863</v>
      </c>
      <c r="I241" s="10" t="s">
        <v>2295</v>
      </c>
      <c r="J241" s="190">
        <v>2</v>
      </c>
      <c r="K241" s="190" t="s">
        <v>2038</v>
      </c>
      <c r="L241" s="190" t="s">
        <v>2780</v>
      </c>
      <c r="M241" s="190" t="s">
        <v>3014</v>
      </c>
      <c r="N241" s="10" t="s">
        <v>3864</v>
      </c>
      <c r="O241" s="178" t="s">
        <v>3865</v>
      </c>
      <c r="P241" s="178" t="s">
        <v>3866</v>
      </c>
      <c r="Q241" s="327">
        <v>6803.7250000000004</v>
      </c>
      <c r="R241" s="190">
        <v>37</v>
      </c>
      <c r="S241" s="190" t="s">
        <v>68</v>
      </c>
      <c r="T241" s="190" t="s">
        <v>2494</v>
      </c>
      <c r="U241" s="190" t="s">
        <v>2495</v>
      </c>
      <c r="V241" s="8" t="s">
        <v>1760</v>
      </c>
      <c r="W241" s="10" t="s">
        <v>3867</v>
      </c>
      <c r="X241" s="15" t="s">
        <v>3868</v>
      </c>
      <c r="Y241" s="172" t="s">
        <v>2432</v>
      </c>
      <c r="Z241" s="172">
        <v>46008</v>
      </c>
      <c r="AA241" s="172">
        <v>46014</v>
      </c>
      <c r="AB241" s="143" t="str">
        <f t="shared" ca="1" si="29"/>
        <v>Expired</v>
      </c>
      <c r="AC241" s="13"/>
      <c r="AD241" s="12">
        <v>46011</v>
      </c>
      <c r="AE241" s="12">
        <v>46011</v>
      </c>
      <c r="AF241" s="12"/>
      <c r="AG241" s="12">
        <v>46048</v>
      </c>
      <c r="AH241" s="11"/>
      <c r="AI241" s="11">
        <v>46084</v>
      </c>
      <c r="AJ241" s="11"/>
      <c r="AK241" s="11"/>
      <c r="AL241" s="11"/>
      <c r="AM241" s="11">
        <v>46086</v>
      </c>
      <c r="AN241" s="11">
        <v>46086</v>
      </c>
      <c r="AO241" s="11" t="str">
        <f t="shared" si="39"/>
        <v>BAST</v>
      </c>
      <c r="AP241" s="173" t="s">
        <v>3869</v>
      </c>
      <c r="AQ241" s="12">
        <v>46030</v>
      </c>
      <c r="AR241" s="12">
        <v>46036</v>
      </c>
      <c r="AS241" s="12">
        <v>46030</v>
      </c>
      <c r="AT241" s="12">
        <v>46037</v>
      </c>
      <c r="AU241" s="12">
        <v>46037</v>
      </c>
      <c r="AV241" s="12">
        <v>46037</v>
      </c>
      <c r="AW241" s="11" t="str">
        <f t="shared" si="30"/>
        <v>1st BOQ App on ISAAC</v>
      </c>
      <c r="AX241" s="12"/>
      <c r="AY241" s="12"/>
      <c r="AZ241" s="12"/>
      <c r="BA241" s="12"/>
      <c r="BB241" s="12"/>
      <c r="BC241" s="12"/>
      <c r="BD241" s="11" t="str">
        <f t="shared" si="31"/>
        <v>NY Submit</v>
      </c>
      <c r="BE241" s="174"/>
      <c r="BF241" s="12">
        <v>46011</v>
      </c>
      <c r="BG241" s="12">
        <v>46013</v>
      </c>
      <c r="BH241" s="10" t="s">
        <v>3870</v>
      </c>
      <c r="BI241" s="12">
        <v>46019</v>
      </c>
      <c r="BJ241" s="12">
        <v>45659</v>
      </c>
      <c r="BK241" s="174" t="s">
        <v>3871</v>
      </c>
      <c r="BL241" s="12" t="str">
        <f t="shared" si="32"/>
        <v>Approved</v>
      </c>
      <c r="BM241" s="12" t="str">
        <f t="shared" si="33"/>
        <v>Approved</v>
      </c>
      <c r="BN241" s="12">
        <v>46086</v>
      </c>
      <c r="BO241" s="12"/>
      <c r="BP241" s="155" t="s">
        <v>1760</v>
      </c>
      <c r="BQ241" s="12" t="s">
        <v>3872</v>
      </c>
      <c r="BR241" s="12">
        <v>46052</v>
      </c>
      <c r="BS241" s="143">
        <f t="shared" ca="1" si="37"/>
        <v>15</v>
      </c>
      <c r="BT241" s="176"/>
      <c r="BU241" s="12"/>
      <c r="BV241" s="143">
        <f t="shared" ca="1" si="38"/>
        <v>0</v>
      </c>
      <c r="BW241" s="12"/>
      <c r="BX241" s="12"/>
      <c r="BY241" s="143"/>
      <c r="BZ241" s="13" t="s">
        <v>2500</v>
      </c>
      <c r="CA241" s="13" t="s">
        <v>2555</v>
      </c>
      <c r="CB241" s="13" t="s">
        <v>2486</v>
      </c>
      <c r="CC241" s="13"/>
      <c r="CD241" s="13"/>
      <c r="CE241" s="198"/>
      <c r="CF241" s="198"/>
      <c r="CG241" s="272"/>
      <c r="CH241" s="272"/>
      <c r="CI241" s="198"/>
      <c r="CJ241" s="198"/>
      <c r="CK241" s="198"/>
      <c r="CL241" s="198"/>
    </row>
    <row r="242" spans="1:90">
      <c r="A242" s="187">
        <v>237</v>
      </c>
      <c r="B242" s="190" t="s">
        <v>2486</v>
      </c>
      <c r="C242" s="190" t="s">
        <v>2487</v>
      </c>
      <c r="D242" s="190" t="s">
        <v>135</v>
      </c>
      <c r="E242" s="8" t="e">
        <f ca="1">+_xlfn.CONCAT(G242,"-",B242,"_",C242,"_",_xlfn.XLOOKUP(BP242,Account!M:M,Account!N:N))</f>
        <v>#NAME?</v>
      </c>
      <c r="F242" s="12">
        <v>46006</v>
      </c>
      <c r="G242" s="157" t="s">
        <v>3873</v>
      </c>
      <c r="H242" s="190" t="s">
        <v>3874</v>
      </c>
      <c r="I242" s="10" t="s">
        <v>3875</v>
      </c>
      <c r="J242" s="1">
        <v>2</v>
      </c>
      <c r="K242" s="190" t="s">
        <v>2038</v>
      </c>
      <c r="L242" s="190" t="s">
        <v>2780</v>
      </c>
      <c r="M242" s="190" t="s">
        <v>3771</v>
      </c>
      <c r="N242" s="10" t="s">
        <v>3876</v>
      </c>
      <c r="O242" s="178" t="s">
        <v>3877</v>
      </c>
      <c r="P242" s="178" t="s">
        <v>3878</v>
      </c>
      <c r="Q242" s="327">
        <v>9236.0759999999991</v>
      </c>
      <c r="R242" s="190">
        <v>52</v>
      </c>
      <c r="S242" s="190"/>
      <c r="T242" s="190" t="s">
        <v>2494</v>
      </c>
      <c r="U242" s="190" t="s">
        <v>2495</v>
      </c>
      <c r="V242" s="8" t="s">
        <v>1760</v>
      </c>
      <c r="W242" s="10" t="s">
        <v>3000</v>
      </c>
      <c r="X242" s="15" t="s">
        <v>3001</v>
      </c>
      <c r="Y242" s="172" t="s">
        <v>2432</v>
      </c>
      <c r="Z242" s="172">
        <v>46008</v>
      </c>
      <c r="AA242" s="172">
        <v>46014</v>
      </c>
      <c r="AB242" s="143" t="str">
        <f t="shared" ca="1" si="29"/>
        <v>Expired</v>
      </c>
      <c r="AC242" s="13"/>
      <c r="AD242" s="12">
        <v>46008</v>
      </c>
      <c r="AE242" s="12">
        <v>46008</v>
      </c>
      <c r="AF242" s="12"/>
      <c r="AG242" s="12">
        <v>46048</v>
      </c>
      <c r="AH242" s="11"/>
      <c r="AI242" s="11">
        <v>46084</v>
      </c>
      <c r="AJ242" s="11"/>
      <c r="AK242" s="11"/>
      <c r="AL242" s="11"/>
      <c r="AM242" s="11">
        <v>46084</v>
      </c>
      <c r="AN242" s="11">
        <v>46084</v>
      </c>
      <c r="AO242" s="11" t="str">
        <f t="shared" si="39"/>
        <v>BAST</v>
      </c>
      <c r="AP242" s="173" t="s">
        <v>3869</v>
      </c>
      <c r="AQ242" s="12">
        <v>46030</v>
      </c>
      <c r="AR242" s="12">
        <v>46030</v>
      </c>
      <c r="AS242" s="12">
        <v>46030</v>
      </c>
      <c r="AT242" s="12" t="s">
        <v>3207</v>
      </c>
      <c r="AU242" s="12">
        <v>46030</v>
      </c>
      <c r="AV242" s="12">
        <v>46036</v>
      </c>
      <c r="AW242" s="11" t="str">
        <f t="shared" si="30"/>
        <v>1st BOQ App on ISAAC</v>
      </c>
      <c r="AX242" s="12"/>
      <c r="AY242" s="12"/>
      <c r="AZ242" s="12"/>
      <c r="BA242" s="12"/>
      <c r="BB242" s="12"/>
      <c r="BC242" s="12"/>
      <c r="BD242" s="11" t="str">
        <f t="shared" si="31"/>
        <v>NY Submit</v>
      </c>
      <c r="BE242" s="174"/>
      <c r="BF242" s="12">
        <v>46008</v>
      </c>
      <c r="BG242" s="12">
        <v>46010</v>
      </c>
      <c r="BH242" s="10" t="s">
        <v>3879</v>
      </c>
      <c r="BI242" s="12">
        <v>46013</v>
      </c>
      <c r="BJ242" s="12">
        <v>46013</v>
      </c>
      <c r="BK242" s="174" t="s">
        <v>3880</v>
      </c>
      <c r="BL242" s="12" t="str">
        <f t="shared" si="32"/>
        <v>Approved</v>
      </c>
      <c r="BM242" s="12" t="str">
        <f t="shared" si="33"/>
        <v>Approved</v>
      </c>
      <c r="BN242" s="12">
        <v>46085</v>
      </c>
      <c r="BO242" s="12">
        <v>46086</v>
      </c>
      <c r="BP242" s="155" t="s">
        <v>1760</v>
      </c>
      <c r="BQ242" s="12" t="s">
        <v>3881</v>
      </c>
      <c r="BR242" s="12">
        <v>46035</v>
      </c>
      <c r="BS242" s="143" t="e">
        <f t="shared" ca="1" si="37"/>
        <v>#NUM!</v>
      </c>
      <c r="BT242" s="176"/>
      <c r="BU242" s="12"/>
      <c r="BV242" s="143">
        <f t="shared" ca="1" si="38"/>
        <v>0</v>
      </c>
      <c r="BW242" s="12"/>
      <c r="BX242" s="12"/>
      <c r="BY242" s="143"/>
      <c r="BZ242" s="13" t="s">
        <v>2500</v>
      </c>
      <c r="CA242" s="13"/>
      <c r="CB242" s="13"/>
      <c r="CC242" s="13"/>
      <c r="CD242" s="13"/>
      <c r="CE242" s="198"/>
      <c r="CF242" s="198"/>
      <c r="CG242" s="272"/>
      <c r="CH242" s="272"/>
      <c r="CI242" s="198"/>
      <c r="CJ242" s="198"/>
      <c r="CK242" s="198"/>
      <c r="CL242" s="198"/>
    </row>
    <row r="243" spans="1:90">
      <c r="A243" s="181">
        <v>238</v>
      </c>
      <c r="B243" s="190" t="s">
        <v>2486</v>
      </c>
      <c r="C243" s="190" t="s">
        <v>2487</v>
      </c>
      <c r="D243" s="190" t="s">
        <v>135</v>
      </c>
      <c r="E243" s="8" t="e">
        <f ca="1">+_xlfn.CONCAT(G243,"-",B243,"_",C243,"_",_xlfn.XLOOKUP(BP243,Account!M:M,Account!N:N))</f>
        <v>#NAME?</v>
      </c>
      <c r="F243" s="12">
        <v>46006</v>
      </c>
      <c r="G243" s="190" t="s">
        <v>1964</v>
      </c>
      <c r="H243" s="190" t="s">
        <v>3882</v>
      </c>
      <c r="I243" s="10" t="s">
        <v>1965</v>
      </c>
      <c r="J243" s="190">
        <v>20</v>
      </c>
      <c r="K243" s="190" t="s">
        <v>2038</v>
      </c>
      <c r="L243" s="190" t="s">
        <v>3883</v>
      </c>
      <c r="M243" s="190" t="s">
        <v>3884</v>
      </c>
      <c r="N243" s="10" t="s">
        <v>3885</v>
      </c>
      <c r="O243" s="178" t="s">
        <v>3886</v>
      </c>
      <c r="P243" s="178" t="s">
        <v>3887</v>
      </c>
      <c r="Q243" s="327">
        <v>22120.78</v>
      </c>
      <c r="R243" s="190">
        <v>70</v>
      </c>
      <c r="S243" s="190"/>
      <c r="T243" s="190" t="s">
        <v>2494</v>
      </c>
      <c r="U243" s="190" t="s">
        <v>2495</v>
      </c>
      <c r="V243" s="8" t="s">
        <v>1760</v>
      </c>
      <c r="W243" s="10"/>
      <c r="X243" s="9"/>
      <c r="Y243" s="172" t="s">
        <v>2496</v>
      </c>
      <c r="Z243" s="172">
        <v>46091</v>
      </c>
      <c r="AA243" s="172">
        <v>46097</v>
      </c>
      <c r="AB243" s="143" t="str">
        <f t="shared" ca="1" si="29"/>
        <v>Expired</v>
      </c>
      <c r="AC243" s="13"/>
      <c r="AD243" s="12">
        <v>46013</v>
      </c>
      <c r="AE243" s="12">
        <v>46029</v>
      </c>
      <c r="AF243" s="12">
        <v>46105</v>
      </c>
      <c r="AG243" s="12">
        <v>46064</v>
      </c>
      <c r="AH243" s="11"/>
      <c r="AI243" s="11">
        <v>46181</v>
      </c>
      <c r="AJ243" s="11"/>
      <c r="AK243" s="11"/>
      <c r="AL243" s="11"/>
      <c r="AM243" s="11"/>
      <c r="AN243" s="11">
        <v>46188</v>
      </c>
      <c r="AO243" s="11" t="str">
        <f t="shared" si="39"/>
        <v>BAST</v>
      </c>
      <c r="AP243" s="173" t="s">
        <v>3888</v>
      </c>
      <c r="AQ243" s="12">
        <v>46030</v>
      </c>
      <c r="AR243" s="12">
        <v>46036</v>
      </c>
      <c r="AS243" s="12">
        <v>46030</v>
      </c>
      <c r="AT243" s="12">
        <v>46175</v>
      </c>
      <c r="AU243" s="12">
        <v>46205</v>
      </c>
      <c r="AV243" s="12"/>
      <c r="AW243" s="11" t="str">
        <f t="shared" si="30"/>
        <v>Upload 1st BOQ &amp; BAN Isaac</v>
      </c>
      <c r="AX243" s="12"/>
      <c r="AY243" s="12"/>
      <c r="AZ243" s="12"/>
      <c r="BA243" s="12"/>
      <c r="BB243" s="12"/>
      <c r="BC243" s="12"/>
      <c r="BD243" s="11" t="str">
        <f t="shared" si="31"/>
        <v>NY Submit</v>
      </c>
      <c r="BE243" s="174"/>
      <c r="BF243" s="12">
        <v>46029</v>
      </c>
      <c r="BG243" s="12">
        <v>46030</v>
      </c>
      <c r="BH243" s="10" t="s">
        <v>3889</v>
      </c>
      <c r="BI243" s="12">
        <v>46034</v>
      </c>
      <c r="BJ243" s="12">
        <v>46035</v>
      </c>
      <c r="BK243" s="174" t="s">
        <v>3890</v>
      </c>
      <c r="BL243" s="12" t="str">
        <f t="shared" si="32"/>
        <v>Approved</v>
      </c>
      <c r="BM243" s="12" t="str">
        <f t="shared" si="33"/>
        <v>Approved</v>
      </c>
      <c r="BN243" s="12">
        <v>46191</v>
      </c>
      <c r="BO243" s="12">
        <v>46191</v>
      </c>
      <c r="BP243" s="155" t="s">
        <v>1760</v>
      </c>
      <c r="BQ243" s="12" t="s">
        <v>3106</v>
      </c>
      <c r="BR243" s="12">
        <v>46055</v>
      </c>
      <c r="BS243" s="143">
        <f t="shared" ca="1" si="37"/>
        <v>0</v>
      </c>
      <c r="BT243" s="176"/>
      <c r="BU243" s="12"/>
      <c r="BV243" s="143">
        <f t="shared" ca="1" si="38"/>
        <v>0</v>
      </c>
      <c r="BW243" s="12"/>
      <c r="BX243" s="12"/>
      <c r="BY243" s="143"/>
      <c r="BZ243" s="13" t="s">
        <v>3891</v>
      </c>
      <c r="CA243" s="13" t="s">
        <v>2555</v>
      </c>
      <c r="CB243" s="13"/>
      <c r="CC243" s="13"/>
      <c r="CD243" s="13"/>
      <c r="CE243" s="198"/>
      <c r="CF243" s="198"/>
      <c r="CG243" s="272"/>
      <c r="CH243" s="272"/>
      <c r="CI243" s="198"/>
      <c r="CJ243" s="198"/>
      <c r="CK243" s="198"/>
      <c r="CL243" s="198"/>
    </row>
    <row r="244" spans="1:90">
      <c r="A244" s="187">
        <v>239</v>
      </c>
      <c r="B244" s="190" t="s">
        <v>2486</v>
      </c>
      <c r="C244" s="190" t="s">
        <v>2487</v>
      </c>
      <c r="D244" s="190" t="s">
        <v>135</v>
      </c>
      <c r="E244" s="8" t="e">
        <f ca="1">+_xlfn.CONCAT(G244,"-",B244,"_",C244,"_",_xlfn.XLOOKUP(BP244,Account!M:M,Account!N:N))</f>
        <v>#NAME?</v>
      </c>
      <c r="F244" s="12">
        <v>46013</v>
      </c>
      <c r="G244" s="190" t="s">
        <v>3892</v>
      </c>
      <c r="H244" s="190" t="s">
        <v>3893</v>
      </c>
      <c r="I244" s="10" t="s">
        <v>3894</v>
      </c>
      <c r="J244" s="190">
        <v>19</v>
      </c>
      <c r="K244" s="190" t="s">
        <v>2486</v>
      </c>
      <c r="L244" s="190" t="s">
        <v>1367</v>
      </c>
      <c r="M244" s="190" t="s">
        <v>3700</v>
      </c>
      <c r="N244" s="10" t="s">
        <v>3895</v>
      </c>
      <c r="O244" s="178" t="s">
        <v>3896</v>
      </c>
      <c r="P244" s="178" t="s">
        <v>3897</v>
      </c>
      <c r="Q244" s="327">
        <v>335.34249999999997</v>
      </c>
      <c r="R244" s="190">
        <v>12</v>
      </c>
      <c r="S244" s="190" t="s">
        <v>68</v>
      </c>
      <c r="T244" s="6" t="s">
        <v>2518</v>
      </c>
      <c r="U244" s="6" t="s">
        <v>2565</v>
      </c>
      <c r="V244" s="8" t="s">
        <v>1760</v>
      </c>
      <c r="W244" s="10"/>
      <c r="X244" s="9"/>
      <c r="Y244" s="172" t="s">
        <v>2432</v>
      </c>
      <c r="Z244" s="172">
        <v>46018</v>
      </c>
      <c r="AA244" s="172">
        <v>46021</v>
      </c>
      <c r="AB244" s="143" t="str">
        <f t="shared" ca="1" si="29"/>
        <v>Expired</v>
      </c>
      <c r="AC244" s="13"/>
      <c r="AD244" s="12">
        <v>46015</v>
      </c>
      <c r="AE244" s="12">
        <v>46027</v>
      </c>
      <c r="AF244" s="12"/>
      <c r="AG244" s="12">
        <v>46048</v>
      </c>
      <c r="AH244" s="11"/>
      <c r="AI244" s="11">
        <v>46057</v>
      </c>
      <c r="AJ244" s="11"/>
      <c r="AK244" s="11"/>
      <c r="AL244" s="11"/>
      <c r="AM244" s="11">
        <v>46057</v>
      </c>
      <c r="AN244" s="11">
        <v>46057</v>
      </c>
      <c r="AO244" s="11" t="str">
        <f t="shared" si="39"/>
        <v>BAST</v>
      </c>
      <c r="AP244" s="173" t="s">
        <v>3898</v>
      </c>
      <c r="AQ244" s="12">
        <v>46030</v>
      </c>
      <c r="AR244" s="12">
        <v>46036</v>
      </c>
      <c r="AS244" s="12">
        <v>46031</v>
      </c>
      <c r="AT244" s="12"/>
      <c r="AU244" s="12">
        <v>46036</v>
      </c>
      <c r="AV244" s="12">
        <v>46036</v>
      </c>
      <c r="AW244" s="11" t="str">
        <f t="shared" si="30"/>
        <v>1st BOQ App on ISAAC</v>
      </c>
      <c r="AX244" s="12"/>
      <c r="AY244" s="12"/>
      <c r="AZ244" s="12"/>
      <c r="BA244" s="12"/>
      <c r="BB244" s="12"/>
      <c r="BC244" s="12"/>
      <c r="BD244" s="11" t="str">
        <f t="shared" si="31"/>
        <v>NY Submit</v>
      </c>
      <c r="BE244" s="174"/>
      <c r="BF244" s="12">
        <v>46027</v>
      </c>
      <c r="BG244" s="12"/>
      <c r="BH244" s="201" t="s">
        <v>3899</v>
      </c>
      <c r="BI244" s="12">
        <v>46027</v>
      </c>
      <c r="BJ244" s="12">
        <v>45663</v>
      </c>
      <c r="BK244" s="174"/>
      <c r="BL244" s="12" t="str">
        <f t="shared" si="32"/>
        <v>Submit</v>
      </c>
      <c r="BM244" s="12" t="str">
        <f t="shared" si="33"/>
        <v>Approved</v>
      </c>
      <c r="BN244" s="12">
        <v>46059</v>
      </c>
      <c r="BO244" s="12">
        <v>46059</v>
      </c>
      <c r="BP244" s="155" t="s">
        <v>1760</v>
      </c>
      <c r="BQ244" s="12" t="s">
        <v>3900</v>
      </c>
      <c r="BR244" s="12">
        <v>46052</v>
      </c>
      <c r="BS244" s="143">
        <f t="shared" ca="1" si="37"/>
        <v>16</v>
      </c>
      <c r="BT244" s="176"/>
      <c r="BU244" s="12"/>
      <c r="BV244" s="143">
        <f t="shared" ca="1" si="38"/>
        <v>0</v>
      </c>
      <c r="BW244" s="12"/>
      <c r="BX244" s="12"/>
      <c r="BY244" s="143"/>
      <c r="BZ244" s="13" t="s">
        <v>2500</v>
      </c>
      <c r="CA244" s="13"/>
      <c r="CB244" s="13"/>
      <c r="CC244" s="13"/>
      <c r="CD244" s="13"/>
      <c r="CE244" s="198"/>
      <c r="CF244" s="198"/>
      <c r="CG244" s="272"/>
      <c r="CH244" s="272"/>
      <c r="CI244" s="198"/>
      <c r="CJ244" s="198"/>
      <c r="CK244" s="198"/>
      <c r="CL244" s="198"/>
    </row>
    <row r="245" spans="1:90" ht="30" customHeight="1">
      <c r="A245" s="181">
        <v>240</v>
      </c>
      <c r="B245" s="190" t="s">
        <v>2486</v>
      </c>
      <c r="C245" s="190" t="s">
        <v>2487</v>
      </c>
      <c r="D245" s="190" t="s">
        <v>135</v>
      </c>
      <c r="E245" s="8" t="e">
        <f ca="1">+_xlfn.CONCAT(G245,"-",B245,"_",C245,"_",_xlfn.XLOOKUP(BP245,Account!M:M,Account!N:N))</f>
        <v>#NAME?</v>
      </c>
      <c r="F245" s="12">
        <v>46013</v>
      </c>
      <c r="G245" s="190" t="s">
        <v>2369</v>
      </c>
      <c r="H245" s="190" t="s">
        <v>3901</v>
      </c>
      <c r="I245" s="10" t="s">
        <v>2370</v>
      </c>
      <c r="J245" s="190">
        <v>11</v>
      </c>
      <c r="K245" s="190" t="s">
        <v>2038</v>
      </c>
      <c r="L245" s="190" t="s">
        <v>1263</v>
      </c>
      <c r="M245" s="190" t="s">
        <v>2577</v>
      </c>
      <c r="N245" s="10" t="s">
        <v>3902</v>
      </c>
      <c r="O245" s="178" t="s">
        <v>3903</v>
      </c>
      <c r="P245" s="178" t="s">
        <v>3904</v>
      </c>
      <c r="Q245" s="327">
        <v>8487.2800000000007</v>
      </c>
      <c r="R245" s="190">
        <v>42</v>
      </c>
      <c r="S245" s="190"/>
      <c r="T245" s="190" t="s">
        <v>2494</v>
      </c>
      <c r="U245" s="190" t="s">
        <v>2495</v>
      </c>
      <c r="V245" s="8" t="s">
        <v>1760</v>
      </c>
      <c r="W245" s="10"/>
      <c r="X245" s="9"/>
      <c r="Y245" s="172" t="s">
        <v>2432</v>
      </c>
      <c r="Z245" s="172">
        <v>46018</v>
      </c>
      <c r="AA245" s="172">
        <v>46021</v>
      </c>
      <c r="AB245" s="143" t="str">
        <f t="shared" ca="1" si="29"/>
        <v>Expired</v>
      </c>
      <c r="AC245" s="13"/>
      <c r="AD245" s="12">
        <v>46015</v>
      </c>
      <c r="AE245" s="12">
        <v>46029</v>
      </c>
      <c r="AF245" s="12" t="s">
        <v>3628</v>
      </c>
      <c r="AG245" s="12"/>
      <c r="AH245" s="11"/>
      <c r="AI245" s="11"/>
      <c r="AJ245" s="11"/>
      <c r="AK245" s="11"/>
      <c r="AL245" s="11"/>
      <c r="AM245" s="11"/>
      <c r="AN245" s="11"/>
      <c r="AO245" s="11" t="str">
        <f t="shared" si="39"/>
        <v>Drop</v>
      </c>
      <c r="AP245" s="173" t="s">
        <v>3905</v>
      </c>
      <c r="AQ245" s="12">
        <v>46030</v>
      </c>
      <c r="AR245" s="12">
        <v>46034</v>
      </c>
      <c r="AS245" s="12">
        <v>46030</v>
      </c>
      <c r="AT245" s="12"/>
      <c r="AU245" s="12">
        <v>46034</v>
      </c>
      <c r="AV245" s="12">
        <v>46034</v>
      </c>
      <c r="AW245" s="11" t="str">
        <f t="shared" si="30"/>
        <v>1st BOQ App on ISAAC</v>
      </c>
      <c r="AX245" s="12"/>
      <c r="AY245" s="12"/>
      <c r="AZ245" s="12"/>
      <c r="BA245" s="12"/>
      <c r="BB245" s="12"/>
      <c r="BC245" s="12"/>
      <c r="BD245" s="11" t="str">
        <f t="shared" si="31"/>
        <v>NY Submit</v>
      </c>
      <c r="BE245" s="174" t="s">
        <v>3906</v>
      </c>
      <c r="BF245" s="12">
        <v>46029</v>
      </c>
      <c r="BG245" s="12"/>
      <c r="BH245" s="10" t="s">
        <v>3907</v>
      </c>
      <c r="BI245" s="12">
        <v>46034</v>
      </c>
      <c r="BJ245" s="12">
        <v>46035</v>
      </c>
      <c r="BK245" s="174" t="s">
        <v>3908</v>
      </c>
      <c r="BL245" s="12" t="str">
        <f t="shared" si="32"/>
        <v>Submit</v>
      </c>
      <c r="BM245" s="12" t="str">
        <f t="shared" si="33"/>
        <v>Approved</v>
      </c>
      <c r="BN245" s="12"/>
      <c r="BO245" s="12"/>
      <c r="BP245" s="155" t="s">
        <v>1760</v>
      </c>
      <c r="BQ245" s="176" t="s">
        <v>3909</v>
      </c>
      <c r="BR245" s="12">
        <v>46052</v>
      </c>
      <c r="BS245" s="143" t="str">
        <f t="shared" ca="1" si="37"/>
        <v>Drop</v>
      </c>
      <c r="BT245" s="176" t="s">
        <v>3106</v>
      </c>
      <c r="BU245" s="12"/>
      <c r="BV245" s="143" t="str">
        <f t="shared" ca="1" si="38"/>
        <v>Drop</v>
      </c>
      <c r="BW245" s="12"/>
      <c r="BX245" s="12"/>
      <c r="BY245" s="143"/>
      <c r="BZ245" s="279" t="s">
        <v>3910</v>
      </c>
      <c r="CA245" s="13" t="s">
        <v>2555</v>
      </c>
      <c r="CB245" s="13" t="s">
        <v>2486</v>
      </c>
      <c r="CC245" s="13"/>
      <c r="CD245" s="13"/>
      <c r="CE245" s="198"/>
      <c r="CF245" s="198"/>
      <c r="CG245" s="272"/>
      <c r="CH245" s="272"/>
      <c r="CI245" s="198"/>
      <c r="CJ245" s="198"/>
      <c r="CK245" s="198"/>
      <c r="CL245" s="198"/>
    </row>
    <row r="246" spans="1:90">
      <c r="A246" s="187">
        <v>241</v>
      </c>
      <c r="B246" s="190" t="s">
        <v>2486</v>
      </c>
      <c r="C246" s="190" t="s">
        <v>2487</v>
      </c>
      <c r="D246" s="190" t="s">
        <v>135</v>
      </c>
      <c r="E246" s="8" t="e">
        <f ca="1">+_xlfn.CONCAT(G246,"-",B246,"_",C246,"_",_xlfn.XLOOKUP(BP246,Account!M:M,Account!N:N))</f>
        <v>#NAME?</v>
      </c>
      <c r="F246" s="12">
        <v>46013</v>
      </c>
      <c r="G246" s="190" t="s">
        <v>66</v>
      </c>
      <c r="H246" s="190" t="s">
        <v>3911</v>
      </c>
      <c r="I246" s="10" t="s">
        <v>67</v>
      </c>
      <c r="J246" s="190">
        <v>11</v>
      </c>
      <c r="K246" s="190" t="s">
        <v>2486</v>
      </c>
      <c r="L246" s="190" t="s">
        <v>1263</v>
      </c>
      <c r="M246" s="190" t="s">
        <v>3912</v>
      </c>
      <c r="N246" s="198" t="s">
        <v>3913</v>
      </c>
      <c r="O246" s="178" t="s">
        <v>73</v>
      </c>
      <c r="P246" s="178" t="s">
        <v>3914</v>
      </c>
      <c r="Q246" s="327">
        <v>13212.913</v>
      </c>
      <c r="R246" s="190">
        <v>71</v>
      </c>
      <c r="S246" s="190"/>
      <c r="T246" s="190" t="s">
        <v>2494</v>
      </c>
      <c r="U246" s="190" t="s">
        <v>3330</v>
      </c>
      <c r="V246" s="8" t="s">
        <v>1760</v>
      </c>
      <c r="W246" s="10"/>
      <c r="X246" s="9"/>
      <c r="Y246" s="172" t="s">
        <v>2432</v>
      </c>
      <c r="Z246" s="172">
        <v>46018</v>
      </c>
      <c r="AA246" s="172">
        <v>46021</v>
      </c>
      <c r="AB246" s="143" t="str">
        <f t="shared" ca="1" si="29"/>
        <v>Expired</v>
      </c>
      <c r="AC246" s="13"/>
      <c r="AD246" s="12">
        <v>46022</v>
      </c>
      <c r="AE246" s="12">
        <v>46029</v>
      </c>
      <c r="AF246" s="12">
        <v>46063</v>
      </c>
      <c r="AG246" s="12"/>
      <c r="AH246" s="11"/>
      <c r="AI246" s="11">
        <v>46203</v>
      </c>
      <c r="AJ246" s="11"/>
      <c r="AK246" s="11"/>
      <c r="AL246" s="11"/>
      <c r="AM246" s="11"/>
      <c r="AN246" s="11">
        <v>46203</v>
      </c>
      <c r="AO246" s="11" t="str">
        <f t="shared" si="39"/>
        <v>BAST</v>
      </c>
      <c r="AP246" s="173"/>
      <c r="AQ246" s="12">
        <v>46030</v>
      </c>
      <c r="AR246" s="12">
        <v>46078</v>
      </c>
      <c r="AS246" s="12">
        <v>46030</v>
      </c>
      <c r="AT246" s="12"/>
      <c r="AU246" s="12">
        <v>46078</v>
      </c>
      <c r="AV246" s="12">
        <v>46078</v>
      </c>
      <c r="AW246" s="11" t="str">
        <f t="shared" si="30"/>
        <v>1st BOQ App on ISAAC</v>
      </c>
      <c r="AX246" s="12"/>
      <c r="AY246" s="12"/>
      <c r="AZ246" s="12"/>
      <c r="BA246" s="12"/>
      <c r="BB246" s="12"/>
      <c r="BC246" s="12"/>
      <c r="BD246" s="11" t="str">
        <f t="shared" si="31"/>
        <v>NY Submit</v>
      </c>
      <c r="BE246" s="174"/>
      <c r="BF246" s="12">
        <v>46029</v>
      </c>
      <c r="BG246" s="12">
        <v>46035</v>
      </c>
      <c r="BH246" s="10" t="s">
        <v>3915</v>
      </c>
      <c r="BI246" s="12">
        <v>46034</v>
      </c>
      <c r="BJ246" s="12">
        <v>46035</v>
      </c>
      <c r="BK246" s="174" t="s">
        <v>3916</v>
      </c>
      <c r="BL246" s="12" t="str">
        <f t="shared" si="32"/>
        <v>Approved</v>
      </c>
      <c r="BM246" s="12" t="str">
        <f t="shared" si="33"/>
        <v>Approved</v>
      </c>
      <c r="BN246" s="12">
        <v>46209</v>
      </c>
      <c r="BO246" s="12">
        <v>46210</v>
      </c>
      <c r="BP246" s="155" t="s">
        <v>1760</v>
      </c>
      <c r="BQ246" s="12" t="s">
        <v>3917</v>
      </c>
      <c r="BR246" s="12">
        <v>46097</v>
      </c>
      <c r="BS246" s="143">
        <f t="shared" ca="1" si="37"/>
        <v>19</v>
      </c>
      <c r="BT246" s="176"/>
      <c r="BU246" s="12"/>
      <c r="BV246" s="143">
        <f t="shared" ca="1" si="38"/>
        <v>0</v>
      </c>
      <c r="BW246" s="12"/>
      <c r="BX246" s="12"/>
      <c r="BY246" s="143"/>
      <c r="BZ246" s="13" t="s">
        <v>2500</v>
      </c>
      <c r="CA246" s="13" t="s">
        <v>2555</v>
      </c>
      <c r="CB246" s="13"/>
      <c r="CC246" s="13"/>
      <c r="CD246" s="13"/>
      <c r="CE246" s="198"/>
      <c r="CF246" s="198"/>
      <c r="CG246" s="272"/>
      <c r="CH246" s="272"/>
      <c r="CI246" s="198"/>
      <c r="CJ246" s="198"/>
      <c r="CK246" s="198"/>
      <c r="CL246" s="198"/>
    </row>
    <row r="247" spans="1:90">
      <c r="A247" s="187">
        <v>242</v>
      </c>
      <c r="B247" s="190" t="s">
        <v>2486</v>
      </c>
      <c r="C247" s="190" t="s">
        <v>2487</v>
      </c>
      <c r="D247" s="190" t="s">
        <v>135</v>
      </c>
      <c r="E247" s="8" t="e">
        <f ca="1">+_xlfn.CONCAT(G247,"-",B247,"_",C247,"_",_xlfn.XLOOKUP(BP247,Account!M:M,Account!N:N))</f>
        <v>#NAME?</v>
      </c>
      <c r="F247" s="12">
        <v>46006</v>
      </c>
      <c r="G247" s="190" t="s">
        <v>2300</v>
      </c>
      <c r="H247" s="190" t="s">
        <v>3855</v>
      </c>
      <c r="I247" s="10" t="s">
        <v>2301</v>
      </c>
      <c r="J247" s="190">
        <v>11</v>
      </c>
      <c r="K247" s="190" t="s">
        <v>2486</v>
      </c>
      <c r="L247" s="190" t="s">
        <v>1263</v>
      </c>
      <c r="M247" s="190" t="s">
        <v>3856</v>
      </c>
      <c r="N247" s="10" t="s">
        <v>3857</v>
      </c>
      <c r="O247" s="178" t="s">
        <v>3858</v>
      </c>
      <c r="P247" s="178" t="s">
        <v>3859</v>
      </c>
      <c r="Q247" s="327">
        <v>13212.913</v>
      </c>
      <c r="R247" s="190">
        <v>71</v>
      </c>
      <c r="S247" s="190"/>
      <c r="T247" s="190" t="s">
        <v>2494</v>
      </c>
      <c r="U247" s="190" t="s">
        <v>2495</v>
      </c>
      <c r="V247" s="8" t="s">
        <v>2011</v>
      </c>
      <c r="W247" s="10"/>
      <c r="X247" s="9"/>
      <c r="Y247" s="172" t="s">
        <v>2432</v>
      </c>
      <c r="Z247" s="172">
        <v>46008</v>
      </c>
      <c r="AA247" s="172">
        <v>46014</v>
      </c>
      <c r="AB247" s="143" t="str">
        <f t="shared" ca="1" si="29"/>
        <v>Expired</v>
      </c>
      <c r="AC247" s="13"/>
      <c r="AD247" s="12">
        <v>46009</v>
      </c>
      <c r="AE247" s="12">
        <v>46009</v>
      </c>
      <c r="AF247" s="12" t="s">
        <v>3628</v>
      </c>
      <c r="AG247" s="12"/>
      <c r="AH247" s="11"/>
      <c r="AI247" s="11"/>
      <c r="AJ247" s="11"/>
      <c r="AK247" s="11"/>
      <c r="AL247" s="11"/>
      <c r="AM247" s="11"/>
      <c r="AN247" s="11"/>
      <c r="AO247" s="11" t="str">
        <f t="shared" ref="AO247:AO253" si="40">+IF(AM247&lt;&gt;"","ATP App MS",IF(AJ247&lt;&gt;"","Inbound",IF(AH247&lt;&gt;"","Dismantle Perangkat",IF(AF247="Drop","Drop",IF(AE247&lt;&gt;"","Survey Report",IF(AD247&lt;&gt;"","Survey","NY Survey"))))))</f>
        <v>Drop</v>
      </c>
      <c r="AP247" s="173" t="s">
        <v>3918</v>
      </c>
      <c r="AQ247" s="12"/>
      <c r="AR247" s="12"/>
      <c r="AS247" s="12"/>
      <c r="AT247" s="12"/>
      <c r="AU247" s="12"/>
      <c r="AV247" s="12"/>
      <c r="AW247" s="11" t="str">
        <f t="shared" si="30"/>
        <v>NY Submit</v>
      </c>
      <c r="AX247" s="12"/>
      <c r="AY247" s="12"/>
      <c r="AZ247" s="12"/>
      <c r="BA247" s="12"/>
      <c r="BB247" s="12"/>
      <c r="BC247" s="12"/>
      <c r="BD247" s="11" t="str">
        <f t="shared" si="31"/>
        <v>NY Submit</v>
      </c>
      <c r="BE247" s="174"/>
      <c r="BF247" s="12">
        <v>46009</v>
      </c>
      <c r="BG247" s="12">
        <v>46010</v>
      </c>
      <c r="BH247" s="10" t="s">
        <v>3860</v>
      </c>
      <c r="BI247" s="12">
        <v>46019</v>
      </c>
      <c r="BJ247" s="12">
        <v>46022</v>
      </c>
      <c r="BK247" s="174"/>
      <c r="BL247" s="12" t="str">
        <f t="shared" si="32"/>
        <v>Approved</v>
      </c>
      <c r="BM247" s="12" t="str">
        <f t="shared" si="33"/>
        <v>Approved</v>
      </c>
      <c r="BN247" s="12"/>
      <c r="BO247" s="12"/>
      <c r="BP247" s="155" t="s">
        <v>2011</v>
      </c>
      <c r="BQ247" s="12" t="s">
        <v>2526</v>
      </c>
      <c r="BR247" s="12"/>
      <c r="BS247" s="143" t="str">
        <f t="shared" ca="1" si="37"/>
        <v>Drop</v>
      </c>
      <c r="BT247" s="176"/>
      <c r="BU247" s="12"/>
      <c r="BV247" s="143" t="str">
        <f t="shared" ca="1" si="38"/>
        <v>Drop</v>
      </c>
      <c r="BW247" s="12"/>
      <c r="BX247" s="12"/>
      <c r="BY247" s="143"/>
      <c r="BZ247" s="13" t="s">
        <v>3918</v>
      </c>
      <c r="CA247" s="13"/>
      <c r="CB247" s="13"/>
      <c r="CC247" s="13"/>
      <c r="CD247" s="13"/>
      <c r="CE247" s="198"/>
      <c r="CF247" s="198"/>
      <c r="CG247" s="272"/>
      <c r="CH247" s="272"/>
      <c r="CI247" s="198"/>
      <c r="CJ247" s="198"/>
      <c r="CK247" s="198"/>
      <c r="CL247" s="198"/>
    </row>
    <row r="248" spans="1:90">
      <c r="A248" s="187">
        <v>243</v>
      </c>
      <c r="B248" s="190" t="s">
        <v>2486</v>
      </c>
      <c r="C248" s="190" t="s">
        <v>2487</v>
      </c>
      <c r="D248" s="190" t="s">
        <v>135</v>
      </c>
      <c r="E248" s="8" t="e">
        <f ca="1">+_xlfn.CONCAT(G248,"-",B248,"_",C248,"_",_xlfn.XLOOKUP(BP248,Account!M:M,Account!N:N))</f>
        <v>#NAME?</v>
      </c>
      <c r="F248" s="12">
        <v>46013</v>
      </c>
      <c r="G248" s="190" t="s">
        <v>2369</v>
      </c>
      <c r="H248" s="190" t="s">
        <v>3901</v>
      </c>
      <c r="I248" s="10" t="s">
        <v>2370</v>
      </c>
      <c r="J248" s="190">
        <v>11</v>
      </c>
      <c r="K248" s="190" t="s">
        <v>2038</v>
      </c>
      <c r="L248" s="190" t="s">
        <v>1263</v>
      </c>
      <c r="M248" s="190" t="s">
        <v>2577</v>
      </c>
      <c r="N248" s="10" t="s">
        <v>3902</v>
      </c>
      <c r="O248" s="178" t="s">
        <v>3903</v>
      </c>
      <c r="P248" s="178" t="s">
        <v>3904</v>
      </c>
      <c r="Q248" s="327">
        <v>8487.2800000000007</v>
      </c>
      <c r="R248" s="190">
        <v>42</v>
      </c>
      <c r="S248" s="190"/>
      <c r="T248" s="190" t="s">
        <v>2494</v>
      </c>
      <c r="U248" s="190" t="s">
        <v>2495</v>
      </c>
      <c r="V248" s="8" t="s">
        <v>2011</v>
      </c>
      <c r="W248" s="10"/>
      <c r="X248" s="9"/>
      <c r="Y248" s="172"/>
      <c r="Z248" s="172"/>
      <c r="AA248" s="172"/>
      <c r="AB248" s="143" t="str">
        <f t="shared" ca="1" si="29"/>
        <v>NY Submit</v>
      </c>
      <c r="AC248" s="13"/>
      <c r="AD248" s="12">
        <v>46015</v>
      </c>
      <c r="AE248" s="12">
        <v>46029</v>
      </c>
      <c r="AF248" s="12" t="s">
        <v>3628</v>
      </c>
      <c r="AG248" s="12"/>
      <c r="AH248" s="11"/>
      <c r="AI248" s="11"/>
      <c r="AJ248" s="11"/>
      <c r="AK248" s="11"/>
      <c r="AL248" s="11"/>
      <c r="AM248" s="11"/>
      <c r="AN248" s="11"/>
      <c r="AO248" s="11" t="str">
        <f t="shared" si="40"/>
        <v>Drop</v>
      </c>
      <c r="AP248" s="173"/>
      <c r="AQ248" s="12">
        <v>46030</v>
      </c>
      <c r="AR248" s="12">
        <v>46034</v>
      </c>
      <c r="AS248" s="12">
        <v>46030</v>
      </c>
      <c r="AT248" s="12"/>
      <c r="AU248" s="12">
        <v>46034</v>
      </c>
      <c r="AV248" s="12">
        <v>46034</v>
      </c>
      <c r="AW248" s="11" t="str">
        <f t="shared" si="30"/>
        <v>1st BOQ App on ISAAC</v>
      </c>
      <c r="AX248" s="12"/>
      <c r="AY248" s="12"/>
      <c r="AZ248" s="12"/>
      <c r="BA248" s="12"/>
      <c r="BB248" s="12"/>
      <c r="BC248" s="12"/>
      <c r="BD248" s="11" t="str">
        <f t="shared" si="31"/>
        <v>NY Submit</v>
      </c>
      <c r="BE248" s="174"/>
      <c r="BF248" s="12">
        <v>46029</v>
      </c>
      <c r="BG248" s="12"/>
      <c r="BH248" s="10" t="s">
        <v>3907</v>
      </c>
      <c r="BI248" s="12">
        <v>46034</v>
      </c>
      <c r="BJ248" s="12">
        <v>46035</v>
      </c>
      <c r="BK248" s="174"/>
      <c r="BL248" s="12" t="str">
        <f t="shared" si="32"/>
        <v>Submit</v>
      </c>
      <c r="BM248" s="12" t="str">
        <f t="shared" si="33"/>
        <v>Approved</v>
      </c>
      <c r="BN248" s="12"/>
      <c r="BO248" s="12"/>
      <c r="BP248" s="155" t="s">
        <v>2011</v>
      </c>
      <c r="BQ248" s="12" t="s">
        <v>2968</v>
      </c>
      <c r="BR248" s="12">
        <v>46052</v>
      </c>
      <c r="BS248" s="143" t="str">
        <f t="shared" ca="1" si="37"/>
        <v>Drop</v>
      </c>
      <c r="BT248" s="176"/>
      <c r="BU248" s="12"/>
      <c r="BV248" s="143" t="str">
        <f t="shared" ca="1" si="38"/>
        <v>Drop</v>
      </c>
      <c r="BW248" s="12"/>
      <c r="BX248" s="12"/>
      <c r="BY248" s="143"/>
      <c r="BZ248" s="13" t="s">
        <v>2526</v>
      </c>
      <c r="CA248" s="13" t="s">
        <v>2555</v>
      </c>
      <c r="CB248" s="13" t="s">
        <v>2486</v>
      </c>
      <c r="CC248" s="13"/>
      <c r="CD248" s="13"/>
      <c r="CE248" s="198"/>
      <c r="CF248" s="198"/>
      <c r="CG248" s="272"/>
      <c r="CH248" s="272"/>
      <c r="CI248" s="198"/>
      <c r="CJ248" s="198"/>
      <c r="CK248" s="198"/>
      <c r="CL248" s="198"/>
    </row>
    <row r="249" spans="1:90" ht="30" customHeight="1">
      <c r="A249" s="181">
        <v>244</v>
      </c>
      <c r="B249" s="190" t="s">
        <v>2486</v>
      </c>
      <c r="C249" s="190" t="s">
        <v>2487</v>
      </c>
      <c r="D249" s="190" t="s">
        <v>135</v>
      </c>
      <c r="E249" s="8" t="e">
        <f ca="1">+_xlfn.CONCAT(G249,"-",B249,"_",C249,"_",_xlfn.XLOOKUP(BP249,Account!M:M,Account!N:N))</f>
        <v>#NAME?</v>
      </c>
      <c r="F249" s="12">
        <v>46013</v>
      </c>
      <c r="G249" s="190" t="s">
        <v>66</v>
      </c>
      <c r="H249" s="190" t="s">
        <v>3911</v>
      </c>
      <c r="I249" s="10" t="s">
        <v>67</v>
      </c>
      <c r="J249" s="190">
        <v>11</v>
      </c>
      <c r="K249" s="190" t="s">
        <v>2486</v>
      </c>
      <c r="L249" s="190" t="s">
        <v>1263</v>
      </c>
      <c r="M249" s="190" t="s">
        <v>3912</v>
      </c>
      <c r="N249" s="10" t="s">
        <v>3913</v>
      </c>
      <c r="O249" s="178" t="s">
        <v>73</v>
      </c>
      <c r="P249" s="178" t="s">
        <v>3914</v>
      </c>
      <c r="Q249" s="327">
        <v>13212.913</v>
      </c>
      <c r="R249" s="190">
        <v>71</v>
      </c>
      <c r="S249" s="190"/>
      <c r="T249" s="190" t="s">
        <v>2494</v>
      </c>
      <c r="U249" s="190" t="s">
        <v>3330</v>
      </c>
      <c r="V249" s="8" t="s">
        <v>2011</v>
      </c>
      <c r="W249" s="10"/>
      <c r="X249" s="9"/>
      <c r="Y249" s="172" t="s">
        <v>2432</v>
      </c>
      <c r="Z249" s="172">
        <v>46018</v>
      </c>
      <c r="AA249" s="172">
        <v>46021</v>
      </c>
      <c r="AB249" s="143" t="str">
        <f t="shared" ca="1" si="29"/>
        <v>Expired</v>
      </c>
      <c r="AC249" s="13"/>
      <c r="AD249" s="12">
        <v>46022</v>
      </c>
      <c r="AE249" s="12">
        <v>46029</v>
      </c>
      <c r="AF249" s="12">
        <v>46063</v>
      </c>
      <c r="AG249" s="12"/>
      <c r="AH249" s="11">
        <v>46195</v>
      </c>
      <c r="AI249" s="11"/>
      <c r="AJ249" s="11"/>
      <c r="AK249" s="11"/>
      <c r="AL249" s="11"/>
      <c r="AM249" s="11"/>
      <c r="AN249" s="11"/>
      <c r="AO249" s="11" t="str">
        <f t="shared" si="40"/>
        <v>Dismantle Perangkat</v>
      </c>
      <c r="AP249" s="185" t="s">
        <v>3919</v>
      </c>
      <c r="AQ249" s="12">
        <v>46030</v>
      </c>
      <c r="AR249" s="12">
        <v>46078</v>
      </c>
      <c r="AS249" s="12">
        <v>46030</v>
      </c>
      <c r="AT249" s="12"/>
      <c r="AU249" s="12">
        <v>46078</v>
      </c>
      <c r="AV249" s="12">
        <v>46078</v>
      </c>
      <c r="AW249" s="11" t="str">
        <f t="shared" si="30"/>
        <v>1st BOQ App on ISAAC</v>
      </c>
      <c r="AX249" s="12"/>
      <c r="AY249" s="12"/>
      <c r="AZ249" s="12"/>
      <c r="BA249" s="12"/>
      <c r="BB249" s="12"/>
      <c r="BC249" s="12"/>
      <c r="BD249" s="11" t="str">
        <f t="shared" si="31"/>
        <v>NY Submit</v>
      </c>
      <c r="BE249" s="174"/>
      <c r="BF249" s="12">
        <v>46029</v>
      </c>
      <c r="BG249" s="12">
        <v>46035</v>
      </c>
      <c r="BH249" s="10" t="s">
        <v>3915</v>
      </c>
      <c r="BI249" s="12">
        <v>46034</v>
      </c>
      <c r="BJ249" s="12">
        <v>46035</v>
      </c>
      <c r="BK249" s="174"/>
      <c r="BL249" s="12" t="str">
        <f t="shared" si="32"/>
        <v>Approved</v>
      </c>
      <c r="BM249" s="12" t="str">
        <f t="shared" si="33"/>
        <v>Approved</v>
      </c>
      <c r="BN249" s="12"/>
      <c r="BO249" s="12"/>
      <c r="BP249" s="155" t="s">
        <v>2011</v>
      </c>
      <c r="BQ249" s="12" t="s">
        <v>2968</v>
      </c>
      <c r="BR249" s="12">
        <v>46097</v>
      </c>
      <c r="BS249" s="143">
        <f t="shared" ca="1" si="37"/>
        <v>19</v>
      </c>
      <c r="BT249" s="176"/>
      <c r="BU249" s="12"/>
      <c r="BV249" s="143">
        <f t="shared" ca="1" si="38"/>
        <v>0</v>
      </c>
      <c r="BW249" s="12"/>
      <c r="BX249" s="12"/>
      <c r="BY249" s="143"/>
      <c r="BZ249" s="13" t="s">
        <v>3920</v>
      </c>
      <c r="CA249" s="13" t="s">
        <v>2984</v>
      </c>
      <c r="CB249" s="13"/>
      <c r="CC249" s="13"/>
      <c r="CD249" s="13"/>
      <c r="CE249" s="198" t="s">
        <v>71</v>
      </c>
      <c r="CF249" s="198" t="s">
        <v>72</v>
      </c>
      <c r="CG249" s="272" t="s">
        <v>1200</v>
      </c>
      <c r="CH249" s="272" t="s">
        <v>1199</v>
      </c>
      <c r="CI249" s="198" t="s">
        <v>75</v>
      </c>
      <c r="CJ249" s="198"/>
      <c r="CK249" s="198"/>
      <c r="CL249" s="198"/>
    </row>
    <row r="250" spans="1:90">
      <c r="A250" s="187">
        <v>245</v>
      </c>
      <c r="B250" s="190" t="s">
        <v>2486</v>
      </c>
      <c r="C250" s="190" t="s">
        <v>2487</v>
      </c>
      <c r="D250" s="190" t="s">
        <v>135</v>
      </c>
      <c r="E250" s="8" t="e">
        <f ca="1">+_xlfn.CONCAT(G250,"-",B250,"_",C250,"_",_xlfn.XLOOKUP(BP250,Account!M:M,Account!N:N))</f>
        <v>#NAME?</v>
      </c>
      <c r="F250" s="12">
        <v>46006</v>
      </c>
      <c r="G250" s="190" t="s">
        <v>1964</v>
      </c>
      <c r="H250" s="190" t="s">
        <v>3882</v>
      </c>
      <c r="I250" s="10" t="s">
        <v>1965</v>
      </c>
      <c r="J250" s="190">
        <v>20</v>
      </c>
      <c r="K250" s="190" t="s">
        <v>2038</v>
      </c>
      <c r="L250" s="190" t="s">
        <v>3883</v>
      </c>
      <c r="M250" s="190" t="s">
        <v>3884</v>
      </c>
      <c r="N250" s="10" t="s">
        <v>3885</v>
      </c>
      <c r="O250" s="178" t="s">
        <v>3886</v>
      </c>
      <c r="P250" s="178" t="s">
        <v>3887</v>
      </c>
      <c r="Q250" s="327">
        <v>22120.78</v>
      </c>
      <c r="R250" s="190">
        <v>70</v>
      </c>
      <c r="S250" s="190"/>
      <c r="T250" s="190" t="s">
        <v>2494</v>
      </c>
      <c r="U250" s="190" t="s">
        <v>2495</v>
      </c>
      <c r="V250" s="8" t="s">
        <v>2011</v>
      </c>
      <c r="W250" s="10"/>
      <c r="X250" s="9"/>
      <c r="Y250" s="172" t="s">
        <v>2432</v>
      </c>
      <c r="Z250" s="172">
        <v>46008</v>
      </c>
      <c r="AA250" s="172">
        <v>46014</v>
      </c>
      <c r="AB250" s="143" t="str">
        <f t="shared" ca="1" si="29"/>
        <v>Expired</v>
      </c>
      <c r="AC250" s="13"/>
      <c r="AD250" s="12">
        <v>46013</v>
      </c>
      <c r="AE250" s="12">
        <v>46029</v>
      </c>
      <c r="AF250" s="12" t="s">
        <v>3628</v>
      </c>
      <c r="AG250" s="12"/>
      <c r="AH250" s="11"/>
      <c r="AI250" s="11"/>
      <c r="AJ250" s="11"/>
      <c r="AK250" s="11"/>
      <c r="AL250" s="11"/>
      <c r="AM250" s="11"/>
      <c r="AN250" s="11"/>
      <c r="AO250" s="11" t="str">
        <f t="shared" si="40"/>
        <v>Drop</v>
      </c>
      <c r="AP250" s="173" t="s">
        <v>2527</v>
      </c>
      <c r="AQ250" s="12"/>
      <c r="AR250" s="12"/>
      <c r="AS250" s="12"/>
      <c r="AT250" s="12"/>
      <c r="AU250" s="12"/>
      <c r="AV250" s="12"/>
      <c r="AW250" s="11" t="str">
        <f t="shared" si="30"/>
        <v>NY Submit</v>
      </c>
      <c r="AX250" s="12"/>
      <c r="AY250" s="12"/>
      <c r="AZ250" s="12"/>
      <c r="BA250" s="12"/>
      <c r="BB250" s="12"/>
      <c r="BC250" s="12"/>
      <c r="BD250" s="11" t="str">
        <f t="shared" si="31"/>
        <v>NY Submit</v>
      </c>
      <c r="BE250" s="174"/>
      <c r="BF250" s="12">
        <v>46029</v>
      </c>
      <c r="BG250" s="12"/>
      <c r="BH250" s="10" t="s">
        <v>3889</v>
      </c>
      <c r="BI250" s="12">
        <v>46034</v>
      </c>
      <c r="BJ250" s="12"/>
      <c r="BK250" s="174"/>
      <c r="BL250" s="12" t="str">
        <f t="shared" si="32"/>
        <v>Submit</v>
      </c>
      <c r="BM250" s="12" t="str">
        <f t="shared" si="33"/>
        <v>Submit</v>
      </c>
      <c r="BN250" s="12"/>
      <c r="BO250" s="12"/>
      <c r="BP250" s="155" t="s">
        <v>2011</v>
      </c>
      <c r="BQ250" s="12" t="s">
        <v>2526</v>
      </c>
      <c r="BR250" s="12"/>
      <c r="BS250" s="143" t="str">
        <f t="shared" ca="1" si="37"/>
        <v>Drop</v>
      </c>
      <c r="BT250" s="176"/>
      <c r="BU250" s="12"/>
      <c r="BV250" s="143" t="str">
        <f t="shared" ca="1" si="38"/>
        <v>Drop</v>
      </c>
      <c r="BW250" s="12"/>
      <c r="BX250" s="12"/>
      <c r="BY250" s="143"/>
      <c r="BZ250" s="13" t="s">
        <v>3921</v>
      </c>
      <c r="CA250" s="13"/>
      <c r="CB250" s="13"/>
      <c r="CC250" s="13"/>
      <c r="CD250" s="13"/>
      <c r="CE250" s="198"/>
      <c r="CF250" s="198"/>
      <c r="CG250" s="272"/>
      <c r="CH250" s="272"/>
      <c r="CI250" s="198"/>
      <c r="CJ250" s="198"/>
      <c r="CK250" s="198"/>
      <c r="CL250" s="198"/>
    </row>
    <row r="251" spans="1:90">
      <c r="A251" s="187">
        <v>246</v>
      </c>
      <c r="B251" s="190" t="s">
        <v>2486</v>
      </c>
      <c r="C251" s="190" t="s">
        <v>2487</v>
      </c>
      <c r="D251" s="190" t="s">
        <v>135</v>
      </c>
      <c r="E251" s="8" t="e">
        <f ca="1">+_xlfn.CONCAT(G251,"-",B251,"_",C251,"_",_xlfn.XLOOKUP(BP251,Account!M:M,Account!N:N))</f>
        <v>#NAME?</v>
      </c>
      <c r="F251" s="12">
        <v>46006</v>
      </c>
      <c r="G251" s="190" t="s">
        <v>2294</v>
      </c>
      <c r="H251" s="190" t="s">
        <v>3863</v>
      </c>
      <c r="I251" s="10" t="s">
        <v>2295</v>
      </c>
      <c r="J251" s="190">
        <v>2</v>
      </c>
      <c r="K251" s="190" t="s">
        <v>2038</v>
      </c>
      <c r="L251" s="190" t="s">
        <v>2780</v>
      </c>
      <c r="M251" s="190" t="s">
        <v>3014</v>
      </c>
      <c r="N251" s="10" t="s">
        <v>3864</v>
      </c>
      <c r="O251" s="178" t="s">
        <v>3865</v>
      </c>
      <c r="P251" s="178" t="s">
        <v>3866</v>
      </c>
      <c r="Q251" s="327">
        <v>6803.7250000000004</v>
      </c>
      <c r="R251" s="190">
        <v>37</v>
      </c>
      <c r="S251" s="190" t="s">
        <v>68</v>
      </c>
      <c r="T251" s="190" t="s">
        <v>2494</v>
      </c>
      <c r="U251" s="190" t="s">
        <v>2495</v>
      </c>
      <c r="V251" s="8" t="s">
        <v>2011</v>
      </c>
      <c r="W251" s="10"/>
      <c r="X251" s="9"/>
      <c r="Y251" s="172" t="s">
        <v>2432</v>
      </c>
      <c r="Z251" s="172">
        <v>46008</v>
      </c>
      <c r="AA251" s="172">
        <v>46014</v>
      </c>
      <c r="AB251" s="143" t="str">
        <f t="shared" ca="1" si="29"/>
        <v>Expired</v>
      </c>
      <c r="AC251" s="13"/>
      <c r="AD251" s="12">
        <v>46011</v>
      </c>
      <c r="AE251" s="12">
        <v>46011</v>
      </c>
      <c r="AF251" s="12" t="s">
        <v>3628</v>
      </c>
      <c r="AG251" s="12"/>
      <c r="AH251" s="11"/>
      <c r="AI251" s="11"/>
      <c r="AJ251" s="11"/>
      <c r="AK251" s="11"/>
      <c r="AL251" s="11"/>
      <c r="AM251" s="11"/>
      <c r="AN251" s="11"/>
      <c r="AO251" s="11" t="str">
        <f t="shared" si="40"/>
        <v>Drop</v>
      </c>
      <c r="AP251" s="173" t="s">
        <v>2527</v>
      </c>
      <c r="AQ251" s="12"/>
      <c r="AR251" s="12"/>
      <c r="AS251" s="12"/>
      <c r="AT251" s="12"/>
      <c r="AU251" s="12"/>
      <c r="AV251" s="12"/>
      <c r="AW251" s="11" t="str">
        <f t="shared" si="30"/>
        <v>NY Submit</v>
      </c>
      <c r="AX251" s="12"/>
      <c r="AY251" s="12"/>
      <c r="AZ251" s="12"/>
      <c r="BA251" s="12"/>
      <c r="BB251" s="12"/>
      <c r="BC251" s="12"/>
      <c r="BD251" s="11" t="str">
        <f t="shared" si="31"/>
        <v>NY Submit</v>
      </c>
      <c r="BE251" s="174"/>
      <c r="BF251" s="12">
        <v>46011</v>
      </c>
      <c r="BG251" s="12">
        <v>46013</v>
      </c>
      <c r="BH251" s="10" t="s">
        <v>3870</v>
      </c>
      <c r="BI251" s="12">
        <v>46019</v>
      </c>
      <c r="BJ251" s="12">
        <v>45659</v>
      </c>
      <c r="BK251" s="174"/>
      <c r="BL251" s="12" t="str">
        <f t="shared" si="32"/>
        <v>Approved</v>
      </c>
      <c r="BM251" s="12" t="str">
        <f t="shared" si="33"/>
        <v>Approved</v>
      </c>
      <c r="BN251" s="12"/>
      <c r="BO251" s="12"/>
      <c r="BP251" s="155" t="s">
        <v>2011</v>
      </c>
      <c r="BQ251" s="12" t="s">
        <v>2526</v>
      </c>
      <c r="BR251" s="12"/>
      <c r="BS251" s="143" t="str">
        <f t="shared" ca="1" si="37"/>
        <v>Drop</v>
      </c>
      <c r="BT251" s="176"/>
      <c r="BU251" s="12"/>
      <c r="BV251" s="143" t="str">
        <f t="shared" ca="1" si="38"/>
        <v>Drop</v>
      </c>
      <c r="BW251" s="12"/>
      <c r="BX251" s="12"/>
      <c r="BY251" s="143"/>
      <c r="BZ251" s="13" t="s">
        <v>2527</v>
      </c>
      <c r="CA251" s="13"/>
      <c r="CB251" s="13"/>
      <c r="CC251" s="13"/>
      <c r="CD251" s="13"/>
      <c r="CE251" s="198"/>
      <c r="CF251" s="198"/>
      <c r="CG251" s="272"/>
      <c r="CH251" s="272"/>
      <c r="CI251" s="198"/>
      <c r="CJ251" s="198"/>
      <c r="CK251" s="198"/>
      <c r="CL251" s="198"/>
    </row>
    <row r="252" spans="1:90">
      <c r="A252" s="187">
        <v>247</v>
      </c>
      <c r="B252" s="190" t="s">
        <v>2486</v>
      </c>
      <c r="C252" s="190" t="s">
        <v>2487</v>
      </c>
      <c r="D252" s="190" t="s">
        <v>135</v>
      </c>
      <c r="E252" s="8" t="e">
        <f ca="1">+_xlfn.CONCAT(G252,"-",B252,"_",C252,"_",_xlfn.XLOOKUP(BP252,Account!M:M,Account!N:N))</f>
        <v>#NAME?</v>
      </c>
      <c r="F252" s="12">
        <v>45967</v>
      </c>
      <c r="G252" s="190" t="s">
        <v>240</v>
      </c>
      <c r="H252" s="190" t="s">
        <v>3778</v>
      </c>
      <c r="I252" s="10" t="s">
        <v>2278</v>
      </c>
      <c r="J252" s="190">
        <v>14</v>
      </c>
      <c r="K252" s="190" t="s">
        <v>2486</v>
      </c>
      <c r="L252" s="190" t="s">
        <v>1279</v>
      </c>
      <c r="M252" s="190" t="s">
        <v>2884</v>
      </c>
      <c r="N252" s="10" t="s">
        <v>3779</v>
      </c>
      <c r="O252" s="178" t="s">
        <v>3780</v>
      </c>
      <c r="P252" s="178" t="s">
        <v>3781</v>
      </c>
      <c r="Q252" s="327">
        <v>3713.64</v>
      </c>
      <c r="R252" s="190">
        <v>25</v>
      </c>
      <c r="S252" s="190"/>
      <c r="T252" s="190" t="s">
        <v>2518</v>
      </c>
      <c r="U252" s="190" t="s">
        <v>2519</v>
      </c>
      <c r="V252" s="8" t="s">
        <v>2011</v>
      </c>
      <c r="W252" s="10"/>
      <c r="X252" s="9"/>
      <c r="Y252" s="172"/>
      <c r="Z252" s="172"/>
      <c r="AA252" s="172"/>
      <c r="AB252" s="143" t="str">
        <f t="shared" ca="1" si="29"/>
        <v>NY Submit</v>
      </c>
      <c r="AC252" s="13"/>
      <c r="AD252" s="12">
        <v>45999</v>
      </c>
      <c r="AE252" s="12">
        <v>45999</v>
      </c>
      <c r="AF252" s="12"/>
      <c r="AG252" s="12"/>
      <c r="AH252" s="11">
        <v>46083</v>
      </c>
      <c r="AI252" s="11"/>
      <c r="AJ252" s="11">
        <v>46217</v>
      </c>
      <c r="AK252" s="11"/>
      <c r="AL252" s="11"/>
      <c r="AM252" s="11"/>
      <c r="AN252" s="11"/>
      <c r="AO252" s="11" t="str">
        <f t="shared" si="40"/>
        <v>Inbound</v>
      </c>
      <c r="AP252" s="173" t="s">
        <v>3922</v>
      </c>
      <c r="AQ252" s="12">
        <v>46125</v>
      </c>
      <c r="AR252" s="12">
        <v>46127</v>
      </c>
      <c r="AS252" s="12"/>
      <c r="AT252" s="12"/>
      <c r="AU252" s="12"/>
      <c r="AV252" s="12">
        <v>46134</v>
      </c>
      <c r="AW252" s="11" t="str">
        <f t="shared" si="30"/>
        <v>1st BOQ App on ISAAC</v>
      </c>
      <c r="AX252" s="12">
        <v>46127</v>
      </c>
      <c r="AY252" s="12"/>
      <c r="AZ252" s="12"/>
      <c r="BA252" s="12"/>
      <c r="BB252" s="12"/>
      <c r="BC252" s="12">
        <v>46134</v>
      </c>
      <c r="BD252" s="11" t="str">
        <f t="shared" si="31"/>
        <v>2nd BOQ App on ISAAC</v>
      </c>
      <c r="BE252" s="174"/>
      <c r="BF252" s="12">
        <v>45999</v>
      </c>
      <c r="BG252" s="12">
        <v>46001</v>
      </c>
      <c r="BH252" s="10" t="s">
        <v>3783</v>
      </c>
      <c r="BI252" s="12">
        <v>46000</v>
      </c>
      <c r="BJ252" s="12">
        <v>46002</v>
      </c>
      <c r="BK252" s="174"/>
      <c r="BL252" s="12" t="str">
        <f t="shared" si="32"/>
        <v>Approved</v>
      </c>
      <c r="BM252" s="12" t="str">
        <f t="shared" si="33"/>
        <v>Approved</v>
      </c>
      <c r="BN252" s="12"/>
      <c r="BO252" s="12"/>
      <c r="BP252" s="155" t="s">
        <v>2011</v>
      </c>
      <c r="BQ252" s="12" t="s">
        <v>3923</v>
      </c>
      <c r="BR252" s="12">
        <v>46149</v>
      </c>
      <c r="BS252" s="143">
        <f t="shared" ca="1" si="37"/>
        <v>15</v>
      </c>
      <c r="BT252" s="176"/>
      <c r="BU252" s="12"/>
      <c r="BV252" s="143">
        <f t="shared" ca="1" si="38"/>
        <v>105</v>
      </c>
      <c r="BW252" s="12"/>
      <c r="BX252" s="12"/>
      <c r="BY252" s="143"/>
      <c r="BZ252" s="13" t="s">
        <v>2500</v>
      </c>
      <c r="CA252" s="13" t="s">
        <v>2984</v>
      </c>
      <c r="CB252" s="13"/>
      <c r="CC252" s="13"/>
      <c r="CD252" s="13"/>
      <c r="CE252" s="198"/>
      <c r="CF252" s="198"/>
      <c r="CG252" s="272"/>
      <c r="CH252" s="272"/>
      <c r="CI252" s="198"/>
      <c r="CJ252" s="198"/>
      <c r="CK252" s="198"/>
      <c r="CL252" s="198"/>
    </row>
    <row r="253" spans="1:90">
      <c r="A253" s="187">
        <v>248</v>
      </c>
      <c r="B253" s="190" t="s">
        <v>2486</v>
      </c>
      <c r="C253" s="190" t="s">
        <v>2487</v>
      </c>
      <c r="D253" s="190" t="s">
        <v>135</v>
      </c>
      <c r="E253" s="8" t="e">
        <f ca="1">+_xlfn.CONCAT(G253,"-",B253,"_",C253,"_",_xlfn.XLOOKUP(BP253,Account!M:M,Account!N:N))</f>
        <v>#NAME?</v>
      </c>
      <c r="F253" s="12">
        <v>46013</v>
      </c>
      <c r="G253" s="190" t="s">
        <v>3892</v>
      </c>
      <c r="H253" s="190" t="s">
        <v>3893</v>
      </c>
      <c r="I253" s="10" t="s">
        <v>3894</v>
      </c>
      <c r="J253" s="190">
        <v>19</v>
      </c>
      <c r="K253" s="190" t="s">
        <v>2486</v>
      </c>
      <c r="L253" s="190" t="s">
        <v>1367</v>
      </c>
      <c r="M253" s="190" t="s">
        <v>3700</v>
      </c>
      <c r="N253" s="10" t="s">
        <v>3895</v>
      </c>
      <c r="O253" s="178" t="s">
        <v>3896</v>
      </c>
      <c r="P253" s="178" t="s">
        <v>3897</v>
      </c>
      <c r="Q253" s="327">
        <v>335.34249999999997</v>
      </c>
      <c r="R253" s="190">
        <v>12</v>
      </c>
      <c r="S253" s="190" t="s">
        <v>68</v>
      </c>
      <c r="T253" s="6" t="s">
        <v>2518</v>
      </c>
      <c r="U253" s="6" t="s">
        <v>2565</v>
      </c>
      <c r="V253" s="8" t="s">
        <v>2011</v>
      </c>
      <c r="W253" s="10"/>
      <c r="X253" s="9"/>
      <c r="Y253" s="172" t="s">
        <v>2432</v>
      </c>
      <c r="Z253" s="172">
        <v>46018</v>
      </c>
      <c r="AA253" s="172">
        <v>46021</v>
      </c>
      <c r="AB253" s="143" t="str">
        <f t="shared" ca="1" si="29"/>
        <v>Expired</v>
      </c>
      <c r="AC253" s="13"/>
      <c r="AD253" s="12">
        <v>46015</v>
      </c>
      <c r="AE253" s="12">
        <v>46027</v>
      </c>
      <c r="AF253" s="12" t="s">
        <v>3628</v>
      </c>
      <c r="AG253" s="12"/>
      <c r="AH253" s="11"/>
      <c r="AI253" s="11"/>
      <c r="AJ253" s="11"/>
      <c r="AK253" s="11"/>
      <c r="AL253" s="11"/>
      <c r="AM253" s="11"/>
      <c r="AN253" s="11"/>
      <c r="AO253" s="11" t="str">
        <f t="shared" si="40"/>
        <v>Drop</v>
      </c>
      <c r="AP253" s="173" t="s">
        <v>2527</v>
      </c>
      <c r="AQ253" s="12"/>
      <c r="AR253" s="12"/>
      <c r="AS253" s="12"/>
      <c r="AT253" s="12"/>
      <c r="AU253" s="12"/>
      <c r="AV253" s="12"/>
      <c r="AW253" s="11" t="str">
        <f t="shared" si="30"/>
        <v>NY Submit</v>
      </c>
      <c r="AX253" s="12"/>
      <c r="AY253" s="12"/>
      <c r="AZ253" s="12"/>
      <c r="BA253" s="12"/>
      <c r="BB253" s="12"/>
      <c r="BC253" s="12"/>
      <c r="BD253" s="11" t="str">
        <f t="shared" si="31"/>
        <v>NY Submit</v>
      </c>
      <c r="BE253" s="174"/>
      <c r="BF253" s="12">
        <v>46027</v>
      </c>
      <c r="BG253" s="12"/>
      <c r="BH253" s="201" t="s">
        <v>3899</v>
      </c>
      <c r="BI253" s="12">
        <v>46027</v>
      </c>
      <c r="BJ253" s="12">
        <v>46028</v>
      </c>
      <c r="BK253" s="174" t="s">
        <v>3924</v>
      </c>
      <c r="BL253" s="12" t="str">
        <f t="shared" si="32"/>
        <v>Submit</v>
      </c>
      <c r="BM253" s="12" t="str">
        <f t="shared" si="33"/>
        <v>Approved</v>
      </c>
      <c r="BN253" s="12"/>
      <c r="BO253" s="12"/>
      <c r="BP253" s="155" t="s">
        <v>2011</v>
      </c>
      <c r="BQ253" s="12" t="s">
        <v>2526</v>
      </c>
      <c r="BR253" s="12"/>
      <c r="BS253" s="143" t="str">
        <f t="shared" ca="1" si="37"/>
        <v>Drop</v>
      </c>
      <c r="BT253" s="176"/>
      <c r="BU253" s="12"/>
      <c r="BV253" s="143" t="str">
        <f t="shared" ca="1" si="38"/>
        <v>Drop</v>
      </c>
      <c r="BW253" s="12"/>
      <c r="BX253" s="12"/>
      <c r="BY253" s="143"/>
      <c r="BZ253" s="13" t="s">
        <v>2527</v>
      </c>
      <c r="CA253" s="13"/>
      <c r="CB253" s="13"/>
      <c r="CC253" s="13"/>
      <c r="CD253" s="13"/>
      <c r="CE253" s="198"/>
      <c r="CF253" s="198"/>
      <c r="CG253" s="272"/>
      <c r="CH253" s="272"/>
      <c r="CI253" s="198"/>
      <c r="CJ253" s="198"/>
      <c r="CK253" s="198"/>
      <c r="CL253" s="198"/>
    </row>
    <row r="254" spans="1:90">
      <c r="A254" s="187">
        <v>249</v>
      </c>
      <c r="B254" s="190" t="s">
        <v>2486</v>
      </c>
      <c r="C254" s="190" t="s">
        <v>2487</v>
      </c>
      <c r="D254" s="190" t="s">
        <v>135</v>
      </c>
      <c r="E254" s="8" t="e">
        <f ca="1">+_xlfn.CONCAT(G254,"-",B254,"_",C254,"_",_xlfn.XLOOKUP(BP254,Account!M:M,Account!N:N))</f>
        <v>#NAME?</v>
      </c>
      <c r="F254" s="12">
        <v>46034</v>
      </c>
      <c r="G254" s="190" t="s">
        <v>3925</v>
      </c>
      <c r="H254" s="190" t="s">
        <v>3926</v>
      </c>
      <c r="I254" s="10" t="s">
        <v>3927</v>
      </c>
      <c r="J254" s="190">
        <v>15</v>
      </c>
      <c r="K254" s="190" t="s">
        <v>2038</v>
      </c>
      <c r="L254" s="190" t="s">
        <v>1279</v>
      </c>
      <c r="M254" s="190" t="s">
        <v>3928</v>
      </c>
      <c r="N254" s="10" t="s">
        <v>3929</v>
      </c>
      <c r="O254" s="178" t="s">
        <v>3930</v>
      </c>
      <c r="P254" s="178" t="s">
        <v>3931</v>
      </c>
      <c r="Q254" s="327"/>
      <c r="R254" s="190">
        <v>52</v>
      </c>
      <c r="S254" s="190" t="s">
        <v>68</v>
      </c>
      <c r="T254" s="190" t="s">
        <v>2494</v>
      </c>
      <c r="U254" s="190" t="s">
        <v>3330</v>
      </c>
      <c r="V254" s="8" t="s">
        <v>1760</v>
      </c>
      <c r="W254" s="10"/>
      <c r="X254" s="9"/>
      <c r="Y254" s="172"/>
      <c r="Z254" s="172"/>
      <c r="AA254" s="172"/>
      <c r="AB254" s="143" t="str">
        <f t="shared" ca="1" si="29"/>
        <v>NY Submit</v>
      </c>
      <c r="AC254" s="13"/>
      <c r="AD254" s="12"/>
      <c r="AE254" s="12"/>
      <c r="AF254" s="12" t="s">
        <v>3628</v>
      </c>
      <c r="AG254" s="12"/>
      <c r="AH254" s="11"/>
      <c r="AI254" s="11"/>
      <c r="AJ254" s="11"/>
      <c r="AK254" s="11"/>
      <c r="AL254" s="11"/>
      <c r="AM254" s="11"/>
      <c r="AN254" s="11"/>
      <c r="AO254" s="11" t="str">
        <f>+IF(AN254&lt;&gt;"","BAST",IF(AI254&lt;&gt;"","Dismantle",IF(AG254&lt;&gt;"","RFD App",IF(AF254="Drop","Drop",IF(AE254&lt;&gt;"","Survey Report",IF(AD254&lt;&gt;"","Survey","NY Survey"))))))</f>
        <v>Drop</v>
      </c>
      <c r="AP254" s="173"/>
      <c r="AQ254" s="12"/>
      <c r="AR254" s="12"/>
      <c r="AS254" s="12"/>
      <c r="AT254" s="12"/>
      <c r="AU254" s="12"/>
      <c r="AV254" s="12"/>
      <c r="AW254" s="11" t="str">
        <f t="shared" si="30"/>
        <v>NY Submit</v>
      </c>
      <c r="AX254" s="12"/>
      <c r="AY254" s="12"/>
      <c r="AZ254" s="12"/>
      <c r="BA254" s="12"/>
      <c r="BB254" s="12"/>
      <c r="BC254" s="12"/>
      <c r="BD254" s="11" t="str">
        <f t="shared" si="31"/>
        <v>NY Submit</v>
      </c>
      <c r="BE254" s="174"/>
      <c r="BF254" s="12"/>
      <c r="BG254" s="12"/>
      <c r="BH254" s="12"/>
      <c r="BI254" s="12"/>
      <c r="BJ254" s="12"/>
      <c r="BK254" s="174"/>
      <c r="BL254" s="12" t="str">
        <f t="shared" si="32"/>
        <v>NY Submit</v>
      </c>
      <c r="BM254" s="12" t="str">
        <f t="shared" si="33"/>
        <v>NY Submit</v>
      </c>
      <c r="BN254" s="12"/>
      <c r="BO254" s="12"/>
      <c r="BP254" s="155" t="s">
        <v>1760</v>
      </c>
      <c r="BQ254" s="12" t="s">
        <v>2526</v>
      </c>
      <c r="BR254" s="12"/>
      <c r="BS254" s="143" t="str">
        <f t="shared" ca="1" si="37"/>
        <v>Drop</v>
      </c>
      <c r="BT254" s="176"/>
      <c r="BU254" s="12"/>
      <c r="BV254" s="143" t="str">
        <f t="shared" ca="1" si="38"/>
        <v>Drop</v>
      </c>
      <c r="BW254" s="12"/>
      <c r="BX254" s="12"/>
      <c r="BY254" s="143"/>
      <c r="BZ254" s="13" t="s">
        <v>2526</v>
      </c>
      <c r="CA254" s="13"/>
      <c r="CB254" s="13"/>
      <c r="CC254" s="13"/>
      <c r="CD254" s="13"/>
      <c r="CE254" s="198"/>
      <c r="CF254" s="198"/>
      <c r="CG254" s="272"/>
      <c r="CH254" s="272"/>
      <c r="CI254" s="198"/>
      <c r="CJ254" s="198"/>
      <c r="CK254" s="198"/>
      <c r="CL254" s="198"/>
    </row>
    <row r="255" spans="1:90">
      <c r="A255" s="187">
        <v>250</v>
      </c>
      <c r="B255" s="190" t="s">
        <v>2486</v>
      </c>
      <c r="C255" s="190" t="s">
        <v>2487</v>
      </c>
      <c r="D255" s="190" t="s">
        <v>135</v>
      </c>
      <c r="E255" s="8" t="e">
        <f ca="1">+_xlfn.CONCAT(G255,"-",B255,"_",C255,"_",_xlfn.XLOOKUP(BP255,Account!M:M,Account!N:N))</f>
        <v>#NAME?</v>
      </c>
      <c r="F255" s="12">
        <v>46034</v>
      </c>
      <c r="G255" s="190" t="s">
        <v>3925</v>
      </c>
      <c r="H255" s="190" t="s">
        <v>3926</v>
      </c>
      <c r="I255" s="10" t="s">
        <v>3927</v>
      </c>
      <c r="J255" s="190">
        <v>15</v>
      </c>
      <c r="K255" s="190" t="s">
        <v>2038</v>
      </c>
      <c r="L255" s="190" t="s">
        <v>1279</v>
      </c>
      <c r="M255" s="190" t="s">
        <v>3928</v>
      </c>
      <c r="N255" s="10" t="s">
        <v>3929</v>
      </c>
      <c r="O255" s="178" t="s">
        <v>3930</v>
      </c>
      <c r="P255" s="178" t="s">
        <v>3931</v>
      </c>
      <c r="Q255" s="327"/>
      <c r="R255" s="190">
        <v>52</v>
      </c>
      <c r="S255" s="190" t="s">
        <v>68</v>
      </c>
      <c r="T255" s="190" t="s">
        <v>2494</v>
      </c>
      <c r="U255" s="190" t="s">
        <v>3330</v>
      </c>
      <c r="V255" s="8" t="s">
        <v>2011</v>
      </c>
      <c r="W255" s="10"/>
      <c r="X255" s="9"/>
      <c r="Y255" s="172"/>
      <c r="Z255" s="172"/>
      <c r="AA255" s="172"/>
      <c r="AB255" s="143" t="str">
        <f t="shared" ca="1" si="29"/>
        <v>NY Submit</v>
      </c>
      <c r="AC255" s="13"/>
      <c r="AD255" s="12"/>
      <c r="AE255" s="12"/>
      <c r="AF255" s="12" t="s">
        <v>3628</v>
      </c>
      <c r="AG255" s="12"/>
      <c r="AH255" s="11"/>
      <c r="AI255" s="11"/>
      <c r="AJ255" s="11"/>
      <c r="AK255" s="11"/>
      <c r="AL255" s="11"/>
      <c r="AM255" s="11"/>
      <c r="AN255" s="11"/>
      <c r="AO255" s="11" t="str">
        <f>+IF(AM255&lt;&gt;"","ATP App MS",IF(AJ255&lt;&gt;"","Inbound",IF(AH255&lt;&gt;"","Dismantle Perangkat",IF(AF255="Drop","Drop",IF(AE255&lt;&gt;"","Survey Report",IF(AD255&lt;&gt;"","Survey","NY Survey"))))))</f>
        <v>Drop</v>
      </c>
      <c r="AP255" s="173"/>
      <c r="AQ255" s="12"/>
      <c r="AR255" s="12"/>
      <c r="AS255" s="12"/>
      <c r="AT255" s="12"/>
      <c r="AU255" s="12"/>
      <c r="AV255" s="12"/>
      <c r="AW255" s="11" t="str">
        <f t="shared" si="30"/>
        <v>NY Submit</v>
      </c>
      <c r="AX255" s="12"/>
      <c r="AY255" s="12"/>
      <c r="AZ255" s="12"/>
      <c r="BA255" s="12"/>
      <c r="BB255" s="12"/>
      <c r="BC255" s="12"/>
      <c r="BD255" s="11" t="str">
        <f t="shared" si="31"/>
        <v>NY Submit</v>
      </c>
      <c r="BE255" s="174"/>
      <c r="BF255" s="12"/>
      <c r="BG255" s="12"/>
      <c r="BH255" s="12"/>
      <c r="BI255" s="12"/>
      <c r="BJ255" s="12"/>
      <c r="BK255" s="174"/>
      <c r="BL255" s="12" t="str">
        <f t="shared" si="32"/>
        <v>NY Submit</v>
      </c>
      <c r="BM255" s="12" t="str">
        <f t="shared" si="33"/>
        <v>NY Submit</v>
      </c>
      <c r="BN255" s="12"/>
      <c r="BO255" s="12"/>
      <c r="BP255" s="155" t="s">
        <v>2011</v>
      </c>
      <c r="BQ255" s="12" t="s">
        <v>2526</v>
      </c>
      <c r="BR255" s="12"/>
      <c r="BS255" s="143" t="str">
        <f t="shared" ca="1" si="37"/>
        <v>Drop</v>
      </c>
      <c r="BT255" s="176"/>
      <c r="BU255" s="12"/>
      <c r="BV255" s="143" t="str">
        <f t="shared" ca="1" si="38"/>
        <v>Drop</v>
      </c>
      <c r="BW255" s="12"/>
      <c r="BX255" s="12"/>
      <c r="BY255" s="143"/>
      <c r="BZ255" s="13" t="s">
        <v>2526</v>
      </c>
      <c r="CA255" s="13"/>
      <c r="CB255" s="13"/>
      <c r="CC255" s="13"/>
      <c r="CD255" s="13"/>
      <c r="CE255" s="198"/>
      <c r="CF255" s="198"/>
      <c r="CG255" s="272"/>
      <c r="CH255" s="272"/>
      <c r="CI255" s="198"/>
      <c r="CJ255" s="198"/>
      <c r="CK255" s="198"/>
      <c r="CL255" s="198"/>
    </row>
    <row r="256" spans="1:90">
      <c r="A256" s="187">
        <v>251</v>
      </c>
      <c r="B256" s="190" t="s">
        <v>2486</v>
      </c>
      <c r="C256" s="190" t="s">
        <v>2487</v>
      </c>
      <c r="D256" s="190" t="s">
        <v>135</v>
      </c>
      <c r="E256" s="8" t="e">
        <f ca="1">+_xlfn.CONCAT(G256,"-",B256,"_",C256,"_",_xlfn.XLOOKUP(BP256,Account!M:M,Account!N:N))</f>
        <v>#NAME?</v>
      </c>
      <c r="F256" s="12">
        <v>46034</v>
      </c>
      <c r="G256" s="190" t="s">
        <v>3925</v>
      </c>
      <c r="H256" s="190" t="s">
        <v>3926</v>
      </c>
      <c r="I256" s="10" t="s">
        <v>3927</v>
      </c>
      <c r="J256" s="190">
        <v>15</v>
      </c>
      <c r="K256" s="190" t="s">
        <v>2038</v>
      </c>
      <c r="L256" s="190" t="s">
        <v>1279</v>
      </c>
      <c r="M256" s="190" t="s">
        <v>3928</v>
      </c>
      <c r="N256" s="10" t="s">
        <v>3929</v>
      </c>
      <c r="O256" s="178" t="s">
        <v>3930</v>
      </c>
      <c r="P256" s="178" t="s">
        <v>3931</v>
      </c>
      <c r="Q256" s="327"/>
      <c r="R256" s="190">
        <v>52</v>
      </c>
      <c r="S256" s="190" t="s">
        <v>68</v>
      </c>
      <c r="T256" s="190" t="s">
        <v>2494</v>
      </c>
      <c r="U256" s="190" t="s">
        <v>3330</v>
      </c>
      <c r="V256" s="8" t="s">
        <v>1768</v>
      </c>
      <c r="W256" s="10"/>
      <c r="X256" s="9"/>
      <c r="Y256" s="172"/>
      <c r="Z256" s="172"/>
      <c r="AA256" s="172"/>
      <c r="AB256" s="143" t="str">
        <f t="shared" ca="1" si="29"/>
        <v>NY Submit</v>
      </c>
      <c r="AC256" s="13"/>
      <c r="AD256" s="12"/>
      <c r="AE256" s="12"/>
      <c r="AF256" s="12" t="s">
        <v>3628</v>
      </c>
      <c r="AG256" s="12"/>
      <c r="AH256" s="11"/>
      <c r="AI256" s="11"/>
      <c r="AJ256" s="11"/>
      <c r="AK256" s="11"/>
      <c r="AL256" s="11"/>
      <c r="AM256" s="11"/>
      <c r="AN256" s="11"/>
      <c r="AO256" s="11" t="str">
        <f>+IF(AM256&lt;&gt;"","ATP App MS",IF(AL256&lt;&gt;"","OA/RFS",IF(AK256&lt;&gt;"","Install",IF(AH256&lt;&gt;"","Dismantle Perangkat",IF(AF256="Drop","Drop",IF(AE256&lt;&gt;"","Survey Report",IF(AD256&lt;&gt;"","Survey","NY Survey")))))))</f>
        <v>Drop</v>
      </c>
      <c r="AP256" s="173"/>
      <c r="AQ256" s="12"/>
      <c r="AR256" s="12"/>
      <c r="AS256" s="12"/>
      <c r="AT256" s="12"/>
      <c r="AU256" s="12"/>
      <c r="AV256" s="12"/>
      <c r="AW256" s="11" t="str">
        <f t="shared" si="30"/>
        <v>NY Submit</v>
      </c>
      <c r="AX256" s="12"/>
      <c r="AY256" s="12"/>
      <c r="AZ256" s="12"/>
      <c r="BA256" s="12"/>
      <c r="BB256" s="12"/>
      <c r="BC256" s="12"/>
      <c r="BD256" s="11" t="str">
        <f t="shared" si="31"/>
        <v>NY Submit</v>
      </c>
      <c r="BE256" s="174"/>
      <c r="BF256" s="12"/>
      <c r="BG256" s="12"/>
      <c r="BH256" s="12"/>
      <c r="BI256" s="12"/>
      <c r="BJ256" s="12"/>
      <c r="BK256" s="174"/>
      <c r="BL256" s="12" t="str">
        <f t="shared" si="32"/>
        <v>NY Submit</v>
      </c>
      <c r="BM256" s="12" t="str">
        <f t="shared" si="33"/>
        <v>NY Submit</v>
      </c>
      <c r="BN256" s="12"/>
      <c r="BO256" s="12"/>
      <c r="BP256" s="155" t="s">
        <v>1768</v>
      </c>
      <c r="BQ256" s="12" t="s">
        <v>2526</v>
      </c>
      <c r="BR256" s="12"/>
      <c r="BS256" s="143" t="str">
        <f t="shared" ca="1" si="37"/>
        <v>Drop</v>
      </c>
      <c r="BT256" s="176"/>
      <c r="BU256" s="12"/>
      <c r="BV256" s="143" t="str">
        <f t="shared" ca="1" si="38"/>
        <v>Drop</v>
      </c>
      <c r="BW256" s="12"/>
      <c r="BX256" s="12"/>
      <c r="BY256" s="143"/>
      <c r="BZ256" s="13" t="s">
        <v>2526</v>
      </c>
      <c r="CA256" s="13"/>
      <c r="CB256" s="13"/>
      <c r="CC256" s="13"/>
      <c r="CD256" s="13"/>
      <c r="CE256" s="198"/>
      <c r="CF256" s="198"/>
      <c r="CG256" s="272"/>
      <c r="CH256" s="272"/>
      <c r="CI256" s="198"/>
      <c r="CJ256" s="198"/>
      <c r="CK256" s="198"/>
      <c r="CL256" s="198"/>
    </row>
    <row r="257" spans="1:90" ht="120" customHeight="1">
      <c r="A257" s="181">
        <v>252</v>
      </c>
      <c r="B257" s="190" t="s">
        <v>2486</v>
      </c>
      <c r="C257" s="190" t="s">
        <v>2487</v>
      </c>
      <c r="D257" s="190" t="s">
        <v>135</v>
      </c>
      <c r="E257" s="8" t="e">
        <f ca="1">+_xlfn.CONCAT(G257,"-",B257,"_",C257,"_",_xlfn.XLOOKUP(BP257,Account!M:M,Account!N:N))</f>
        <v>#NAME?</v>
      </c>
      <c r="F257" s="12">
        <v>45831</v>
      </c>
      <c r="G257" s="190" t="s">
        <v>1859</v>
      </c>
      <c r="H257" s="190" t="s">
        <v>3136</v>
      </c>
      <c r="I257" s="10" t="s">
        <v>1860</v>
      </c>
      <c r="J257" s="190">
        <v>6</v>
      </c>
      <c r="K257" s="190" t="s">
        <v>2038</v>
      </c>
      <c r="L257" s="190" t="s">
        <v>3052</v>
      </c>
      <c r="M257" s="190" t="s">
        <v>3137</v>
      </c>
      <c r="N257" s="10" t="s">
        <v>3138</v>
      </c>
      <c r="O257" s="178" t="s">
        <v>3139</v>
      </c>
      <c r="P257" s="178" t="s">
        <v>3140</v>
      </c>
      <c r="Q257" s="327">
        <v>22120.78</v>
      </c>
      <c r="R257" s="190">
        <v>70</v>
      </c>
      <c r="S257" s="190" t="s">
        <v>2930</v>
      </c>
      <c r="T257" s="190" t="s">
        <v>2494</v>
      </c>
      <c r="U257" s="190" t="s">
        <v>3932</v>
      </c>
      <c r="V257" s="8" t="s">
        <v>3933</v>
      </c>
      <c r="W257" s="10" t="s">
        <v>3148</v>
      </c>
      <c r="X257" s="9"/>
      <c r="Y257" s="172" t="s">
        <v>2956</v>
      </c>
      <c r="Z257" s="172">
        <v>46034</v>
      </c>
      <c r="AA257" s="172">
        <v>46041</v>
      </c>
      <c r="AB257" s="143" t="str">
        <f t="shared" ca="1" si="29"/>
        <v>Expired</v>
      </c>
      <c r="AC257" s="13"/>
      <c r="AD257" s="12">
        <v>45866</v>
      </c>
      <c r="AE257" s="12">
        <v>45866</v>
      </c>
      <c r="AF257" s="12"/>
      <c r="AG257" s="12"/>
      <c r="AH257" s="11"/>
      <c r="AI257" s="11"/>
      <c r="AJ257" s="11"/>
      <c r="AK257" s="11">
        <v>46040</v>
      </c>
      <c r="AL257" s="11">
        <v>46040</v>
      </c>
      <c r="AM257" s="11">
        <v>46049</v>
      </c>
      <c r="AN257" s="11"/>
      <c r="AO257" s="11" t="str">
        <f>+IF(AM257&lt;&gt;"","ATP App MS",IF(AL257&lt;&gt;"","OA/RFS",IF(AK257&lt;&gt;"","Install",IF(AH257&lt;&gt;"","Dismantle Perangkat",IF(AF257="Drop","Drop",IF(AE257&lt;&gt;"","Survey Report",IF(AD257&lt;&gt;"","Survey","NY Survey")))))))</f>
        <v>ATP App MS</v>
      </c>
      <c r="AP257" s="185" t="s">
        <v>3934</v>
      </c>
      <c r="AQ257" s="12"/>
      <c r="AR257" s="12"/>
      <c r="AS257" s="12"/>
      <c r="AT257" s="12"/>
      <c r="AU257" s="12"/>
      <c r="AV257" s="12"/>
      <c r="AW257" s="11" t="str">
        <f t="shared" si="30"/>
        <v>NY Submit</v>
      </c>
      <c r="AX257" s="12">
        <v>46036</v>
      </c>
      <c r="AY257" s="12">
        <v>46043</v>
      </c>
      <c r="AZ257" s="12"/>
      <c r="BA257" s="12">
        <v>46114</v>
      </c>
      <c r="BB257" s="12">
        <v>46135</v>
      </c>
      <c r="BC257" s="12">
        <v>46136</v>
      </c>
      <c r="BD257" s="11" t="str">
        <f t="shared" si="31"/>
        <v>2nd BOQ App on ISAAC</v>
      </c>
      <c r="BE257" s="174" t="s">
        <v>3935</v>
      </c>
      <c r="BF257" s="12">
        <v>45866</v>
      </c>
      <c r="BG257" s="12">
        <v>45869</v>
      </c>
      <c r="BH257" s="10" t="s">
        <v>3142</v>
      </c>
      <c r="BI257" s="12">
        <v>45866</v>
      </c>
      <c r="BJ257" s="12">
        <v>45869</v>
      </c>
      <c r="BK257" s="174"/>
      <c r="BL257" s="12" t="str">
        <f t="shared" si="32"/>
        <v>Approved</v>
      </c>
      <c r="BM257" s="12" t="str">
        <f t="shared" si="33"/>
        <v>Approved</v>
      </c>
      <c r="BN257" s="12">
        <v>46175</v>
      </c>
      <c r="BO257" s="12">
        <v>46175</v>
      </c>
      <c r="BP257" s="155" t="s">
        <v>1768</v>
      </c>
      <c r="BQ257" s="12"/>
      <c r="BR257" s="12"/>
      <c r="BS257" s="143">
        <f t="shared" ca="1" si="37"/>
        <v>0</v>
      </c>
      <c r="BT257" s="12" t="s">
        <v>3106</v>
      </c>
      <c r="BU257" s="12"/>
      <c r="BV257" s="143">
        <f t="shared" ca="1" si="38"/>
        <v>103</v>
      </c>
      <c r="BW257" s="12"/>
      <c r="BX257" s="12"/>
      <c r="BY257" s="143"/>
      <c r="BZ257" s="210" t="s">
        <v>3107</v>
      </c>
      <c r="CA257" s="13" t="s">
        <v>2555</v>
      </c>
      <c r="CB257" s="13" t="s">
        <v>2486</v>
      </c>
      <c r="CC257" s="13"/>
      <c r="CD257" s="13"/>
      <c r="CE257" s="198" t="s">
        <v>3150</v>
      </c>
      <c r="CF257" s="198" t="s">
        <v>3151</v>
      </c>
      <c r="CG257" s="273" t="s">
        <v>3936</v>
      </c>
      <c r="CH257" s="273" t="s">
        <v>3937</v>
      </c>
      <c r="CI257" s="198" t="s">
        <v>3938</v>
      </c>
      <c r="CJ257" s="198" t="s">
        <v>3939</v>
      </c>
      <c r="CK257" s="198" t="s">
        <v>3940</v>
      </c>
      <c r="CL257" s="198"/>
    </row>
    <row r="258" spans="1:90" ht="30" customHeight="1">
      <c r="A258" s="187">
        <v>253</v>
      </c>
      <c r="B258" s="190" t="s">
        <v>2486</v>
      </c>
      <c r="C258" s="190" t="s">
        <v>2487</v>
      </c>
      <c r="D258" s="190" t="s">
        <v>135</v>
      </c>
      <c r="E258" s="8" t="e">
        <f ca="1">+_xlfn.CONCAT(G258,"-",B258,"_",C258,"_",_xlfn.XLOOKUP(BP258,Account!M:M,Account!N:N))</f>
        <v>#NAME?</v>
      </c>
      <c r="F258" s="12">
        <v>46034</v>
      </c>
      <c r="G258" s="190" t="s">
        <v>3941</v>
      </c>
      <c r="H258" s="190" t="s">
        <v>3942</v>
      </c>
      <c r="I258" s="10" t="s">
        <v>3943</v>
      </c>
      <c r="J258" s="190">
        <v>15</v>
      </c>
      <c r="K258" s="190" t="s">
        <v>2486</v>
      </c>
      <c r="L258" s="190" t="s">
        <v>1279</v>
      </c>
      <c r="M258" s="190" t="s">
        <v>3072</v>
      </c>
      <c r="N258" s="198" t="s">
        <v>3944</v>
      </c>
      <c r="O258" s="178" t="s">
        <v>3945</v>
      </c>
      <c r="P258" s="178" t="s">
        <v>3946</v>
      </c>
      <c r="Q258" s="328">
        <v>6159</v>
      </c>
      <c r="R258" s="190">
        <v>42</v>
      </c>
      <c r="S258" s="190"/>
      <c r="T258" s="190" t="s">
        <v>2494</v>
      </c>
      <c r="U258" s="190" t="s">
        <v>3330</v>
      </c>
      <c r="V258" s="8" t="s">
        <v>1760</v>
      </c>
      <c r="W258" s="10"/>
      <c r="X258" s="9"/>
      <c r="Y258" s="172" t="s">
        <v>2432</v>
      </c>
      <c r="Z258" s="172">
        <v>46148</v>
      </c>
      <c r="AA258" s="172">
        <v>46154</v>
      </c>
      <c r="AB258" s="143" t="str">
        <f t="shared" ca="1" si="29"/>
        <v>Expired</v>
      </c>
      <c r="AC258" s="13"/>
      <c r="AD258" s="12">
        <v>46094</v>
      </c>
      <c r="AE258" s="12">
        <v>46114</v>
      </c>
      <c r="AF258" s="12">
        <v>46176</v>
      </c>
      <c r="AG258" s="12"/>
      <c r="AH258" s="11"/>
      <c r="AI258" s="11">
        <v>46151</v>
      </c>
      <c r="AJ258" s="11"/>
      <c r="AK258" s="11"/>
      <c r="AL258" s="11"/>
      <c r="AM258" s="11"/>
      <c r="AN258" s="11">
        <v>46151</v>
      </c>
      <c r="AO258" s="11" t="str">
        <f t="shared" ref="AO258:AO277" si="41">+IF(AN258&lt;&gt;"","BAST",IF(AI258&lt;&gt;"","Dismantle",IF(AG258&lt;&gt;"","RFD App",IF(AF258="Drop","Drop",IF(AE258&lt;&gt;"","Survey Report",IF(AD258&lt;&gt;"","Survey","NY Survey"))))))</f>
        <v>BAST</v>
      </c>
      <c r="AP258" s="185" t="s">
        <v>3947</v>
      </c>
      <c r="AQ258" s="12">
        <v>46127</v>
      </c>
      <c r="AR258" s="12">
        <v>46139</v>
      </c>
      <c r="AS258" s="12">
        <v>46127</v>
      </c>
      <c r="AT258" s="12"/>
      <c r="AU258" s="12">
        <v>46139</v>
      </c>
      <c r="AV258" s="12">
        <v>46139</v>
      </c>
      <c r="AW258" s="11" t="str">
        <f t="shared" si="30"/>
        <v>1st BOQ App on ISAAC</v>
      </c>
      <c r="AX258" s="12"/>
      <c r="AY258" s="12"/>
      <c r="AZ258" s="12"/>
      <c r="BA258" s="12"/>
      <c r="BB258" s="12"/>
      <c r="BC258" s="12"/>
      <c r="BD258" s="11" t="str">
        <f t="shared" si="31"/>
        <v>NY Submit</v>
      </c>
      <c r="BE258" s="174"/>
      <c r="BF258" s="12">
        <v>46118</v>
      </c>
      <c r="BG258" s="12">
        <v>46126</v>
      </c>
      <c r="BH258" s="12" t="s">
        <v>3948</v>
      </c>
      <c r="BI258" s="12">
        <v>46118</v>
      </c>
      <c r="BJ258" s="12">
        <v>46120</v>
      </c>
      <c r="BK258" s="174" t="s">
        <v>3949</v>
      </c>
      <c r="BL258" s="12" t="str">
        <f t="shared" si="32"/>
        <v>Approved</v>
      </c>
      <c r="BM258" s="12" t="str">
        <f t="shared" si="33"/>
        <v>Approved</v>
      </c>
      <c r="BN258" s="12">
        <v>46153</v>
      </c>
      <c r="BO258" s="12">
        <v>46153</v>
      </c>
      <c r="BP258" s="155" t="s">
        <v>1760</v>
      </c>
      <c r="BQ258" s="12" t="s">
        <v>3950</v>
      </c>
      <c r="BR258" s="12">
        <v>46149</v>
      </c>
      <c r="BS258" s="143">
        <f t="shared" ca="1" si="37"/>
        <v>10</v>
      </c>
      <c r="BT258" s="176"/>
      <c r="BU258" s="12"/>
      <c r="BV258" s="143">
        <f t="shared" ca="1" si="38"/>
        <v>0</v>
      </c>
      <c r="BW258" s="12"/>
      <c r="BX258" s="12"/>
      <c r="BY258" s="143"/>
      <c r="BZ258" s="13" t="s">
        <v>2500</v>
      </c>
      <c r="CA258" s="13"/>
      <c r="CB258" s="13"/>
      <c r="CC258" s="13"/>
      <c r="CD258" s="13"/>
      <c r="CE258" s="198"/>
      <c r="CF258" s="198"/>
      <c r="CG258" s="272"/>
      <c r="CH258" s="272"/>
      <c r="CI258" s="198"/>
      <c r="CJ258" s="198"/>
      <c r="CK258" s="198"/>
      <c r="CL258" s="198"/>
    </row>
    <row r="259" spans="1:90">
      <c r="A259" s="187">
        <v>254</v>
      </c>
      <c r="B259" s="190" t="s">
        <v>2486</v>
      </c>
      <c r="C259" s="190" t="s">
        <v>2487</v>
      </c>
      <c r="D259" s="190" t="s">
        <v>135</v>
      </c>
      <c r="E259" s="8" t="e">
        <f ca="1">+_xlfn.CONCAT(G259,"-",B259,"_",C259,"_",_xlfn.XLOOKUP(BP259,Account!M:M,Account!N:N))</f>
        <v>#NAME?</v>
      </c>
      <c r="F259" s="12">
        <v>46034</v>
      </c>
      <c r="G259" s="157" t="s">
        <v>3951</v>
      </c>
      <c r="H259" s="190" t="s">
        <v>3952</v>
      </c>
      <c r="I259" s="10" t="s">
        <v>3953</v>
      </c>
      <c r="J259" s="190">
        <v>7</v>
      </c>
      <c r="K259" s="190" t="s">
        <v>2038</v>
      </c>
      <c r="L259" s="190" t="s">
        <v>2894</v>
      </c>
      <c r="M259" s="190" t="s">
        <v>3375</v>
      </c>
      <c r="N259" s="10" t="s">
        <v>3954</v>
      </c>
      <c r="O259" s="178" t="s">
        <v>3955</v>
      </c>
      <c r="P259" s="178" t="s">
        <v>3956</v>
      </c>
      <c r="Q259" s="327">
        <v>91.46</v>
      </c>
      <c r="R259" s="190">
        <v>3</v>
      </c>
      <c r="S259" s="190"/>
      <c r="T259" s="190" t="s">
        <v>2518</v>
      </c>
      <c r="U259" s="190" t="s">
        <v>2565</v>
      </c>
      <c r="V259" s="8" t="s">
        <v>1760</v>
      </c>
      <c r="W259" s="10"/>
      <c r="X259" s="9"/>
      <c r="Y259" s="172" t="s">
        <v>2432</v>
      </c>
      <c r="Z259" s="172">
        <v>46129</v>
      </c>
      <c r="AA259" s="172">
        <v>46135</v>
      </c>
      <c r="AB259" s="143" t="str">
        <f t="shared" ca="1" si="29"/>
        <v>Expired</v>
      </c>
      <c r="AC259" s="13"/>
      <c r="AD259" s="12">
        <v>46112</v>
      </c>
      <c r="AE259" s="12">
        <v>46118</v>
      </c>
      <c r="AF259" s="12">
        <v>46155</v>
      </c>
      <c r="AG259" s="12">
        <v>46128</v>
      </c>
      <c r="AH259" s="11"/>
      <c r="AI259" s="11">
        <v>46129</v>
      </c>
      <c r="AJ259" s="11"/>
      <c r="AK259" s="11"/>
      <c r="AL259" s="11"/>
      <c r="AM259" s="11">
        <v>46129</v>
      </c>
      <c r="AN259" s="11">
        <v>46129</v>
      </c>
      <c r="AO259" s="11" t="str">
        <f t="shared" si="41"/>
        <v>BAST</v>
      </c>
      <c r="AP259" s="185"/>
      <c r="AQ259" s="12">
        <v>46121</v>
      </c>
      <c r="AR259" s="12">
        <v>46125</v>
      </c>
      <c r="AS259" s="12">
        <v>46121</v>
      </c>
      <c r="AT259" s="12"/>
      <c r="AU259" s="12">
        <v>46125</v>
      </c>
      <c r="AV259" s="12">
        <v>46126</v>
      </c>
      <c r="AW259" s="11" t="str">
        <f t="shared" si="30"/>
        <v>1st BOQ App on ISAAC</v>
      </c>
      <c r="AX259" s="12"/>
      <c r="AY259" s="12"/>
      <c r="AZ259" s="12"/>
      <c r="BA259" s="12"/>
      <c r="BB259" s="12"/>
      <c r="BC259" s="12"/>
      <c r="BD259" s="11" t="str">
        <f t="shared" si="31"/>
        <v>NY Submit</v>
      </c>
      <c r="BE259" s="174"/>
      <c r="BF259" s="12">
        <v>46118</v>
      </c>
      <c r="BG259" s="12">
        <v>46125</v>
      </c>
      <c r="BH259" s="12" t="s">
        <v>3957</v>
      </c>
      <c r="BI259" s="12">
        <v>46118</v>
      </c>
      <c r="BJ259" s="12">
        <v>46120</v>
      </c>
      <c r="BK259" s="174" t="s">
        <v>3958</v>
      </c>
      <c r="BL259" s="12" t="str">
        <f t="shared" si="32"/>
        <v>Approved</v>
      </c>
      <c r="BM259" s="12" t="str">
        <f t="shared" si="33"/>
        <v>Approved</v>
      </c>
      <c r="BN259" s="12">
        <v>46133</v>
      </c>
      <c r="BO259" s="12">
        <v>46133</v>
      </c>
      <c r="BP259" s="155" t="s">
        <v>1760</v>
      </c>
      <c r="BQ259" s="12" t="s">
        <v>3959</v>
      </c>
      <c r="BR259" s="12">
        <v>46132</v>
      </c>
      <c r="BS259" s="143">
        <f t="shared" ca="1" si="37"/>
        <v>6</v>
      </c>
      <c r="BT259" s="176"/>
      <c r="BU259" s="12"/>
      <c r="BV259" s="143">
        <f t="shared" ca="1" si="38"/>
        <v>0</v>
      </c>
      <c r="BW259" s="12"/>
      <c r="BX259" s="12"/>
      <c r="BY259" s="143"/>
      <c r="BZ259" s="13" t="s">
        <v>2500</v>
      </c>
      <c r="CA259" s="13"/>
      <c r="CB259" s="13"/>
      <c r="CC259" s="13"/>
      <c r="CD259" s="13"/>
      <c r="CE259" s="198"/>
      <c r="CF259" s="198"/>
      <c r="CG259" s="272"/>
      <c r="CH259" s="272"/>
      <c r="CI259" s="198"/>
      <c r="CJ259" s="198"/>
      <c r="CK259" s="198"/>
      <c r="CL259" s="198"/>
    </row>
    <row r="260" spans="1:90">
      <c r="A260" s="181">
        <v>255</v>
      </c>
      <c r="B260" s="190" t="s">
        <v>2486</v>
      </c>
      <c r="C260" s="190" t="s">
        <v>2487</v>
      </c>
      <c r="D260" s="190" t="s">
        <v>135</v>
      </c>
      <c r="E260" s="8" t="e">
        <f ca="1">+_xlfn.CONCAT(G260,"-",B260,"_",C260,"_",_xlfn.XLOOKUP(BP260,Account!M:M,Account!N:N))</f>
        <v>#NAME?</v>
      </c>
      <c r="F260" s="12">
        <v>46034</v>
      </c>
      <c r="G260" s="190" t="s">
        <v>3960</v>
      </c>
      <c r="H260" s="190" t="s">
        <v>3961</v>
      </c>
      <c r="I260" s="10" t="s">
        <v>3962</v>
      </c>
      <c r="J260" s="190">
        <v>11</v>
      </c>
      <c r="K260" s="190" t="s">
        <v>2486</v>
      </c>
      <c r="L260" s="190" t="s">
        <v>1263</v>
      </c>
      <c r="M260" s="190" t="s">
        <v>2514</v>
      </c>
      <c r="N260" s="10"/>
      <c r="O260" s="178" t="s">
        <v>3963</v>
      </c>
      <c r="P260" s="178" t="s">
        <v>3964</v>
      </c>
      <c r="Q260" s="327">
        <v>218.15</v>
      </c>
      <c r="R260" s="190">
        <v>6</v>
      </c>
      <c r="S260" s="190"/>
      <c r="T260" s="190" t="s">
        <v>2518</v>
      </c>
      <c r="U260" s="190" t="s">
        <v>2565</v>
      </c>
      <c r="V260" s="8" t="s">
        <v>1760</v>
      </c>
      <c r="W260" s="10"/>
      <c r="X260" s="9"/>
      <c r="Y260" s="172" t="s">
        <v>2432</v>
      </c>
      <c r="Z260" s="172">
        <v>46126</v>
      </c>
      <c r="AA260" s="172">
        <v>46139</v>
      </c>
      <c r="AB260" s="143" t="str">
        <f t="shared" ca="1" si="29"/>
        <v>Expired</v>
      </c>
      <c r="AC260" s="13"/>
      <c r="AD260" s="12">
        <v>46128</v>
      </c>
      <c r="AE260" s="12">
        <v>46128</v>
      </c>
      <c r="AF260" s="12" t="s">
        <v>3628</v>
      </c>
      <c r="AG260" s="12"/>
      <c r="AH260" s="11"/>
      <c r="AI260" s="11"/>
      <c r="AJ260" s="11"/>
      <c r="AK260" s="11"/>
      <c r="AL260" s="11"/>
      <c r="AM260" s="11"/>
      <c r="AN260" s="11"/>
      <c r="AO260" s="11" t="str">
        <f t="shared" si="41"/>
        <v>Drop</v>
      </c>
      <c r="AP260" s="185" t="s">
        <v>3905</v>
      </c>
      <c r="AQ260" s="12">
        <v>46129</v>
      </c>
      <c r="AR260" s="12"/>
      <c r="AS260" s="12">
        <v>46133</v>
      </c>
      <c r="AT260" s="12"/>
      <c r="AU260" s="12"/>
      <c r="AV260" s="12"/>
      <c r="AW260" s="11" t="str">
        <f t="shared" si="30"/>
        <v>Engineering Structural Manager App</v>
      </c>
      <c r="AX260" s="12"/>
      <c r="AY260" s="12"/>
      <c r="AZ260" s="12"/>
      <c r="BA260" s="12"/>
      <c r="BB260" s="12"/>
      <c r="BC260" s="12"/>
      <c r="BD260" s="11" t="str">
        <f t="shared" si="31"/>
        <v>NY Submit</v>
      </c>
      <c r="BE260" s="174"/>
      <c r="BF260" s="12">
        <v>46129</v>
      </c>
      <c r="BG260" s="12">
        <v>46134</v>
      </c>
      <c r="BH260" s="12" t="s">
        <v>3965</v>
      </c>
      <c r="BI260" s="12">
        <v>46129</v>
      </c>
      <c r="BJ260" s="12">
        <v>46129</v>
      </c>
      <c r="BK260" s="174" t="s">
        <v>3966</v>
      </c>
      <c r="BL260" s="12" t="str">
        <f t="shared" si="32"/>
        <v>Approved</v>
      </c>
      <c r="BM260" s="12" t="str">
        <f t="shared" si="33"/>
        <v>Approved</v>
      </c>
      <c r="BN260" s="12"/>
      <c r="BO260" s="12"/>
      <c r="BP260" s="155" t="s">
        <v>1760</v>
      </c>
      <c r="BQ260" s="12" t="s">
        <v>3106</v>
      </c>
      <c r="BR260" s="12"/>
      <c r="BS260" s="143" t="str">
        <f t="shared" ca="1" si="37"/>
        <v>Drop</v>
      </c>
      <c r="BT260" s="176"/>
      <c r="BU260" s="12"/>
      <c r="BV260" s="143" t="str">
        <f t="shared" ca="1" si="38"/>
        <v>Drop</v>
      </c>
      <c r="BW260" s="12"/>
      <c r="BX260" s="12"/>
      <c r="BY260" s="143"/>
      <c r="BZ260" s="13" t="s">
        <v>3967</v>
      </c>
      <c r="CA260" s="13" t="s">
        <v>2984</v>
      </c>
      <c r="CB260" s="13"/>
      <c r="CC260" s="13"/>
      <c r="CD260" s="13"/>
      <c r="CE260" s="198"/>
      <c r="CF260" s="198"/>
      <c r="CG260" s="272"/>
      <c r="CH260" s="272"/>
      <c r="CI260" s="198"/>
      <c r="CJ260" s="198"/>
      <c r="CK260" s="198"/>
      <c r="CL260" s="198"/>
    </row>
    <row r="261" spans="1:90">
      <c r="A261" s="187">
        <v>256</v>
      </c>
      <c r="B261" s="190" t="s">
        <v>2486</v>
      </c>
      <c r="C261" s="190" t="s">
        <v>2487</v>
      </c>
      <c r="D261" s="190" t="s">
        <v>135</v>
      </c>
      <c r="E261" s="8" t="e">
        <f ca="1">+_xlfn.CONCAT(G261,"-",B261,"_",C261,"_",_xlfn.XLOOKUP(BP261,Account!M:M,Account!N:N))</f>
        <v>#NAME?</v>
      </c>
      <c r="F261" s="12">
        <v>46034</v>
      </c>
      <c r="G261" s="190" t="s">
        <v>3968</v>
      </c>
      <c r="H261" s="190" t="s">
        <v>3969</v>
      </c>
      <c r="I261" s="10" t="s">
        <v>3970</v>
      </c>
      <c r="J261" s="190">
        <v>11</v>
      </c>
      <c r="K261" s="190" t="s">
        <v>2038</v>
      </c>
      <c r="L261" s="190" t="s">
        <v>1263</v>
      </c>
      <c r="M261" s="190" t="s">
        <v>3971</v>
      </c>
      <c r="N261" s="10"/>
      <c r="O261" s="177" t="s">
        <v>3972</v>
      </c>
      <c r="P261" s="177" t="s">
        <v>3973</v>
      </c>
      <c r="Q261" s="327">
        <v>1234.5119999999999</v>
      </c>
      <c r="R261" s="190">
        <v>12</v>
      </c>
      <c r="S261" s="190"/>
      <c r="T261" s="190" t="s">
        <v>2518</v>
      </c>
      <c r="U261" s="190" t="s">
        <v>2565</v>
      </c>
      <c r="V261" s="8" t="s">
        <v>1760</v>
      </c>
      <c r="W261" s="10"/>
      <c r="X261" s="9"/>
      <c r="Y261" s="172" t="s">
        <v>2432</v>
      </c>
      <c r="Z261" s="172">
        <v>46126</v>
      </c>
      <c r="AA261" s="172">
        <v>46139</v>
      </c>
      <c r="AB261" s="143" t="str">
        <f t="shared" ca="1" si="29"/>
        <v>Expired</v>
      </c>
      <c r="AC261" s="13"/>
      <c r="AD261" s="12">
        <v>46128</v>
      </c>
      <c r="AE261" s="12">
        <v>46128</v>
      </c>
      <c r="AF261" s="12">
        <v>46181</v>
      </c>
      <c r="AG261" s="12">
        <v>46177</v>
      </c>
      <c r="AH261" s="11"/>
      <c r="AI261" s="11">
        <v>46183</v>
      </c>
      <c r="AJ261" s="11"/>
      <c r="AK261" s="11"/>
      <c r="AL261" s="11"/>
      <c r="AM261" s="11"/>
      <c r="AN261" s="11">
        <v>46183</v>
      </c>
      <c r="AO261" s="11" t="str">
        <f t="shared" si="41"/>
        <v>BAST</v>
      </c>
      <c r="AP261" s="185"/>
      <c r="AQ261" s="12">
        <v>46147</v>
      </c>
      <c r="AR261" s="12">
        <v>46170</v>
      </c>
      <c r="AS261" s="12">
        <v>46148</v>
      </c>
      <c r="AT261" s="12"/>
      <c r="AU261" s="12">
        <v>46170</v>
      </c>
      <c r="AV261" s="12">
        <v>46171</v>
      </c>
      <c r="AW261" s="11" t="str">
        <f t="shared" si="30"/>
        <v>1st BOQ App on ISAAC</v>
      </c>
      <c r="AX261" s="12"/>
      <c r="AY261" s="12"/>
      <c r="AZ261" s="12"/>
      <c r="BA261" s="12"/>
      <c r="BB261" s="12"/>
      <c r="BC261" s="12"/>
      <c r="BD261" s="11" t="str">
        <f t="shared" si="31"/>
        <v>NY Submit</v>
      </c>
      <c r="BE261" s="174"/>
      <c r="BF261" s="12">
        <v>46135</v>
      </c>
      <c r="BG261" s="12">
        <v>46136</v>
      </c>
      <c r="BH261" s="12" t="s">
        <v>3974</v>
      </c>
      <c r="BI261" s="12">
        <v>46135</v>
      </c>
      <c r="BJ261" s="12">
        <v>46135</v>
      </c>
      <c r="BK261" s="174" t="s">
        <v>3975</v>
      </c>
      <c r="BL261" s="12" t="str">
        <f t="shared" si="32"/>
        <v>Approved</v>
      </c>
      <c r="BM261" s="12" t="str">
        <f t="shared" si="33"/>
        <v>Approved</v>
      </c>
      <c r="BN261" s="12">
        <v>46184</v>
      </c>
      <c r="BO261" s="12">
        <v>46184</v>
      </c>
      <c r="BP261" s="155" t="s">
        <v>1760</v>
      </c>
      <c r="BQ261" s="12" t="s">
        <v>3976</v>
      </c>
      <c r="BR261" s="12">
        <v>46192</v>
      </c>
      <c r="BS261" s="143">
        <f t="shared" ca="1" si="37"/>
        <v>21</v>
      </c>
      <c r="BT261" s="176"/>
      <c r="BU261" s="12"/>
      <c r="BV261" s="143">
        <f t="shared" ca="1" si="38"/>
        <v>0</v>
      </c>
      <c r="BW261" s="12"/>
      <c r="BX261" s="12"/>
      <c r="BY261" s="143"/>
      <c r="BZ261" s="13" t="s">
        <v>2500</v>
      </c>
      <c r="CA261" s="13"/>
      <c r="CB261" s="13"/>
      <c r="CC261" s="13"/>
      <c r="CD261" s="13"/>
      <c r="CE261" s="198"/>
      <c r="CF261" s="198"/>
      <c r="CG261" s="272"/>
      <c r="CH261" s="272"/>
      <c r="CI261" s="198"/>
      <c r="CJ261" s="198"/>
      <c r="CK261" s="198"/>
      <c r="CL261" s="198"/>
    </row>
    <row r="262" spans="1:90">
      <c r="A262" s="187">
        <v>257</v>
      </c>
      <c r="B262" s="190" t="s">
        <v>2486</v>
      </c>
      <c r="C262" s="190" t="s">
        <v>2487</v>
      </c>
      <c r="D262" s="190" t="s">
        <v>135</v>
      </c>
      <c r="E262" s="8" t="e">
        <f ca="1">+_xlfn.CONCAT(G262,"-",B262,"_",C262,"_",_xlfn.XLOOKUP(BP262,Account!M:M,Account!N:N))</f>
        <v>#NAME?</v>
      </c>
      <c r="F262" s="12">
        <v>46034</v>
      </c>
      <c r="G262" s="190" t="s">
        <v>3977</v>
      </c>
      <c r="H262" s="190" t="s">
        <v>3978</v>
      </c>
      <c r="I262" s="10" t="s">
        <v>3979</v>
      </c>
      <c r="J262" s="190">
        <v>11</v>
      </c>
      <c r="K262" s="190" t="s">
        <v>2038</v>
      </c>
      <c r="L262" s="190" t="s">
        <v>1263</v>
      </c>
      <c r="M262" s="190" t="s">
        <v>2489</v>
      </c>
      <c r="N262" s="10"/>
      <c r="O262" s="177" t="s">
        <v>3980</v>
      </c>
      <c r="P262" s="177" t="s">
        <v>3981</v>
      </c>
      <c r="Q262" s="327">
        <v>1234.5119999999999</v>
      </c>
      <c r="R262" s="190">
        <v>12</v>
      </c>
      <c r="S262" s="190"/>
      <c r="T262" s="190" t="s">
        <v>2518</v>
      </c>
      <c r="U262" s="190" t="s">
        <v>2565</v>
      </c>
      <c r="V262" s="8" t="s">
        <v>1760</v>
      </c>
      <c r="W262" s="10"/>
      <c r="X262" s="9"/>
      <c r="Y262" s="172" t="s">
        <v>2432</v>
      </c>
      <c r="Z262" s="172">
        <v>46126</v>
      </c>
      <c r="AA262" s="172">
        <v>46139</v>
      </c>
      <c r="AB262" s="143" t="str">
        <f t="shared" ref="AB262:AB325" ca="1" si="42">IF(AA262="ds","Submit",IF(AA262="","NY Submit",IF(AA262&lt;TODAY(),"Expired",IFERROR(DATEDIF(TODAY(),AA262,"d"),""))))</f>
        <v>Expired</v>
      </c>
      <c r="AC262" s="13"/>
      <c r="AD262" s="12">
        <v>46128</v>
      </c>
      <c r="AE262" s="12">
        <v>46128</v>
      </c>
      <c r="AF262" s="12">
        <v>46143</v>
      </c>
      <c r="AG262" s="12">
        <v>46141</v>
      </c>
      <c r="AH262" s="11"/>
      <c r="AI262" s="11">
        <v>46142</v>
      </c>
      <c r="AJ262" s="11"/>
      <c r="AK262" s="11"/>
      <c r="AL262" s="11"/>
      <c r="AM262" s="11"/>
      <c r="AN262" s="11">
        <v>46142</v>
      </c>
      <c r="AO262" s="11" t="str">
        <f t="shared" si="41"/>
        <v>BAST</v>
      </c>
      <c r="AP262" s="185"/>
      <c r="AQ262" s="12">
        <v>46129</v>
      </c>
      <c r="AR262" s="12">
        <v>46136</v>
      </c>
      <c r="AS262" s="12">
        <v>46133</v>
      </c>
      <c r="AT262" s="12"/>
      <c r="AU262" s="12">
        <v>46136</v>
      </c>
      <c r="AV262" s="12">
        <v>46139</v>
      </c>
      <c r="AW262" s="11" t="str">
        <f t="shared" ref="AW262:AW325" si="43">+IF(AV262&lt;&gt;"","1st BOQ App on ISAAC",IF(AU262&lt;&gt;"","Upload 1st BOQ &amp; BAN Isaac",IF(AT262="DRM","need DRM",IF(AT262&lt;&gt;"","BAN App",IF(AR262&lt;&gt;"","1st BOQ Pass TI",IF(AS262&lt;&gt;"","Engineering Structural Manager App",IF(AQ262&lt;&gt;"","1st BOQ Submit","NY Submit")))))))</f>
        <v>1st BOQ App on ISAAC</v>
      </c>
      <c r="AX262" s="12"/>
      <c r="AY262" s="12"/>
      <c r="AZ262" s="12"/>
      <c r="BA262" s="12"/>
      <c r="BB262" s="12"/>
      <c r="BC262" s="12"/>
      <c r="BD262" s="11" t="str">
        <f t="shared" ref="BD262:BD325" si="44">+IF(BC262&lt;&gt;"","2nd BOQ App on ISAAC",IF(BB262&lt;&gt;"","Upload 2nd BOQ &amp; BAN Isaac",IF(BA262="DRM","need DRM",IF(BA262&lt;&gt;"","BAN App",IF(AZ262&lt;&gt;"","Engineering Structural Manager App",IF(AY262&lt;&gt;"","2nd BOQ Pass TI",IF(AX262&lt;&gt;"","2nd BOQ Submit","NY Submit")))))))</f>
        <v>NY Submit</v>
      </c>
      <c r="BE262" s="174"/>
      <c r="BF262" s="12">
        <v>46129</v>
      </c>
      <c r="BG262" s="12">
        <v>46134</v>
      </c>
      <c r="BH262" s="12" t="s">
        <v>3982</v>
      </c>
      <c r="BI262" s="12">
        <v>46129</v>
      </c>
      <c r="BJ262" s="12">
        <v>46129</v>
      </c>
      <c r="BK262" s="174" t="s">
        <v>3983</v>
      </c>
      <c r="BL262" s="12" t="str">
        <f t="shared" ref="BL262:BL325" si="45">+IF(BG262&lt;&gt;"","Approved",IF(BF262&lt;&gt;"","Submit","NY Submit"))</f>
        <v>Approved</v>
      </c>
      <c r="BM262" s="12" t="str">
        <f t="shared" ref="BM262:BM325" si="46">+IF(BJ262&lt;&gt;"","Approved",IF(BI262&lt;&gt;"","Submit","NY Submit"))</f>
        <v>Approved</v>
      </c>
      <c r="BN262" s="12">
        <v>46147</v>
      </c>
      <c r="BO262" s="12">
        <v>46147</v>
      </c>
      <c r="BP262" s="155" t="s">
        <v>1760</v>
      </c>
      <c r="BQ262" s="12" t="s">
        <v>3984</v>
      </c>
      <c r="BR262" s="12">
        <v>46148</v>
      </c>
      <c r="BS262" s="143">
        <f ca="1">IF(AO262="Drop",
    "Drop",
    IF(ISBLANK(AV262),
        0,
        IF(ISBLANK(BR262),
            DATEDIF(AV262,TODAY(),"d"),
            DATEDIF(AV262,BR262,"d")
        )
    )
)</f>
        <v>9</v>
      </c>
      <c r="BT262" s="176"/>
      <c r="BU262" s="12"/>
      <c r="BV262" s="143">
        <f ca="1">IF(AO262="Drop",
    "Drop",
    IF(ISBLANK(BC262),
        0,
        IF(ISBLANK(BU262),
            DATEDIF(BC262,TODAY(),"d"),
            DATEDIF(BC262,BU262,"d")
        )
    )
)</f>
        <v>0</v>
      </c>
      <c r="BW262" s="12"/>
      <c r="BX262" s="12"/>
      <c r="BY262" s="143"/>
      <c r="BZ262" s="13" t="s">
        <v>2500</v>
      </c>
      <c r="CA262" s="13"/>
      <c r="CB262" s="13"/>
      <c r="CC262" s="13"/>
      <c r="CD262" s="13"/>
      <c r="CE262" s="198"/>
      <c r="CF262" s="198"/>
      <c r="CG262" s="272"/>
      <c r="CH262" s="272"/>
      <c r="CI262" s="198"/>
      <c r="CJ262" s="198"/>
      <c r="CK262" s="198"/>
      <c r="CL262" s="198"/>
    </row>
    <row r="263" spans="1:90" ht="30" customHeight="1">
      <c r="A263" s="187">
        <v>258</v>
      </c>
      <c r="B263" s="190" t="s">
        <v>2486</v>
      </c>
      <c r="C263" s="190" t="s">
        <v>2487</v>
      </c>
      <c r="D263" s="190" t="s">
        <v>135</v>
      </c>
      <c r="E263" s="8" t="e">
        <f ca="1">+_xlfn.CONCAT(G263,"-",B263,"_",C263,"_",_xlfn.XLOOKUP(BP263,Account!M:M,Account!N:N))</f>
        <v>#NAME?</v>
      </c>
      <c r="F263" s="12">
        <v>46034</v>
      </c>
      <c r="G263" s="157" t="s">
        <v>3985</v>
      </c>
      <c r="H263" s="190" t="s">
        <v>3986</v>
      </c>
      <c r="I263" s="10" t="s">
        <v>3987</v>
      </c>
      <c r="J263" s="190">
        <v>20</v>
      </c>
      <c r="K263" s="190" t="s">
        <v>2038</v>
      </c>
      <c r="L263" s="190" t="s">
        <v>3816</v>
      </c>
      <c r="M263" s="190" t="s">
        <v>3817</v>
      </c>
      <c r="N263" s="198" t="s">
        <v>3988</v>
      </c>
      <c r="O263" s="177" t="s">
        <v>3989</v>
      </c>
      <c r="P263" s="177" t="s">
        <v>3990</v>
      </c>
      <c r="Q263" s="327">
        <v>274.38</v>
      </c>
      <c r="R263" s="190">
        <v>3</v>
      </c>
      <c r="S263" s="190"/>
      <c r="T263" s="190" t="s">
        <v>2518</v>
      </c>
      <c r="U263" s="190" t="s">
        <v>2565</v>
      </c>
      <c r="V263" s="8" t="s">
        <v>1760</v>
      </c>
      <c r="W263" s="10"/>
      <c r="X263" s="9"/>
      <c r="Y263" s="172" t="s">
        <v>2432</v>
      </c>
      <c r="Z263" s="172">
        <v>46147</v>
      </c>
      <c r="AA263" s="172">
        <v>46159</v>
      </c>
      <c r="AB263" s="143" t="str">
        <f t="shared" ca="1" si="42"/>
        <v>Expired</v>
      </c>
      <c r="AC263" s="13"/>
      <c r="AD263" s="12">
        <v>46096</v>
      </c>
      <c r="AE263" s="12">
        <v>46128</v>
      </c>
      <c r="AF263" s="12">
        <v>46203</v>
      </c>
      <c r="AG263" s="12">
        <v>46182</v>
      </c>
      <c r="AH263" s="11"/>
      <c r="AI263" s="11">
        <v>46190</v>
      </c>
      <c r="AJ263" s="11"/>
      <c r="AK263" s="11"/>
      <c r="AL263" s="11"/>
      <c r="AM263" s="11"/>
      <c r="AN263" s="11">
        <v>46190</v>
      </c>
      <c r="AO263" s="11" t="str">
        <f t="shared" si="41"/>
        <v>BAST</v>
      </c>
      <c r="AP263" s="185" t="s">
        <v>3991</v>
      </c>
      <c r="AQ263" s="12">
        <v>46147</v>
      </c>
      <c r="AR263" s="12">
        <v>46177</v>
      </c>
      <c r="AS263" s="12">
        <v>46148</v>
      </c>
      <c r="AT263" s="12"/>
      <c r="AU263" s="12">
        <v>46177</v>
      </c>
      <c r="AV263" s="12">
        <v>46178</v>
      </c>
      <c r="AW263" s="11" t="str">
        <f t="shared" si="43"/>
        <v>1st BOQ App on ISAAC</v>
      </c>
      <c r="AX263" s="12"/>
      <c r="AY263" s="12"/>
      <c r="AZ263" s="12"/>
      <c r="BA263" s="12"/>
      <c r="BB263" s="12"/>
      <c r="BC263" s="12"/>
      <c r="BD263" s="11" t="str">
        <f t="shared" si="44"/>
        <v>NY Submit</v>
      </c>
      <c r="BE263" s="174"/>
      <c r="BF263" s="12">
        <v>46142</v>
      </c>
      <c r="BG263" s="12">
        <v>46144</v>
      </c>
      <c r="BH263" s="12" t="s">
        <v>3992</v>
      </c>
      <c r="BI263" s="12">
        <v>46142</v>
      </c>
      <c r="BJ263" s="12">
        <v>46144</v>
      </c>
      <c r="BK263" s="174" t="s">
        <v>3993</v>
      </c>
      <c r="BL263" s="12" t="str">
        <f t="shared" si="45"/>
        <v>Approved</v>
      </c>
      <c r="BM263" s="12" t="str">
        <f t="shared" si="46"/>
        <v>Approved</v>
      </c>
      <c r="BN263" s="12">
        <v>46196</v>
      </c>
      <c r="BO263" s="12">
        <v>46196</v>
      </c>
      <c r="BP263" s="155" t="s">
        <v>1760</v>
      </c>
      <c r="BQ263" s="12" t="s">
        <v>3994</v>
      </c>
      <c r="BR263" s="12">
        <v>46192</v>
      </c>
      <c r="BS263" s="143">
        <f t="shared" ref="BS263:BS294" ca="1" si="47">IF(AO263="Drop",
"Drop",
IF(ISBLANK(AV263),
0,
IF(ISBLANK(BR263),
DATEDIF(AV263,TODAY(),"d"),
DATEDIF(AV263,BR263,"d")
)
)
)</f>
        <v>14</v>
      </c>
      <c r="BT263" s="176"/>
      <c r="BU263" s="12"/>
      <c r="BV263" s="143">
        <f t="shared" ref="BV263:BV294" ca="1" si="48">IF(AO263="Drop",
"Drop",
IF(ISBLANK(BC263),
0,
IF(ISBLANK(BU263),
DATEDIF(BC263,TODAY(),"d"),
DATEDIF(BC263,BU263,"d")
)
)
)</f>
        <v>0</v>
      </c>
      <c r="BW263" s="12"/>
      <c r="BX263" s="12"/>
      <c r="BY263" s="143"/>
      <c r="BZ263" s="13" t="s">
        <v>2500</v>
      </c>
      <c r="CA263" s="13"/>
      <c r="CB263" s="13"/>
      <c r="CC263" s="13"/>
      <c r="CD263" s="13"/>
      <c r="CE263" s="198"/>
      <c r="CF263" s="198"/>
      <c r="CG263" s="272"/>
      <c r="CH263" s="272"/>
      <c r="CI263" s="198"/>
      <c r="CJ263" s="198"/>
      <c r="CK263" s="198"/>
      <c r="CL263" s="198"/>
    </row>
    <row r="264" spans="1:90" ht="30" customHeight="1">
      <c r="A264" s="181">
        <v>259</v>
      </c>
      <c r="B264" s="190" t="s">
        <v>2486</v>
      </c>
      <c r="C264" s="190" t="s">
        <v>2487</v>
      </c>
      <c r="D264" s="190" t="s">
        <v>135</v>
      </c>
      <c r="E264" s="8" t="e">
        <f ca="1">+_xlfn.CONCAT(G264,"-",B264,"_",C264,"_",_xlfn.XLOOKUP(BP264,Account!M:M,Account!N:N))</f>
        <v>#NAME?</v>
      </c>
      <c r="F264" s="12">
        <v>46034</v>
      </c>
      <c r="G264" s="157" t="s">
        <v>1955</v>
      </c>
      <c r="H264" s="190" t="s">
        <v>3995</v>
      </c>
      <c r="I264" s="10" t="s">
        <v>1956</v>
      </c>
      <c r="J264" s="190">
        <v>20</v>
      </c>
      <c r="K264" s="190" t="s">
        <v>2038</v>
      </c>
      <c r="L264" s="190" t="s">
        <v>3816</v>
      </c>
      <c r="M264" s="190" t="s">
        <v>3996</v>
      </c>
      <c r="N264" s="198" t="s">
        <v>3997</v>
      </c>
      <c r="O264" s="177" t="s">
        <v>3998</v>
      </c>
      <c r="P264" s="177" t="s">
        <v>3999</v>
      </c>
      <c r="Q264" s="327">
        <v>57199.8</v>
      </c>
      <c r="R264" s="190">
        <v>100</v>
      </c>
      <c r="S264" s="190"/>
      <c r="T264" s="190" t="s">
        <v>2494</v>
      </c>
      <c r="U264" s="190" t="s">
        <v>4000</v>
      </c>
      <c r="V264" s="8" t="s">
        <v>1760</v>
      </c>
      <c r="W264" s="10"/>
      <c r="X264" s="9"/>
      <c r="Y264" s="172" t="s">
        <v>2432</v>
      </c>
      <c r="Z264" s="172">
        <v>46093</v>
      </c>
      <c r="AA264" s="172">
        <v>46098</v>
      </c>
      <c r="AB264" s="143" t="str">
        <f t="shared" ca="1" si="42"/>
        <v>Expired</v>
      </c>
      <c r="AC264" s="13"/>
      <c r="AD264" s="12">
        <v>46097</v>
      </c>
      <c r="AE264" s="12">
        <v>46122</v>
      </c>
      <c r="AF264" s="12">
        <v>46164</v>
      </c>
      <c r="AG264" s="12">
        <v>46135</v>
      </c>
      <c r="AH264" s="11"/>
      <c r="AI264" s="11">
        <v>46181</v>
      </c>
      <c r="AJ264" s="11"/>
      <c r="AK264" s="11"/>
      <c r="AL264" s="11"/>
      <c r="AM264" s="11"/>
      <c r="AN264" s="11"/>
      <c r="AO264" s="11" t="str">
        <f t="shared" si="41"/>
        <v>Dismantle</v>
      </c>
      <c r="AP264" s="185" t="s">
        <v>4001</v>
      </c>
      <c r="AQ264" s="12">
        <v>46126</v>
      </c>
      <c r="AR264" s="12">
        <v>46129</v>
      </c>
      <c r="AS264" s="12">
        <v>46126</v>
      </c>
      <c r="AT264" s="12">
        <v>46175</v>
      </c>
      <c r="AU264" s="12">
        <v>46205</v>
      </c>
      <c r="AV264" s="12">
        <v>46216</v>
      </c>
      <c r="AW264" s="11" t="str">
        <f t="shared" si="43"/>
        <v>1st BOQ App on ISAAC</v>
      </c>
      <c r="AX264" s="12"/>
      <c r="AY264" s="12"/>
      <c r="AZ264" s="12"/>
      <c r="BA264" s="12"/>
      <c r="BB264" s="12"/>
      <c r="BC264" s="12"/>
      <c r="BD264" s="11" t="str">
        <f t="shared" si="44"/>
        <v>NY Submit</v>
      </c>
      <c r="BE264" s="174"/>
      <c r="BF264" s="12">
        <v>46127</v>
      </c>
      <c r="BG264" s="12"/>
      <c r="BH264" s="12" t="s">
        <v>4002</v>
      </c>
      <c r="BI264" s="12">
        <v>46127</v>
      </c>
      <c r="BJ264" s="12"/>
      <c r="BK264" s="174" t="s">
        <v>4003</v>
      </c>
      <c r="BL264" s="12" t="str">
        <f t="shared" si="45"/>
        <v>Submit</v>
      </c>
      <c r="BM264" s="12" t="str">
        <f t="shared" si="46"/>
        <v>Submit</v>
      </c>
      <c r="BN264" s="12">
        <v>46204</v>
      </c>
      <c r="BO264" s="12">
        <v>46205</v>
      </c>
      <c r="BP264" s="155" t="s">
        <v>1760</v>
      </c>
      <c r="BQ264" s="12" t="s">
        <v>4004</v>
      </c>
      <c r="BR264" s="12">
        <v>46147</v>
      </c>
      <c r="BS264" s="143" t="e">
        <f t="shared" ca="1" si="47"/>
        <v>#NUM!</v>
      </c>
      <c r="BT264" s="176"/>
      <c r="BU264" s="12"/>
      <c r="BV264" s="143">
        <f t="shared" ca="1" si="48"/>
        <v>0</v>
      </c>
      <c r="BW264" s="12"/>
      <c r="BX264" s="12"/>
      <c r="BY264" s="143"/>
      <c r="BZ264" s="279" t="s">
        <v>4005</v>
      </c>
      <c r="CA264" s="13" t="s">
        <v>2555</v>
      </c>
      <c r="CB264" s="13"/>
      <c r="CC264" s="13"/>
      <c r="CD264" s="13"/>
      <c r="CE264" s="198"/>
      <c r="CF264" s="198"/>
      <c r="CG264" s="272"/>
      <c r="CH264" s="272"/>
      <c r="CI264" s="198"/>
      <c r="CJ264" s="198"/>
      <c r="CK264" s="198"/>
      <c r="CL264" s="198"/>
    </row>
    <row r="265" spans="1:90">
      <c r="A265" s="187">
        <v>260</v>
      </c>
      <c r="B265" s="190" t="s">
        <v>2486</v>
      </c>
      <c r="C265" s="190" t="s">
        <v>2487</v>
      </c>
      <c r="D265" s="190" t="s">
        <v>135</v>
      </c>
      <c r="E265" s="8" t="e">
        <f ca="1">+_xlfn.CONCAT(G265,"-",B265,"_",C265,"_",_xlfn.XLOOKUP(BP265,Account!M:M,Account!N:N))</f>
        <v>#NAME?</v>
      </c>
      <c r="F265" s="12">
        <v>46034</v>
      </c>
      <c r="G265" s="190" t="s">
        <v>4006</v>
      </c>
      <c r="H265" s="190" t="s">
        <v>4007</v>
      </c>
      <c r="I265" s="10" t="s">
        <v>4008</v>
      </c>
      <c r="J265" s="190">
        <v>15</v>
      </c>
      <c r="K265" s="190" t="s">
        <v>2486</v>
      </c>
      <c r="L265" s="190" t="s">
        <v>1279</v>
      </c>
      <c r="M265" s="190" t="s">
        <v>4009</v>
      </c>
      <c r="N265" s="10" t="s">
        <v>4010</v>
      </c>
      <c r="O265" s="177" t="s">
        <v>4011</v>
      </c>
      <c r="P265" s="177" t="s">
        <v>4012</v>
      </c>
      <c r="Q265" s="327">
        <v>3637.98</v>
      </c>
      <c r="R265" s="190">
        <v>32</v>
      </c>
      <c r="S265" s="190"/>
      <c r="T265" s="190" t="s">
        <v>2494</v>
      </c>
      <c r="U265" s="190" t="s">
        <v>2495</v>
      </c>
      <c r="V265" s="8" t="s">
        <v>1760</v>
      </c>
      <c r="W265" s="10"/>
      <c r="X265" s="9"/>
      <c r="Y265" s="172" t="s">
        <v>2432</v>
      </c>
      <c r="Z265" s="172">
        <v>46115</v>
      </c>
      <c r="AA265" s="172">
        <v>46128</v>
      </c>
      <c r="AB265" s="143" t="str">
        <f t="shared" ca="1" si="42"/>
        <v>Expired</v>
      </c>
      <c r="AC265" s="13"/>
      <c r="AD265" s="12">
        <v>46122</v>
      </c>
      <c r="AE265" s="12">
        <v>46145</v>
      </c>
      <c r="AF265" s="12">
        <v>46230</v>
      </c>
      <c r="AG265" s="12"/>
      <c r="AH265" s="11"/>
      <c r="AI265" s="11">
        <v>46206</v>
      </c>
      <c r="AJ265" s="11"/>
      <c r="AK265" s="11"/>
      <c r="AL265" s="11"/>
      <c r="AM265" s="11"/>
      <c r="AN265" s="11">
        <v>46206</v>
      </c>
      <c r="AO265" s="11" t="str">
        <f t="shared" si="41"/>
        <v>BAST</v>
      </c>
      <c r="AP265" s="173" t="s">
        <v>4013</v>
      </c>
      <c r="AQ265" s="12">
        <v>46154</v>
      </c>
      <c r="AR265" s="12">
        <v>46177</v>
      </c>
      <c r="AS265" s="12">
        <v>46155</v>
      </c>
      <c r="AT265" s="12"/>
      <c r="AU265" s="12">
        <v>46177</v>
      </c>
      <c r="AV265" s="12">
        <v>46177</v>
      </c>
      <c r="AW265" s="11" t="str">
        <f t="shared" si="43"/>
        <v>1st BOQ App on ISAAC</v>
      </c>
      <c r="AX265" s="12"/>
      <c r="AY265" s="12"/>
      <c r="AZ265" s="12"/>
      <c r="BA265" s="12"/>
      <c r="BB265" s="12"/>
      <c r="BC265" s="12"/>
      <c r="BD265" s="11" t="str">
        <f t="shared" si="44"/>
        <v>NY Submit</v>
      </c>
      <c r="BE265" s="174"/>
      <c r="BF265" s="12">
        <v>46161</v>
      </c>
      <c r="BG265" s="12">
        <v>46164</v>
      </c>
      <c r="BH265" s="12" t="s">
        <v>4014</v>
      </c>
      <c r="BI265" s="12">
        <v>46161</v>
      </c>
      <c r="BJ265" s="12">
        <v>46162</v>
      </c>
      <c r="BK265" s="174" t="s">
        <v>4015</v>
      </c>
      <c r="BL265" s="12" t="str">
        <f t="shared" si="45"/>
        <v>Approved</v>
      </c>
      <c r="BM265" s="12" t="str">
        <f t="shared" si="46"/>
        <v>Approved</v>
      </c>
      <c r="BN265" s="12">
        <v>46211</v>
      </c>
      <c r="BO265" s="12">
        <v>46211</v>
      </c>
      <c r="BP265" s="155" t="s">
        <v>1760</v>
      </c>
      <c r="BQ265" s="12" t="s">
        <v>4016</v>
      </c>
      <c r="BR265" s="12">
        <v>46192</v>
      </c>
      <c r="BS265" s="143">
        <f t="shared" ca="1" si="47"/>
        <v>15</v>
      </c>
      <c r="BT265" s="176"/>
      <c r="BU265" s="12"/>
      <c r="BV265" s="143">
        <f t="shared" ca="1" si="48"/>
        <v>0</v>
      </c>
      <c r="BW265" s="12"/>
      <c r="BX265" s="12"/>
      <c r="BY265" s="143"/>
      <c r="BZ265" s="13" t="s">
        <v>2500</v>
      </c>
      <c r="CA265" s="13"/>
      <c r="CB265" s="13"/>
      <c r="CC265" s="13"/>
      <c r="CD265" s="13"/>
      <c r="CE265" s="198"/>
      <c r="CF265" s="198"/>
      <c r="CG265" s="272"/>
      <c r="CH265" s="272"/>
      <c r="CI265" s="198"/>
      <c r="CJ265" s="198"/>
      <c r="CK265" s="198"/>
      <c r="CL265" s="198"/>
    </row>
    <row r="266" spans="1:90">
      <c r="A266" s="187">
        <v>261</v>
      </c>
      <c r="B266" s="190" t="s">
        <v>2486</v>
      </c>
      <c r="C266" s="190" t="s">
        <v>2487</v>
      </c>
      <c r="D266" s="190" t="s">
        <v>135</v>
      </c>
      <c r="E266" s="8" t="e">
        <f ca="1">+_xlfn.CONCAT(G266,"-",B266,"_",C266,"_",_xlfn.XLOOKUP(BP266,Account!M:M,Account!N:N))</f>
        <v>#NAME?</v>
      </c>
      <c r="F266" s="12">
        <v>46034</v>
      </c>
      <c r="G266" s="190" t="s">
        <v>4017</v>
      </c>
      <c r="H266" s="190" t="s">
        <v>4018</v>
      </c>
      <c r="I266" s="10" t="s">
        <v>4019</v>
      </c>
      <c r="J266" s="190">
        <v>15</v>
      </c>
      <c r="K266" s="190" t="s">
        <v>2486</v>
      </c>
      <c r="L266" s="190" t="s">
        <v>1279</v>
      </c>
      <c r="M266" s="190" t="s">
        <v>4009</v>
      </c>
      <c r="N266" s="10" t="s">
        <v>4020</v>
      </c>
      <c r="O266" s="177" t="s">
        <v>4021</v>
      </c>
      <c r="P266" s="177" t="s">
        <v>4022</v>
      </c>
      <c r="Q266" s="328">
        <v>6159</v>
      </c>
      <c r="R266" s="190">
        <v>42</v>
      </c>
      <c r="S266" s="190"/>
      <c r="T266" s="190" t="s">
        <v>2494</v>
      </c>
      <c r="U266" s="190" t="s">
        <v>3330</v>
      </c>
      <c r="V266" s="8" t="s">
        <v>1760</v>
      </c>
      <c r="W266" s="10"/>
      <c r="X266" s="9"/>
      <c r="Y266" s="172" t="s">
        <v>2432</v>
      </c>
      <c r="Z266" s="172">
        <v>46115</v>
      </c>
      <c r="AA266" s="172">
        <v>46128</v>
      </c>
      <c r="AB266" s="143" t="str">
        <f t="shared" ca="1" si="42"/>
        <v>Expired</v>
      </c>
      <c r="AC266" s="13"/>
      <c r="AD266" s="12">
        <v>46122</v>
      </c>
      <c r="AE266" s="12">
        <v>46145</v>
      </c>
      <c r="AF266" s="12">
        <v>46222</v>
      </c>
      <c r="AG266" s="12">
        <v>46181</v>
      </c>
      <c r="AH266" s="11"/>
      <c r="AI266" s="11">
        <v>46210</v>
      </c>
      <c r="AJ266" s="11"/>
      <c r="AK266" s="11"/>
      <c r="AL266" s="11"/>
      <c r="AM266" s="11"/>
      <c r="AN266" s="11">
        <v>46210</v>
      </c>
      <c r="AO266" s="11" t="str">
        <f t="shared" si="41"/>
        <v>BAST</v>
      </c>
      <c r="AP266" s="173" t="s">
        <v>4023</v>
      </c>
      <c r="AQ266" s="12">
        <v>46154</v>
      </c>
      <c r="AR266" s="12">
        <v>46177</v>
      </c>
      <c r="AS266" s="12">
        <v>46155</v>
      </c>
      <c r="AT266" s="12"/>
      <c r="AU266" s="12">
        <v>46177</v>
      </c>
      <c r="AV266" s="12">
        <v>46178</v>
      </c>
      <c r="AW266" s="11" t="str">
        <f t="shared" si="43"/>
        <v>1st BOQ App on ISAAC</v>
      </c>
      <c r="AX266" s="12"/>
      <c r="AY266" s="12"/>
      <c r="AZ266" s="12"/>
      <c r="BA266" s="12"/>
      <c r="BB266" s="12"/>
      <c r="BC266" s="12"/>
      <c r="BD266" s="11" t="str">
        <f t="shared" si="44"/>
        <v>NY Submit</v>
      </c>
      <c r="BE266" s="174"/>
      <c r="BF266" s="12">
        <v>46160</v>
      </c>
      <c r="BG266" s="12">
        <v>46164</v>
      </c>
      <c r="BH266" s="12" t="s">
        <v>4024</v>
      </c>
      <c r="BI266" s="12">
        <v>46160</v>
      </c>
      <c r="BJ266" s="12">
        <v>46160</v>
      </c>
      <c r="BK266" s="174" t="s">
        <v>4025</v>
      </c>
      <c r="BL266" s="12" t="str">
        <f t="shared" si="45"/>
        <v>Approved</v>
      </c>
      <c r="BM266" s="12" t="str">
        <f t="shared" si="46"/>
        <v>Approved</v>
      </c>
      <c r="BN266" s="12">
        <v>46211</v>
      </c>
      <c r="BO266" s="12">
        <v>46217</v>
      </c>
      <c r="BP266" s="155" t="s">
        <v>1760</v>
      </c>
      <c r="BQ266" s="12" t="s">
        <v>4016</v>
      </c>
      <c r="BR266" s="12">
        <v>46192</v>
      </c>
      <c r="BS266" s="143">
        <f t="shared" ca="1" si="47"/>
        <v>14</v>
      </c>
      <c r="BT266" s="176"/>
      <c r="BU266" s="12"/>
      <c r="BV266" s="143">
        <f t="shared" ca="1" si="48"/>
        <v>0</v>
      </c>
      <c r="BW266" s="12"/>
      <c r="BX266" s="12"/>
      <c r="BY266" s="143"/>
      <c r="BZ266" s="13" t="s">
        <v>2500</v>
      </c>
      <c r="CA266" s="13"/>
      <c r="CB266" s="13"/>
      <c r="CC266" s="13"/>
      <c r="CD266" s="13"/>
      <c r="CE266" s="198"/>
      <c r="CF266" s="198"/>
      <c r="CG266" s="272"/>
      <c r="CH266" s="272"/>
      <c r="CI266" s="198"/>
      <c r="CJ266" s="198"/>
      <c r="CK266" s="198"/>
      <c r="CL266" s="198"/>
    </row>
    <row r="267" spans="1:90" ht="30" customHeight="1">
      <c r="A267" s="187">
        <v>262</v>
      </c>
      <c r="B267" s="190" t="s">
        <v>2486</v>
      </c>
      <c r="C267" s="190" t="s">
        <v>2487</v>
      </c>
      <c r="D267" s="190" t="s">
        <v>135</v>
      </c>
      <c r="E267" s="8" t="e">
        <f ca="1">+_xlfn.CONCAT(G267,"-",B267,"_",C267,"_",_xlfn.XLOOKUP(BP267,Account!M:M,Account!N:N))</f>
        <v>#NAME?</v>
      </c>
      <c r="F267" s="12">
        <v>46034</v>
      </c>
      <c r="G267" s="190" t="s">
        <v>4026</v>
      </c>
      <c r="H267" s="190" t="s">
        <v>4027</v>
      </c>
      <c r="I267" s="10" t="s">
        <v>4028</v>
      </c>
      <c r="J267" s="190">
        <v>15</v>
      </c>
      <c r="K267" s="190" t="s">
        <v>2038</v>
      </c>
      <c r="L267" s="190" t="s">
        <v>1279</v>
      </c>
      <c r="M267" s="190" t="s">
        <v>2884</v>
      </c>
      <c r="N267" s="198" t="s">
        <v>4029</v>
      </c>
      <c r="O267" s="177" t="s">
        <v>4030</v>
      </c>
      <c r="P267" s="177" t="s">
        <v>4031</v>
      </c>
      <c r="Q267" s="327">
        <v>2490.6959999999999</v>
      </c>
      <c r="R267" s="190">
        <v>20</v>
      </c>
      <c r="S267" s="190"/>
      <c r="T267" s="190" t="s">
        <v>2518</v>
      </c>
      <c r="U267" s="190" t="s">
        <v>2519</v>
      </c>
      <c r="V267" s="8" t="s">
        <v>1760</v>
      </c>
      <c r="W267" s="10"/>
      <c r="X267" s="9"/>
      <c r="Y267" s="172"/>
      <c r="Z267" s="172"/>
      <c r="AA267" s="172"/>
      <c r="AB267" s="208" t="str">
        <f t="shared" ca="1" si="42"/>
        <v>NY Submit</v>
      </c>
      <c r="AC267" s="13"/>
      <c r="AD267" s="12">
        <v>46192</v>
      </c>
      <c r="AE267" s="12">
        <v>46195</v>
      </c>
      <c r="AF267" s="12">
        <v>46211</v>
      </c>
      <c r="AG267" s="12">
        <v>46204</v>
      </c>
      <c r="AH267" s="11"/>
      <c r="AI267" s="11">
        <v>46214</v>
      </c>
      <c r="AJ267" s="11"/>
      <c r="AK267" s="11"/>
      <c r="AL267" s="11"/>
      <c r="AM267" s="11"/>
      <c r="AN267" s="11">
        <v>46231</v>
      </c>
      <c r="AO267" s="11" t="str">
        <f t="shared" si="41"/>
        <v>BAST</v>
      </c>
      <c r="AP267" s="173" t="s">
        <v>4032</v>
      </c>
      <c r="AQ267" s="12">
        <v>46197</v>
      </c>
      <c r="AR267" s="12">
        <v>46198</v>
      </c>
      <c r="AS267" s="12">
        <v>46197</v>
      </c>
      <c r="AT267" s="12"/>
      <c r="AU267" s="12">
        <v>46198</v>
      </c>
      <c r="AV267" s="12">
        <v>46203</v>
      </c>
      <c r="AW267" s="11" t="str">
        <f t="shared" si="43"/>
        <v>1st BOQ App on ISAAC</v>
      </c>
      <c r="AX267" s="12"/>
      <c r="AY267" s="12"/>
      <c r="AZ267" s="12"/>
      <c r="BA267" s="12"/>
      <c r="BB267" s="12"/>
      <c r="BC267" s="12"/>
      <c r="BD267" s="11" t="str">
        <f t="shared" si="44"/>
        <v>NY Submit</v>
      </c>
      <c r="BE267" s="174"/>
      <c r="BF267" s="12">
        <v>46196</v>
      </c>
      <c r="BG267" s="12">
        <v>46200</v>
      </c>
      <c r="BH267" s="12" t="s">
        <v>4033</v>
      </c>
      <c r="BI267" s="12">
        <v>46196</v>
      </c>
      <c r="BJ267" s="12">
        <v>46198</v>
      </c>
      <c r="BK267" s="174" t="s">
        <v>4034</v>
      </c>
      <c r="BL267" s="12" t="str">
        <f t="shared" si="45"/>
        <v>Approved</v>
      </c>
      <c r="BM267" s="12" t="str">
        <f t="shared" si="46"/>
        <v>Approved</v>
      </c>
      <c r="BN267" s="12">
        <v>46231</v>
      </c>
      <c r="BO267" s="12"/>
      <c r="BP267" s="155" t="s">
        <v>1760</v>
      </c>
      <c r="BQ267" s="12" t="s">
        <v>4035</v>
      </c>
      <c r="BR267" s="12">
        <v>46230</v>
      </c>
      <c r="BS267" s="143">
        <f t="shared" ca="1" si="47"/>
        <v>27</v>
      </c>
      <c r="BT267" s="176"/>
      <c r="BU267" s="12"/>
      <c r="BV267" s="143">
        <f t="shared" ca="1" si="48"/>
        <v>0</v>
      </c>
      <c r="BW267" s="12"/>
      <c r="BX267" s="12"/>
      <c r="BY267" s="143"/>
      <c r="BZ267" s="13" t="s">
        <v>2500</v>
      </c>
      <c r="CA267" s="13"/>
      <c r="CB267" s="13"/>
      <c r="CC267" s="13"/>
      <c r="CD267" s="13"/>
      <c r="CE267" s="198"/>
      <c r="CF267" s="198"/>
      <c r="CG267" s="272"/>
      <c r="CH267" s="272"/>
      <c r="CI267" s="198"/>
      <c r="CJ267" s="198"/>
      <c r="CK267" s="198"/>
      <c r="CL267" s="198"/>
    </row>
    <row r="268" spans="1:90">
      <c r="A268" s="181">
        <v>263</v>
      </c>
      <c r="B268" s="190" t="s">
        <v>2486</v>
      </c>
      <c r="C268" s="190" t="s">
        <v>2487</v>
      </c>
      <c r="D268" s="190" t="s">
        <v>135</v>
      </c>
      <c r="E268" s="8" t="e">
        <f ca="1">+_xlfn.CONCAT(G268,"-",B268,"_",C268,"_",_xlfn.XLOOKUP(BP268,Account!M:M,Account!N:N))</f>
        <v>#NAME?</v>
      </c>
      <c r="F268" s="12">
        <v>46034</v>
      </c>
      <c r="G268" s="157" t="s">
        <v>4036</v>
      </c>
      <c r="H268" s="190" t="s">
        <v>4037</v>
      </c>
      <c r="I268" s="10" t="s">
        <v>4038</v>
      </c>
      <c r="J268" s="190">
        <v>11</v>
      </c>
      <c r="K268" s="190" t="s">
        <v>2486</v>
      </c>
      <c r="L268" s="190" t="s">
        <v>1263</v>
      </c>
      <c r="M268" s="190" t="s">
        <v>2577</v>
      </c>
      <c r="N268" s="10" t="s">
        <v>4039</v>
      </c>
      <c r="O268" s="177" t="s">
        <v>4040</v>
      </c>
      <c r="P268" s="177" t="s">
        <v>4041</v>
      </c>
      <c r="Q268" s="327">
        <v>218.15</v>
      </c>
      <c r="R268" s="190">
        <v>6</v>
      </c>
      <c r="S268" s="190" t="s">
        <v>404</v>
      </c>
      <c r="T268" s="190" t="s">
        <v>2518</v>
      </c>
      <c r="U268" s="190" t="s">
        <v>2565</v>
      </c>
      <c r="V268" s="8" t="s">
        <v>1760</v>
      </c>
      <c r="W268" s="10"/>
      <c r="X268" s="9"/>
      <c r="Y268" s="172" t="s">
        <v>2432</v>
      </c>
      <c r="Z268" s="172">
        <v>46153</v>
      </c>
      <c r="AA268" s="172">
        <v>46159</v>
      </c>
      <c r="AB268" s="143" t="str">
        <f t="shared" ca="1" si="42"/>
        <v>Expired</v>
      </c>
      <c r="AC268" s="13"/>
      <c r="AD268" s="12">
        <v>46155</v>
      </c>
      <c r="AE268" s="12">
        <v>46155</v>
      </c>
      <c r="AF268" s="12">
        <v>46257</v>
      </c>
      <c r="AG268" s="12">
        <v>46218</v>
      </c>
      <c r="AH268" s="11"/>
      <c r="AI268" s="11">
        <v>46227</v>
      </c>
      <c r="AJ268" s="11"/>
      <c r="AK268" s="11"/>
      <c r="AL268" s="11"/>
      <c r="AM268" s="11"/>
      <c r="AN268" s="11">
        <v>46230</v>
      </c>
      <c r="AO268" s="11" t="str">
        <f t="shared" si="41"/>
        <v>BAST</v>
      </c>
      <c r="AP268" s="173" t="s">
        <v>4042</v>
      </c>
      <c r="AQ268" s="12">
        <v>46203</v>
      </c>
      <c r="AR268" s="12">
        <v>46206</v>
      </c>
      <c r="AS268" s="12">
        <v>46207</v>
      </c>
      <c r="AT268" s="12"/>
      <c r="AU268" s="12"/>
      <c r="AV268" s="12"/>
      <c r="AW268" s="11" t="str">
        <f t="shared" si="43"/>
        <v>1st BOQ Pass TI</v>
      </c>
      <c r="AX268" s="12"/>
      <c r="AY268" s="12"/>
      <c r="AZ268" s="12"/>
      <c r="BA268" s="12"/>
      <c r="BB268" s="12"/>
      <c r="BC268" s="12"/>
      <c r="BD268" s="11" t="str">
        <f t="shared" si="44"/>
        <v>NY Submit</v>
      </c>
      <c r="BE268" s="174" t="s">
        <v>4043</v>
      </c>
      <c r="BF268" s="12">
        <v>46176</v>
      </c>
      <c r="BG268" s="12">
        <v>46177</v>
      </c>
      <c r="BH268" s="12" t="s">
        <v>4044</v>
      </c>
      <c r="BI268" s="12">
        <v>46176</v>
      </c>
      <c r="BJ268" s="12">
        <v>46178</v>
      </c>
      <c r="BK268" s="174" t="s">
        <v>4045</v>
      </c>
      <c r="BL268" s="12" t="str">
        <f t="shared" si="45"/>
        <v>Approved</v>
      </c>
      <c r="BM268" s="12" t="str">
        <f t="shared" si="46"/>
        <v>Approved</v>
      </c>
      <c r="BN268" s="12">
        <v>46231</v>
      </c>
      <c r="BO268" s="12">
        <v>46231</v>
      </c>
      <c r="BP268" s="155" t="s">
        <v>1760</v>
      </c>
      <c r="BQ268" s="12" t="s">
        <v>3106</v>
      </c>
      <c r="BR268" s="12"/>
      <c r="BS268" s="143">
        <f t="shared" ca="1" si="47"/>
        <v>0</v>
      </c>
      <c r="BT268" s="176"/>
      <c r="BU268" s="12"/>
      <c r="BV268" s="143">
        <f t="shared" ca="1" si="48"/>
        <v>0</v>
      </c>
      <c r="BW268" s="12"/>
      <c r="BX268" s="12"/>
      <c r="BY268" s="143"/>
      <c r="BZ268" s="13" t="s">
        <v>3107</v>
      </c>
      <c r="CA268" s="13"/>
      <c r="CB268" s="13"/>
      <c r="CC268" s="13"/>
      <c r="CD268" s="13"/>
      <c r="CE268" s="198"/>
      <c r="CF268" s="198"/>
      <c r="CG268" s="272"/>
      <c r="CH268" s="272"/>
      <c r="CI268" s="198"/>
      <c r="CJ268" s="198"/>
      <c r="CK268" s="198"/>
      <c r="CL268" s="198"/>
    </row>
    <row r="269" spans="1:90">
      <c r="A269" s="181">
        <v>264</v>
      </c>
      <c r="B269" s="190" t="s">
        <v>2486</v>
      </c>
      <c r="C269" s="190" t="s">
        <v>2487</v>
      </c>
      <c r="D269" s="190" t="s">
        <v>135</v>
      </c>
      <c r="E269" s="8" t="e">
        <f ca="1">+_xlfn.CONCAT(G269,"-",B269,"_",C269,"_",_xlfn.XLOOKUP(BP269,Account!M:M,Account!N:N))</f>
        <v>#NAME?</v>
      </c>
      <c r="F269" s="12">
        <v>46034</v>
      </c>
      <c r="G269" s="190" t="s">
        <v>4046</v>
      </c>
      <c r="H269" s="190" t="s">
        <v>4047</v>
      </c>
      <c r="I269" s="10" t="s">
        <v>4048</v>
      </c>
      <c r="J269" s="190">
        <v>11</v>
      </c>
      <c r="K269" s="190" t="s">
        <v>2038</v>
      </c>
      <c r="L269" s="190" t="s">
        <v>1263</v>
      </c>
      <c r="M269" s="190" t="s">
        <v>2514</v>
      </c>
      <c r="N269" s="10"/>
      <c r="O269" s="177" t="s">
        <v>4049</v>
      </c>
      <c r="P269" s="177" t="s">
        <v>4050</v>
      </c>
      <c r="Q269" s="327">
        <v>598.09199999999998</v>
      </c>
      <c r="R269" s="190">
        <v>4</v>
      </c>
      <c r="S269" s="190"/>
      <c r="T269" s="190" t="s">
        <v>2518</v>
      </c>
      <c r="U269" s="190" t="s">
        <v>2565</v>
      </c>
      <c r="V269" s="8" t="s">
        <v>1760</v>
      </c>
      <c r="W269" s="10"/>
      <c r="X269" s="9"/>
      <c r="Y269" s="172" t="s">
        <v>2432</v>
      </c>
      <c r="Z269" s="172">
        <v>46153</v>
      </c>
      <c r="AA269" s="172">
        <v>46159</v>
      </c>
      <c r="AB269" s="143" t="str">
        <f t="shared" ca="1" si="42"/>
        <v>Expired</v>
      </c>
      <c r="AC269" s="13"/>
      <c r="AD269" s="12">
        <v>46153</v>
      </c>
      <c r="AE269" s="12">
        <v>46162</v>
      </c>
      <c r="AF269" s="12">
        <v>46248</v>
      </c>
      <c r="AG269" s="12">
        <v>46204</v>
      </c>
      <c r="AH269" s="11"/>
      <c r="AI269" s="11">
        <v>46227</v>
      </c>
      <c r="AJ269" s="11"/>
      <c r="AK269" s="11"/>
      <c r="AL269" s="11"/>
      <c r="AM269" s="11"/>
      <c r="AN269" s="11"/>
      <c r="AO269" s="11" t="str">
        <f t="shared" si="41"/>
        <v>Dismantle</v>
      </c>
      <c r="AP269" s="173" t="s">
        <v>4042</v>
      </c>
      <c r="AQ269" s="12">
        <v>46162</v>
      </c>
      <c r="AR269" s="12">
        <v>46197</v>
      </c>
      <c r="AS269" s="12">
        <v>46163</v>
      </c>
      <c r="AT269" s="12"/>
      <c r="AU269" s="12">
        <v>46197</v>
      </c>
      <c r="AV269" s="12"/>
      <c r="AW269" s="11" t="str">
        <f t="shared" si="43"/>
        <v>Upload 1st BOQ &amp; BAN Isaac</v>
      </c>
      <c r="AX269" s="12"/>
      <c r="AY269" s="12"/>
      <c r="AZ269" s="12"/>
      <c r="BA269" s="12"/>
      <c r="BB269" s="12"/>
      <c r="BC269" s="12"/>
      <c r="BD269" s="11" t="str">
        <f t="shared" si="44"/>
        <v>NY Submit</v>
      </c>
      <c r="BE269" s="174" t="s">
        <v>4051</v>
      </c>
      <c r="BF269" s="12">
        <v>46176</v>
      </c>
      <c r="BG269" s="12">
        <v>46177</v>
      </c>
      <c r="BH269" s="12" t="s">
        <v>4052</v>
      </c>
      <c r="BI269" s="12">
        <v>46176</v>
      </c>
      <c r="BJ269" s="12">
        <v>46178</v>
      </c>
      <c r="BK269" s="174" t="s">
        <v>4053</v>
      </c>
      <c r="BL269" s="12" t="str">
        <f t="shared" si="45"/>
        <v>Approved</v>
      </c>
      <c r="BM269" s="12" t="str">
        <f t="shared" si="46"/>
        <v>Approved</v>
      </c>
      <c r="BN269" s="12"/>
      <c r="BO269" s="12"/>
      <c r="BP269" s="155" t="s">
        <v>1760</v>
      </c>
      <c r="BQ269" s="12" t="s">
        <v>3106</v>
      </c>
      <c r="BR269" s="12"/>
      <c r="BS269" s="143">
        <f t="shared" ca="1" si="47"/>
        <v>0</v>
      </c>
      <c r="BT269" s="176"/>
      <c r="BU269" s="12"/>
      <c r="BV269" s="143">
        <f t="shared" ca="1" si="48"/>
        <v>0</v>
      </c>
      <c r="BW269" s="12"/>
      <c r="BX269" s="12"/>
      <c r="BY269" s="143"/>
      <c r="BZ269" s="13" t="s">
        <v>4054</v>
      </c>
      <c r="CA269" s="13"/>
      <c r="CB269" s="13"/>
      <c r="CC269" s="13"/>
      <c r="CD269" s="13"/>
      <c r="CE269" s="198"/>
      <c r="CF269" s="198"/>
      <c r="CG269" s="272"/>
      <c r="CH269" s="272"/>
      <c r="CI269" s="198"/>
      <c r="CJ269" s="198"/>
      <c r="CK269" s="198"/>
      <c r="CL269" s="198"/>
    </row>
    <row r="270" spans="1:90">
      <c r="A270" s="181">
        <v>265</v>
      </c>
      <c r="B270" s="190" t="s">
        <v>2486</v>
      </c>
      <c r="C270" s="190" t="s">
        <v>2487</v>
      </c>
      <c r="D270" s="190" t="s">
        <v>135</v>
      </c>
      <c r="E270" s="8" t="e">
        <f ca="1">+_xlfn.CONCAT(G270,"-",B270,"_",C270,"_",_xlfn.XLOOKUP(BP270,Account!M:M,Account!N:N))</f>
        <v>#NAME?</v>
      </c>
      <c r="F270" s="12">
        <v>46034</v>
      </c>
      <c r="G270" s="157" t="s">
        <v>1970</v>
      </c>
      <c r="H270" s="190" t="s">
        <v>4055</v>
      </c>
      <c r="I270" s="10" t="s">
        <v>1971</v>
      </c>
      <c r="J270" s="190">
        <v>20</v>
      </c>
      <c r="K270" s="190" t="s">
        <v>2038</v>
      </c>
      <c r="L270" s="190" t="s">
        <v>1381</v>
      </c>
      <c r="M270" s="190" t="s">
        <v>2637</v>
      </c>
      <c r="N270" s="10" t="s">
        <v>4056</v>
      </c>
      <c r="O270" s="177" t="s">
        <v>4057</v>
      </c>
      <c r="P270" s="177" t="s">
        <v>4058</v>
      </c>
      <c r="Q270" s="327">
        <v>18868.812000000002</v>
      </c>
      <c r="R270" s="190">
        <v>70</v>
      </c>
      <c r="S270" s="190"/>
      <c r="T270" s="190" t="s">
        <v>2494</v>
      </c>
      <c r="U270" s="190" t="s">
        <v>2495</v>
      </c>
      <c r="V270" s="8" t="s">
        <v>1760</v>
      </c>
      <c r="W270" s="10"/>
      <c r="X270" s="9"/>
      <c r="Y270" s="172"/>
      <c r="Z270" s="172">
        <v>46129</v>
      </c>
      <c r="AA270" s="172">
        <v>46135</v>
      </c>
      <c r="AB270" s="143" t="str">
        <f t="shared" ca="1" si="42"/>
        <v>Expired</v>
      </c>
      <c r="AC270" s="13"/>
      <c r="AD270" s="12">
        <v>46069</v>
      </c>
      <c r="AE270" s="12">
        <v>46071</v>
      </c>
      <c r="AF270" s="12">
        <v>46251</v>
      </c>
      <c r="AG270" s="12"/>
      <c r="AH270" s="11"/>
      <c r="AI270" s="11">
        <v>46158</v>
      </c>
      <c r="AJ270" s="11"/>
      <c r="AK270" s="11"/>
      <c r="AL270" s="11"/>
      <c r="AM270" s="11"/>
      <c r="AN270" s="11">
        <v>46158</v>
      </c>
      <c r="AO270" s="11" t="str">
        <f t="shared" si="41"/>
        <v>BAST</v>
      </c>
      <c r="AP270" s="173"/>
      <c r="AQ270" s="12">
        <v>46112</v>
      </c>
      <c r="AR270" s="12">
        <v>46114</v>
      </c>
      <c r="AS270" s="12">
        <v>46115</v>
      </c>
      <c r="AT270" s="12">
        <v>46175</v>
      </c>
      <c r="AU270" s="12">
        <v>46205</v>
      </c>
      <c r="AV270" s="12"/>
      <c r="AW270" s="11" t="str">
        <f t="shared" si="43"/>
        <v>Upload 1st BOQ &amp; BAN Isaac</v>
      </c>
      <c r="AX270" s="12"/>
      <c r="AY270" s="12"/>
      <c r="AZ270" s="12"/>
      <c r="BA270" s="12"/>
      <c r="BB270" s="12"/>
      <c r="BC270" s="12"/>
      <c r="BD270" s="11" t="str">
        <f t="shared" si="44"/>
        <v>NY Submit</v>
      </c>
      <c r="BE270" s="174"/>
      <c r="BF270" s="12">
        <v>46071</v>
      </c>
      <c r="BG270" s="12"/>
      <c r="BH270" s="12" t="s">
        <v>3550</v>
      </c>
      <c r="BI270" s="12">
        <v>46071</v>
      </c>
      <c r="BJ270" s="12"/>
      <c r="BK270" s="174" t="s">
        <v>4059</v>
      </c>
      <c r="BL270" s="12" t="str">
        <f t="shared" si="45"/>
        <v>Submit</v>
      </c>
      <c r="BM270" s="12" t="str">
        <f t="shared" si="46"/>
        <v>Submit</v>
      </c>
      <c r="BN270" s="12">
        <v>46161</v>
      </c>
      <c r="BO270" s="12">
        <v>46161</v>
      </c>
      <c r="BP270" s="155" t="s">
        <v>1760</v>
      </c>
      <c r="BQ270" s="12" t="s">
        <v>3106</v>
      </c>
      <c r="BR270" s="12">
        <v>46126</v>
      </c>
      <c r="BS270" s="143">
        <f t="shared" ca="1" si="47"/>
        <v>0</v>
      </c>
      <c r="BT270" s="176"/>
      <c r="BU270" s="12"/>
      <c r="BV270" s="143">
        <f t="shared" ca="1" si="48"/>
        <v>0</v>
      </c>
      <c r="BW270" s="12"/>
      <c r="BX270" s="12"/>
      <c r="BY270" s="143"/>
      <c r="BZ270" s="13" t="s">
        <v>3891</v>
      </c>
      <c r="CA270" s="13" t="s">
        <v>2555</v>
      </c>
      <c r="CB270" s="13"/>
      <c r="CC270" s="13"/>
      <c r="CD270" s="13"/>
      <c r="CE270" s="198"/>
      <c r="CF270" s="198"/>
      <c r="CG270" s="272"/>
      <c r="CH270" s="272"/>
      <c r="CI270" s="198"/>
      <c r="CJ270" s="198"/>
      <c r="CK270" s="198"/>
      <c r="CL270" s="198"/>
    </row>
    <row r="271" spans="1:90">
      <c r="A271" s="186">
        <v>266</v>
      </c>
      <c r="B271" s="190" t="s">
        <v>2486</v>
      </c>
      <c r="C271" s="190" t="s">
        <v>2487</v>
      </c>
      <c r="D271" s="190" t="s">
        <v>135</v>
      </c>
      <c r="E271" s="8" t="e">
        <f ca="1">+_xlfn.CONCAT(G271,"-",B271,"_",C271,"_",_xlfn.XLOOKUP(BP271,Account!M:M,Account!N:N))</f>
        <v>#NAME?</v>
      </c>
      <c r="F271" s="12">
        <v>46034</v>
      </c>
      <c r="G271" s="190" t="s">
        <v>4060</v>
      </c>
      <c r="H271" s="190" t="s">
        <v>4061</v>
      </c>
      <c r="I271" s="10" t="s">
        <v>4062</v>
      </c>
      <c r="J271" s="190">
        <v>15</v>
      </c>
      <c r="K271" s="190" t="s">
        <v>2486</v>
      </c>
      <c r="L271" s="190" t="s">
        <v>1279</v>
      </c>
      <c r="M271" s="190" t="s">
        <v>4063</v>
      </c>
      <c r="N271" s="10" t="s">
        <v>4064</v>
      </c>
      <c r="O271" s="177" t="s">
        <v>4065</v>
      </c>
      <c r="P271" s="177" t="s">
        <v>4066</v>
      </c>
      <c r="Q271" s="328">
        <v>6159</v>
      </c>
      <c r="R271" s="190">
        <v>42</v>
      </c>
      <c r="S271" s="190"/>
      <c r="T271" s="190" t="s">
        <v>2494</v>
      </c>
      <c r="U271" s="190" t="s">
        <v>3330</v>
      </c>
      <c r="V271" s="8" t="s">
        <v>1760</v>
      </c>
      <c r="W271" s="10"/>
      <c r="X271" s="9"/>
      <c r="Y271" s="172"/>
      <c r="Z271" s="172"/>
      <c r="AA271" s="172"/>
      <c r="AB271" s="143" t="str">
        <f t="shared" ca="1" si="42"/>
        <v>NY Submit</v>
      </c>
      <c r="AC271" s="13"/>
      <c r="AD271" s="12">
        <v>46094</v>
      </c>
      <c r="AE271" s="12">
        <v>46114</v>
      </c>
      <c r="AF271" s="12">
        <v>46364</v>
      </c>
      <c r="AG271" s="12"/>
      <c r="AH271" s="11"/>
      <c r="AI271" s="11"/>
      <c r="AJ271" s="11"/>
      <c r="AK271" s="11"/>
      <c r="AL271" s="11"/>
      <c r="AM271" s="11"/>
      <c r="AN271" s="11"/>
      <c r="AO271" s="11" t="str">
        <f t="shared" si="41"/>
        <v>Survey Report</v>
      </c>
      <c r="AP271" s="173"/>
      <c r="AQ271" s="12"/>
      <c r="AR271" s="12"/>
      <c r="AS271" s="12"/>
      <c r="AT271" s="12"/>
      <c r="AU271" s="12"/>
      <c r="AV271" s="12"/>
      <c r="AW271" s="11" t="str">
        <f t="shared" si="43"/>
        <v>NY Submit</v>
      </c>
      <c r="AX271" s="12"/>
      <c r="AY271" s="12"/>
      <c r="AZ271" s="12"/>
      <c r="BA271" s="12"/>
      <c r="BB271" s="12"/>
      <c r="BC271" s="12"/>
      <c r="BD271" s="11" t="str">
        <f t="shared" si="44"/>
        <v>NY Submit</v>
      </c>
      <c r="BE271" s="174" t="s">
        <v>4067</v>
      </c>
      <c r="BF271" s="12">
        <v>46118</v>
      </c>
      <c r="BG271" s="12">
        <v>46128</v>
      </c>
      <c r="BH271" s="12" t="s">
        <v>4068</v>
      </c>
      <c r="BI271" s="12">
        <v>46118</v>
      </c>
      <c r="BJ271" s="12">
        <v>46120</v>
      </c>
      <c r="BK271" s="174" t="s">
        <v>4069</v>
      </c>
      <c r="BL271" s="12" t="str">
        <f t="shared" si="45"/>
        <v>Approved</v>
      </c>
      <c r="BM271" s="12" t="str">
        <f t="shared" si="46"/>
        <v>Approved</v>
      </c>
      <c r="BN271" s="12"/>
      <c r="BO271" s="12"/>
      <c r="BP271" s="155" t="s">
        <v>1760</v>
      </c>
      <c r="BQ271" s="12" t="s">
        <v>3106</v>
      </c>
      <c r="BR271" s="12"/>
      <c r="BS271" s="143">
        <f t="shared" ca="1" si="47"/>
        <v>0</v>
      </c>
      <c r="BT271" s="176"/>
      <c r="BU271" s="12"/>
      <c r="BV271" s="143">
        <f t="shared" ca="1" si="48"/>
        <v>0</v>
      </c>
      <c r="BW271" s="12"/>
      <c r="BX271" s="12"/>
      <c r="BY271" s="143"/>
      <c r="BZ271" s="13"/>
      <c r="CA271" s="13"/>
      <c r="CB271" s="13"/>
      <c r="CC271" s="13"/>
      <c r="CD271" s="13"/>
      <c r="CE271" s="198"/>
      <c r="CF271" s="198"/>
      <c r="CG271" s="272"/>
      <c r="CH271" s="272"/>
      <c r="CI271" s="198"/>
      <c r="CJ271" s="198"/>
      <c r="CK271" s="198"/>
      <c r="CL271" s="198"/>
    </row>
    <row r="272" spans="1:90">
      <c r="A272" s="186">
        <v>267</v>
      </c>
      <c r="B272" s="190" t="s">
        <v>2486</v>
      </c>
      <c r="C272" s="190" t="s">
        <v>2487</v>
      </c>
      <c r="D272" s="190" t="s">
        <v>135</v>
      </c>
      <c r="E272" s="8" t="e">
        <f ca="1">+_xlfn.CONCAT(G272,"-",B272,"_",C272,"_",_xlfn.XLOOKUP(BP272,Account!M:M,Account!N:N))</f>
        <v>#NAME?</v>
      </c>
      <c r="F272" s="12">
        <v>46034</v>
      </c>
      <c r="G272" s="190" t="s">
        <v>4070</v>
      </c>
      <c r="H272" s="190" t="s">
        <v>4071</v>
      </c>
      <c r="I272" s="10" t="s">
        <v>4072</v>
      </c>
      <c r="J272" s="190">
        <v>15</v>
      </c>
      <c r="K272" s="190" t="s">
        <v>2038</v>
      </c>
      <c r="L272" s="190" t="s">
        <v>1279</v>
      </c>
      <c r="M272" s="190" t="s">
        <v>4073</v>
      </c>
      <c r="N272" s="10" t="s">
        <v>4074</v>
      </c>
      <c r="O272" s="177" t="s">
        <v>4075</v>
      </c>
      <c r="P272" s="177" t="s">
        <v>4076</v>
      </c>
      <c r="Q272" s="327">
        <v>8462.0400000000009</v>
      </c>
      <c r="R272" s="190">
        <v>40</v>
      </c>
      <c r="S272" s="190"/>
      <c r="T272" s="190" t="s">
        <v>2494</v>
      </c>
      <c r="U272" s="190" t="s">
        <v>2495</v>
      </c>
      <c r="V272" s="8" t="s">
        <v>1760</v>
      </c>
      <c r="W272" s="10"/>
      <c r="X272" s="9"/>
      <c r="Y272" s="172" t="s">
        <v>2432</v>
      </c>
      <c r="Z272" s="172">
        <v>46125</v>
      </c>
      <c r="AA272" s="172">
        <v>46138</v>
      </c>
      <c r="AB272" s="143" t="str">
        <f t="shared" ca="1" si="42"/>
        <v>Expired</v>
      </c>
      <c r="AC272" s="13"/>
      <c r="AD272" s="12">
        <v>46125</v>
      </c>
      <c r="AE272" s="12">
        <v>46126</v>
      </c>
      <c r="AF272" s="12">
        <v>46334</v>
      </c>
      <c r="AG272" s="12"/>
      <c r="AH272" s="11"/>
      <c r="AI272" s="11"/>
      <c r="AJ272" s="11"/>
      <c r="AK272" s="11"/>
      <c r="AL272" s="11"/>
      <c r="AM272" s="11"/>
      <c r="AN272" s="11"/>
      <c r="AO272" s="11" t="str">
        <f t="shared" si="41"/>
        <v>Survey Report</v>
      </c>
      <c r="AP272" s="173"/>
      <c r="AQ272" s="12">
        <v>46162</v>
      </c>
      <c r="AR272" s="12">
        <v>46197</v>
      </c>
      <c r="AS272" s="12">
        <v>46163</v>
      </c>
      <c r="AT272" s="12"/>
      <c r="AU272" s="12">
        <v>46197</v>
      </c>
      <c r="AV272" s="12"/>
      <c r="AW272" s="11" t="str">
        <f t="shared" si="43"/>
        <v>Upload 1st BOQ &amp; BAN Isaac</v>
      </c>
      <c r="AX272" s="12"/>
      <c r="AY272" s="12"/>
      <c r="AZ272" s="12"/>
      <c r="BA272" s="12"/>
      <c r="BB272" s="12"/>
      <c r="BC272" s="12"/>
      <c r="BD272" s="11" t="str">
        <f t="shared" si="44"/>
        <v>NY Submit</v>
      </c>
      <c r="BE272" s="174"/>
      <c r="BF272" s="12">
        <v>46183</v>
      </c>
      <c r="BG272" s="12">
        <v>46200</v>
      </c>
      <c r="BH272" s="12" t="s">
        <v>4077</v>
      </c>
      <c r="BI272" s="12">
        <v>46183</v>
      </c>
      <c r="BJ272" s="12">
        <v>46191</v>
      </c>
      <c r="BK272" s="174" t="s">
        <v>4078</v>
      </c>
      <c r="BL272" s="12" t="str">
        <f t="shared" si="45"/>
        <v>Approved</v>
      </c>
      <c r="BM272" s="12" t="str">
        <f t="shared" si="46"/>
        <v>Approved</v>
      </c>
      <c r="BN272" s="12"/>
      <c r="BO272" s="12"/>
      <c r="BP272" s="155" t="s">
        <v>1760</v>
      </c>
      <c r="BQ272" s="12" t="s">
        <v>3106</v>
      </c>
      <c r="BR272" s="12"/>
      <c r="BS272" s="143">
        <f t="shared" ca="1" si="47"/>
        <v>0</v>
      </c>
      <c r="BT272" s="176"/>
      <c r="BU272" s="12"/>
      <c r="BV272" s="143">
        <f t="shared" ca="1" si="48"/>
        <v>0</v>
      </c>
      <c r="BW272" s="12"/>
      <c r="BX272" s="12"/>
      <c r="BY272" s="143"/>
      <c r="BZ272" s="13"/>
      <c r="CA272" s="13"/>
      <c r="CB272" s="13"/>
      <c r="CC272" s="13"/>
      <c r="CD272" s="13"/>
      <c r="CE272" s="198"/>
      <c r="CF272" s="198"/>
      <c r="CG272" s="272"/>
      <c r="CH272" s="272"/>
      <c r="CI272" s="198"/>
      <c r="CJ272" s="198"/>
      <c r="CK272" s="198"/>
      <c r="CL272" s="198"/>
    </row>
    <row r="273" spans="1:90">
      <c r="A273" s="186">
        <v>268</v>
      </c>
      <c r="B273" s="190" t="s">
        <v>2486</v>
      </c>
      <c r="C273" s="190" t="s">
        <v>2487</v>
      </c>
      <c r="D273" s="190" t="s">
        <v>135</v>
      </c>
      <c r="E273" s="8" t="e">
        <f ca="1">+_xlfn.CONCAT(G273,"-",B273,"_",C273,"_",_xlfn.XLOOKUP(BP273,Account!M:M,Account!N:N))</f>
        <v>#NAME?</v>
      </c>
      <c r="F273" s="12">
        <v>46034</v>
      </c>
      <c r="G273" s="190" t="s">
        <v>4079</v>
      </c>
      <c r="H273" s="190" t="s">
        <v>4080</v>
      </c>
      <c r="I273" s="10" t="s">
        <v>4081</v>
      </c>
      <c r="J273" s="190">
        <v>15</v>
      </c>
      <c r="K273" s="190" t="s">
        <v>2486</v>
      </c>
      <c r="L273" s="190" t="s">
        <v>1279</v>
      </c>
      <c r="M273" s="190" t="s">
        <v>4082</v>
      </c>
      <c r="N273" s="10"/>
      <c r="O273" s="177" t="s">
        <v>4083</v>
      </c>
      <c r="P273" s="177" t="s">
        <v>4084</v>
      </c>
      <c r="Q273" s="327">
        <v>6781.0050000000001</v>
      </c>
      <c r="R273" s="190">
        <v>42</v>
      </c>
      <c r="S273" s="190"/>
      <c r="T273" s="190" t="s">
        <v>2494</v>
      </c>
      <c r="U273" s="190" t="s">
        <v>2495</v>
      </c>
      <c r="V273" s="8" t="s">
        <v>1760</v>
      </c>
      <c r="W273" s="10"/>
      <c r="X273" s="9"/>
      <c r="Y273" s="172" t="s">
        <v>2432</v>
      </c>
      <c r="Z273" s="172">
        <v>46115</v>
      </c>
      <c r="AA273" s="172">
        <v>46128</v>
      </c>
      <c r="AB273" s="143" t="str">
        <f t="shared" ca="1" si="42"/>
        <v>Expired</v>
      </c>
      <c r="AC273" s="13"/>
      <c r="AD273" s="12">
        <v>46125</v>
      </c>
      <c r="AE273" s="12">
        <v>46145</v>
      </c>
      <c r="AF273" s="12">
        <v>46326</v>
      </c>
      <c r="AG273" s="12"/>
      <c r="AH273" s="11"/>
      <c r="AI273" s="11"/>
      <c r="AJ273" s="11"/>
      <c r="AK273" s="11"/>
      <c r="AL273" s="11"/>
      <c r="AM273" s="11"/>
      <c r="AN273" s="11"/>
      <c r="AO273" s="11" t="str">
        <f t="shared" si="41"/>
        <v>Survey Report</v>
      </c>
      <c r="AP273" s="173"/>
      <c r="AQ273" s="12"/>
      <c r="AR273" s="12"/>
      <c r="AS273" s="12"/>
      <c r="AT273" s="12"/>
      <c r="AU273" s="12"/>
      <c r="AV273" s="12"/>
      <c r="AW273" s="11" t="str">
        <f t="shared" si="43"/>
        <v>NY Submit</v>
      </c>
      <c r="AX273" s="12"/>
      <c r="AY273" s="12"/>
      <c r="AZ273" s="12"/>
      <c r="BA273" s="12"/>
      <c r="BB273" s="12"/>
      <c r="BC273" s="12"/>
      <c r="BD273" s="11" t="str">
        <f t="shared" si="44"/>
        <v>NY Submit</v>
      </c>
      <c r="BE273" s="174" t="s">
        <v>4085</v>
      </c>
      <c r="BF273" s="12">
        <v>46178</v>
      </c>
      <c r="BG273" s="12">
        <v>46178</v>
      </c>
      <c r="BH273" s="12" t="s">
        <v>4086</v>
      </c>
      <c r="BI273" s="12">
        <v>46178</v>
      </c>
      <c r="BJ273" s="12">
        <v>46178</v>
      </c>
      <c r="BK273" s="174" t="s">
        <v>4087</v>
      </c>
      <c r="BL273" s="12" t="str">
        <f t="shared" si="45"/>
        <v>Approved</v>
      </c>
      <c r="BM273" s="12" t="str">
        <f t="shared" si="46"/>
        <v>Approved</v>
      </c>
      <c r="BN273" s="12"/>
      <c r="BO273" s="12"/>
      <c r="BP273" s="155" t="s">
        <v>1760</v>
      </c>
      <c r="BQ273" s="12" t="s">
        <v>3106</v>
      </c>
      <c r="BR273" s="12"/>
      <c r="BS273" s="143">
        <f t="shared" ca="1" si="47"/>
        <v>0</v>
      </c>
      <c r="BT273" s="176"/>
      <c r="BU273" s="12"/>
      <c r="BV273" s="143">
        <f t="shared" ca="1" si="48"/>
        <v>0</v>
      </c>
      <c r="BW273" s="12"/>
      <c r="BX273" s="12"/>
      <c r="BY273" s="143"/>
      <c r="BZ273" s="13"/>
      <c r="CA273" s="13"/>
      <c r="CB273" s="13"/>
      <c r="CC273" s="13"/>
      <c r="CD273" s="13"/>
      <c r="CE273" s="198"/>
      <c r="CF273" s="198"/>
      <c r="CG273" s="272"/>
      <c r="CH273" s="272"/>
      <c r="CI273" s="198"/>
      <c r="CJ273" s="198"/>
      <c r="CK273" s="198"/>
      <c r="CL273" s="198"/>
    </row>
    <row r="274" spans="1:90">
      <c r="A274" s="186">
        <v>269</v>
      </c>
      <c r="B274" s="190" t="s">
        <v>2486</v>
      </c>
      <c r="C274" s="190" t="s">
        <v>2487</v>
      </c>
      <c r="D274" s="190" t="s">
        <v>135</v>
      </c>
      <c r="E274" s="8" t="e">
        <f ca="1">+_xlfn.CONCAT(G274,"-",B274,"_",C274,"_",_xlfn.XLOOKUP(BP274,Account!M:M,Account!N:N))</f>
        <v>#NAME?</v>
      </c>
      <c r="F274" s="12">
        <v>46034</v>
      </c>
      <c r="G274" s="190" t="s">
        <v>4088</v>
      </c>
      <c r="H274" s="190" t="s">
        <v>4089</v>
      </c>
      <c r="I274" s="10" t="s">
        <v>4090</v>
      </c>
      <c r="J274" s="190">
        <v>11</v>
      </c>
      <c r="K274" s="190" t="s">
        <v>2038</v>
      </c>
      <c r="L274" s="190" t="s">
        <v>1263</v>
      </c>
      <c r="M274" s="190" t="s">
        <v>2577</v>
      </c>
      <c r="N274" s="10"/>
      <c r="O274" s="177" t="s">
        <v>4091</v>
      </c>
      <c r="P274" s="177" t="s">
        <v>4092</v>
      </c>
      <c r="Q274" s="327">
        <v>773.94</v>
      </c>
      <c r="R274" s="190">
        <v>6</v>
      </c>
      <c r="S274" s="190"/>
      <c r="T274" s="190" t="s">
        <v>2518</v>
      </c>
      <c r="U274" s="190" t="s">
        <v>2565</v>
      </c>
      <c r="V274" s="8" t="s">
        <v>1760</v>
      </c>
      <c r="W274" s="10"/>
      <c r="X274" s="9"/>
      <c r="Y274" s="172"/>
      <c r="Z274" s="172">
        <v>46129</v>
      </c>
      <c r="AA274" s="172">
        <v>46142</v>
      </c>
      <c r="AB274" s="143" t="str">
        <f t="shared" ca="1" si="42"/>
        <v>Expired</v>
      </c>
      <c r="AC274" s="13"/>
      <c r="AD274" s="12">
        <v>46130</v>
      </c>
      <c r="AE274" s="12">
        <v>46130</v>
      </c>
      <c r="AF274" s="12">
        <v>46356</v>
      </c>
      <c r="AG274" s="12"/>
      <c r="AH274" s="11"/>
      <c r="AI274" s="11"/>
      <c r="AJ274" s="11"/>
      <c r="AK274" s="11"/>
      <c r="AL274" s="11"/>
      <c r="AM274" s="11"/>
      <c r="AN274" s="11"/>
      <c r="AO274" s="11" t="str">
        <f t="shared" si="41"/>
        <v>Survey Report</v>
      </c>
      <c r="AP274" s="173"/>
      <c r="AQ274" s="12">
        <v>46163</v>
      </c>
      <c r="AR274" s="12"/>
      <c r="AS274" s="12">
        <v>46168</v>
      </c>
      <c r="AT274" s="12"/>
      <c r="AU274" s="12"/>
      <c r="AV274" s="12"/>
      <c r="AW274" s="11" t="str">
        <f t="shared" si="43"/>
        <v>Engineering Structural Manager App</v>
      </c>
      <c r="AX274" s="12"/>
      <c r="AY274" s="12"/>
      <c r="AZ274" s="12"/>
      <c r="BA274" s="12"/>
      <c r="BB274" s="12"/>
      <c r="BC274" s="12"/>
      <c r="BD274" s="11" t="str">
        <f t="shared" si="44"/>
        <v>NY Submit</v>
      </c>
      <c r="BE274" s="174"/>
      <c r="BF274" s="12">
        <v>46183</v>
      </c>
      <c r="BG274" s="12">
        <v>46195</v>
      </c>
      <c r="BH274" s="12" t="s">
        <v>4093</v>
      </c>
      <c r="BI274" s="12">
        <v>46183</v>
      </c>
      <c r="BJ274" s="12">
        <v>46191</v>
      </c>
      <c r="BK274" s="174" t="s">
        <v>4094</v>
      </c>
      <c r="BL274" s="12" t="str">
        <f t="shared" si="45"/>
        <v>Approved</v>
      </c>
      <c r="BM274" s="12" t="str">
        <f t="shared" si="46"/>
        <v>Approved</v>
      </c>
      <c r="BN274" s="12"/>
      <c r="BO274" s="12"/>
      <c r="BP274" s="155" t="s">
        <v>1760</v>
      </c>
      <c r="BQ274" s="12" t="s">
        <v>3106</v>
      </c>
      <c r="BR274" s="12"/>
      <c r="BS274" s="143">
        <f t="shared" ca="1" si="47"/>
        <v>0</v>
      </c>
      <c r="BT274" s="176"/>
      <c r="BU274" s="12"/>
      <c r="BV274" s="143">
        <f t="shared" ca="1" si="48"/>
        <v>0</v>
      </c>
      <c r="BW274" s="12"/>
      <c r="BX274" s="12"/>
      <c r="BY274" s="143"/>
      <c r="BZ274" s="13"/>
      <c r="CA274" s="13"/>
      <c r="CB274" s="13"/>
      <c r="CC274" s="13"/>
      <c r="CD274" s="13"/>
      <c r="CE274" s="198"/>
      <c r="CF274" s="198"/>
      <c r="CG274" s="272"/>
      <c r="CH274" s="272"/>
      <c r="CI274" s="198"/>
      <c r="CJ274" s="198"/>
      <c r="CK274" s="198"/>
      <c r="CL274" s="198"/>
    </row>
    <row r="275" spans="1:90">
      <c r="A275" s="186">
        <v>270</v>
      </c>
      <c r="B275" s="190" t="s">
        <v>2486</v>
      </c>
      <c r="C275" s="190" t="s">
        <v>2487</v>
      </c>
      <c r="D275" s="190" t="s">
        <v>135</v>
      </c>
      <c r="E275" s="8" t="e">
        <f ca="1">+_xlfn.CONCAT(G275,"-",B275,"_",C275,"_",_xlfn.XLOOKUP(BP275,Account!M:M,Account!N:N))</f>
        <v>#NAME?</v>
      </c>
      <c r="F275" s="12">
        <v>46034</v>
      </c>
      <c r="G275" s="190" t="s">
        <v>4095</v>
      </c>
      <c r="H275" s="190" t="s">
        <v>4096</v>
      </c>
      <c r="I275" s="10" t="s">
        <v>4097</v>
      </c>
      <c r="J275" s="190">
        <v>18</v>
      </c>
      <c r="K275" s="190" t="s">
        <v>2038</v>
      </c>
      <c r="L275" s="190" t="s">
        <v>1293</v>
      </c>
      <c r="M275" s="190" t="s">
        <v>4098</v>
      </c>
      <c r="N275" s="10"/>
      <c r="O275" s="177" t="s">
        <v>4099</v>
      </c>
      <c r="P275" s="177" t="s">
        <v>4100</v>
      </c>
      <c r="Q275" s="327">
        <v>14671.332</v>
      </c>
      <c r="R275" s="190">
        <v>12</v>
      </c>
      <c r="S275" s="190"/>
      <c r="T275" s="190" t="s">
        <v>2518</v>
      </c>
      <c r="U275" s="190" t="s">
        <v>2565</v>
      </c>
      <c r="V275" s="8" t="s">
        <v>1760</v>
      </c>
      <c r="W275" s="10"/>
      <c r="X275" s="9"/>
      <c r="Y275" s="172"/>
      <c r="Z275" s="172"/>
      <c r="AA275" s="172"/>
      <c r="AB275" s="143" t="str">
        <f t="shared" ca="1" si="42"/>
        <v>NY Submit</v>
      </c>
      <c r="AC275" s="13"/>
      <c r="AD275" s="12"/>
      <c r="AE275" s="12"/>
      <c r="AF275" s="12">
        <v>46387</v>
      </c>
      <c r="AG275" s="12"/>
      <c r="AH275" s="11"/>
      <c r="AI275" s="11"/>
      <c r="AJ275" s="11"/>
      <c r="AK275" s="11"/>
      <c r="AL275" s="11"/>
      <c r="AM275" s="11"/>
      <c r="AN275" s="11"/>
      <c r="AO275" s="11" t="str">
        <f t="shared" si="41"/>
        <v>NY Survey</v>
      </c>
      <c r="AP275" s="173"/>
      <c r="AQ275" s="12"/>
      <c r="AR275" s="12"/>
      <c r="AS275" s="12"/>
      <c r="AT275" s="12"/>
      <c r="AU275" s="12"/>
      <c r="AV275" s="12"/>
      <c r="AW275" s="11" t="str">
        <f t="shared" si="43"/>
        <v>NY Submit</v>
      </c>
      <c r="AX275" s="12"/>
      <c r="AY275" s="12"/>
      <c r="AZ275" s="12"/>
      <c r="BA275" s="12"/>
      <c r="BB275" s="12"/>
      <c r="BC275" s="12"/>
      <c r="BD275" s="11" t="str">
        <f t="shared" si="44"/>
        <v>NY Submit</v>
      </c>
      <c r="BE275" s="174"/>
      <c r="BF275" s="12"/>
      <c r="BG275" s="12"/>
      <c r="BH275" s="12"/>
      <c r="BI275" s="12"/>
      <c r="BJ275" s="12"/>
      <c r="BK275" s="174"/>
      <c r="BL275" s="12" t="str">
        <f t="shared" si="45"/>
        <v>NY Submit</v>
      </c>
      <c r="BM275" s="12" t="str">
        <f t="shared" si="46"/>
        <v>NY Submit</v>
      </c>
      <c r="BN275" s="12"/>
      <c r="BO275" s="12"/>
      <c r="BP275" s="155" t="s">
        <v>1760</v>
      </c>
      <c r="BQ275" s="12" t="s">
        <v>3106</v>
      </c>
      <c r="BR275" s="12"/>
      <c r="BS275" s="143">
        <f t="shared" ca="1" si="47"/>
        <v>0</v>
      </c>
      <c r="BT275" s="176"/>
      <c r="BU275" s="12"/>
      <c r="BV275" s="143">
        <f t="shared" ca="1" si="48"/>
        <v>0</v>
      </c>
      <c r="BW275" s="12"/>
      <c r="BX275" s="12"/>
      <c r="BY275" s="143"/>
      <c r="BZ275" s="13"/>
      <c r="CA275" s="13"/>
      <c r="CB275" s="13"/>
      <c r="CC275" s="13"/>
      <c r="CD275" s="13"/>
      <c r="CE275" s="198"/>
      <c r="CF275" s="198"/>
      <c r="CG275" s="272"/>
      <c r="CH275" s="272"/>
      <c r="CI275" s="198"/>
      <c r="CJ275" s="198"/>
      <c r="CK275" s="198"/>
      <c r="CL275" s="198"/>
    </row>
    <row r="276" spans="1:90">
      <c r="A276" s="181">
        <v>271</v>
      </c>
      <c r="B276" s="190" t="s">
        <v>2486</v>
      </c>
      <c r="C276" s="190" t="s">
        <v>2487</v>
      </c>
      <c r="D276" s="190" t="s">
        <v>135</v>
      </c>
      <c r="E276" s="8" t="e">
        <f ca="1">+_xlfn.CONCAT(G276,"-",B276,"_",C276,"_",_xlfn.XLOOKUP(BP276,Account!M:M,Account!N:N))</f>
        <v>#NAME?</v>
      </c>
      <c r="F276" s="12">
        <v>46034</v>
      </c>
      <c r="G276" s="190" t="s">
        <v>1980</v>
      </c>
      <c r="H276" s="190" t="s">
        <v>4101</v>
      </c>
      <c r="I276" s="10" t="s">
        <v>1981</v>
      </c>
      <c r="J276" s="190">
        <v>20</v>
      </c>
      <c r="K276" s="190" t="s">
        <v>2038</v>
      </c>
      <c r="L276" s="190" t="s">
        <v>3816</v>
      </c>
      <c r="M276" s="190" t="s">
        <v>3996</v>
      </c>
      <c r="N276" s="198" t="s">
        <v>4102</v>
      </c>
      <c r="O276" s="177" t="s">
        <v>4103</v>
      </c>
      <c r="P276" s="177" t="s">
        <v>4104</v>
      </c>
      <c r="Q276" s="327">
        <v>18868.812000000002</v>
      </c>
      <c r="R276" s="190">
        <v>70</v>
      </c>
      <c r="S276" s="190"/>
      <c r="T276" s="190" t="s">
        <v>2494</v>
      </c>
      <c r="U276" s="190" t="s">
        <v>2495</v>
      </c>
      <c r="V276" s="8" t="s">
        <v>1760</v>
      </c>
      <c r="W276" s="10"/>
      <c r="X276" s="9"/>
      <c r="Y276" s="172" t="s">
        <v>2432</v>
      </c>
      <c r="Z276" s="172">
        <v>46149</v>
      </c>
      <c r="AA276" s="172">
        <v>46155</v>
      </c>
      <c r="AB276" s="143" t="str">
        <f t="shared" ca="1" si="42"/>
        <v>Expired</v>
      </c>
      <c r="AC276" s="13"/>
      <c r="AD276" s="12">
        <v>46151</v>
      </c>
      <c r="AE276" s="12">
        <v>46151</v>
      </c>
      <c r="AF276" s="12">
        <v>46358</v>
      </c>
      <c r="AG276" s="12"/>
      <c r="AH276" s="11"/>
      <c r="AI276" s="11"/>
      <c r="AJ276" s="11"/>
      <c r="AK276" s="11"/>
      <c r="AL276" s="11"/>
      <c r="AM276" s="11"/>
      <c r="AN276" s="11"/>
      <c r="AO276" s="11" t="str">
        <f t="shared" si="41"/>
        <v>Survey Report</v>
      </c>
      <c r="AP276" s="173"/>
      <c r="AQ276" s="12">
        <v>46160</v>
      </c>
      <c r="AR276" s="12">
        <v>46210</v>
      </c>
      <c r="AS276" s="12">
        <v>46210</v>
      </c>
      <c r="AT276" s="12">
        <v>46217</v>
      </c>
      <c r="AU276" s="12"/>
      <c r="AV276" s="12"/>
      <c r="AW276" s="11" t="str">
        <f t="shared" si="43"/>
        <v>BAN App</v>
      </c>
      <c r="AX276" s="12"/>
      <c r="AY276" s="12"/>
      <c r="AZ276" s="12"/>
      <c r="BA276" s="12"/>
      <c r="BB276" s="12"/>
      <c r="BC276" s="12"/>
      <c r="BD276" s="11" t="str">
        <f t="shared" si="44"/>
        <v>NY Submit</v>
      </c>
      <c r="BE276" s="174" t="s">
        <v>4105</v>
      </c>
      <c r="BF276" s="12">
        <v>46163</v>
      </c>
      <c r="BG276" s="12">
        <v>46164</v>
      </c>
      <c r="BH276" s="12" t="s">
        <v>4106</v>
      </c>
      <c r="BI276" s="12">
        <v>46163</v>
      </c>
      <c r="BJ276" s="12">
        <v>46164</v>
      </c>
      <c r="BK276" s="174" t="s">
        <v>4107</v>
      </c>
      <c r="BL276" s="12" t="str">
        <f t="shared" si="45"/>
        <v>Approved</v>
      </c>
      <c r="BM276" s="12" t="str">
        <f t="shared" si="46"/>
        <v>Approved</v>
      </c>
      <c r="BN276" s="12">
        <v>46227</v>
      </c>
      <c r="BO276" s="12"/>
      <c r="BP276" s="155" t="s">
        <v>1760</v>
      </c>
      <c r="BQ276" s="12" t="s">
        <v>3106</v>
      </c>
      <c r="BR276" s="12"/>
      <c r="BS276" s="143">
        <f t="shared" ca="1" si="47"/>
        <v>0</v>
      </c>
      <c r="BT276" s="176"/>
      <c r="BU276" s="12"/>
      <c r="BV276" s="143">
        <f t="shared" ca="1" si="48"/>
        <v>0</v>
      </c>
      <c r="BW276" s="12"/>
      <c r="BX276" s="12"/>
      <c r="BY276" s="143"/>
      <c r="BZ276" s="13" t="s">
        <v>4108</v>
      </c>
      <c r="CA276" s="13" t="s">
        <v>2555</v>
      </c>
      <c r="CB276" s="13"/>
      <c r="CC276" s="13"/>
      <c r="CD276" s="13"/>
      <c r="CE276" s="198"/>
      <c r="CF276" s="198"/>
      <c r="CG276" s="272"/>
      <c r="CH276" s="272"/>
      <c r="CI276" s="198"/>
      <c r="CJ276" s="198"/>
      <c r="CK276" s="198"/>
      <c r="CL276" s="198"/>
    </row>
    <row r="277" spans="1:90">
      <c r="A277" s="191">
        <v>272</v>
      </c>
      <c r="B277" s="190" t="s">
        <v>2486</v>
      </c>
      <c r="C277" s="190" t="s">
        <v>2487</v>
      </c>
      <c r="D277" s="190" t="s">
        <v>135</v>
      </c>
      <c r="E277" s="8" t="e">
        <f ca="1">+_xlfn.CONCAT(G277,"-",B277,"_",C277,"_",_xlfn.XLOOKUP(BP277,Account!M:M,Account!N:N))</f>
        <v>#NAME?</v>
      </c>
      <c r="F277" s="12">
        <v>45875</v>
      </c>
      <c r="G277" s="190" t="s">
        <v>2023</v>
      </c>
      <c r="H277" s="190" t="s">
        <v>4109</v>
      </c>
      <c r="I277" s="10" t="s">
        <v>2024</v>
      </c>
      <c r="J277" s="190">
        <v>15</v>
      </c>
      <c r="K277" s="190" t="s">
        <v>2038</v>
      </c>
      <c r="L277" s="190" t="s">
        <v>1279</v>
      </c>
      <c r="M277" s="190" t="s">
        <v>2884</v>
      </c>
      <c r="N277" s="10" t="s">
        <v>4110</v>
      </c>
      <c r="O277" s="178" t="s">
        <v>4111</v>
      </c>
      <c r="P277" s="178" t="s">
        <v>4112</v>
      </c>
      <c r="Q277" s="327">
        <v>805.62</v>
      </c>
      <c r="R277" s="190" t="s">
        <v>3821</v>
      </c>
      <c r="S277" s="190" t="s">
        <v>68</v>
      </c>
      <c r="T277" s="190" t="s">
        <v>2518</v>
      </c>
      <c r="U277" s="190" t="s">
        <v>2565</v>
      </c>
      <c r="V277" s="8" t="s">
        <v>1760</v>
      </c>
      <c r="W277" s="10"/>
      <c r="X277" s="9"/>
      <c r="Y277" s="172"/>
      <c r="Z277" s="172"/>
      <c r="AA277" s="172"/>
      <c r="AB277" s="143" t="str">
        <f t="shared" ca="1" si="42"/>
        <v>NY Submit</v>
      </c>
      <c r="AC277" s="13"/>
      <c r="AD277" s="12">
        <v>46035</v>
      </c>
      <c r="AE277" s="12">
        <v>46036</v>
      </c>
      <c r="AF277" s="12">
        <v>46244</v>
      </c>
      <c r="AG277" s="12">
        <v>46204</v>
      </c>
      <c r="AH277" s="11"/>
      <c r="AI277" s="11"/>
      <c r="AJ277" s="11"/>
      <c r="AK277" s="11"/>
      <c r="AL277" s="11"/>
      <c r="AM277" s="11"/>
      <c r="AN277" s="11"/>
      <c r="AO277" s="11" t="str">
        <f t="shared" si="41"/>
        <v>RFD App</v>
      </c>
      <c r="AP277" s="173" t="s">
        <v>4113</v>
      </c>
      <c r="AQ277" s="12">
        <v>46052</v>
      </c>
      <c r="AR277" s="12">
        <v>46071</v>
      </c>
      <c r="AS277" s="12">
        <v>46063</v>
      </c>
      <c r="AT277" s="12"/>
      <c r="AU277" s="12">
        <v>46072</v>
      </c>
      <c r="AV277" s="12">
        <v>46072</v>
      </c>
      <c r="AW277" s="11" t="str">
        <f t="shared" si="43"/>
        <v>1st BOQ App on ISAAC</v>
      </c>
      <c r="AX277" s="12"/>
      <c r="AY277" s="12"/>
      <c r="AZ277" s="12"/>
      <c r="BA277" s="12"/>
      <c r="BB277" s="12"/>
      <c r="BC277" s="12"/>
      <c r="BD277" s="11" t="str">
        <f t="shared" si="44"/>
        <v>NY Submit</v>
      </c>
      <c r="BE277" s="174"/>
      <c r="BF277" s="12">
        <v>46036</v>
      </c>
      <c r="BG277" s="12">
        <v>46037</v>
      </c>
      <c r="BH277" s="200" t="s">
        <v>3907</v>
      </c>
      <c r="BI277" s="12">
        <v>46037</v>
      </c>
      <c r="BJ277" s="12">
        <v>46043</v>
      </c>
      <c r="BK277" s="174" t="s">
        <v>4114</v>
      </c>
      <c r="BL277" s="12" t="str">
        <f t="shared" si="45"/>
        <v>Approved</v>
      </c>
      <c r="BM277" s="12" t="str">
        <f t="shared" si="46"/>
        <v>Approved</v>
      </c>
      <c r="BN277" s="12"/>
      <c r="BO277" s="12"/>
      <c r="BP277" s="155" t="s">
        <v>1760</v>
      </c>
      <c r="BQ277" s="12" t="s">
        <v>4115</v>
      </c>
      <c r="BR277" s="12">
        <v>46078</v>
      </c>
      <c r="BS277" s="143">
        <f t="shared" ca="1" si="47"/>
        <v>6</v>
      </c>
      <c r="BT277" s="176"/>
      <c r="BU277" s="12"/>
      <c r="BV277" s="143">
        <f t="shared" ca="1" si="48"/>
        <v>0</v>
      </c>
      <c r="BW277" s="12"/>
      <c r="BX277" s="12"/>
      <c r="BY277" s="143"/>
      <c r="BZ277" s="13"/>
      <c r="CA277" s="13" t="s">
        <v>2555</v>
      </c>
      <c r="CB277" s="13" t="s">
        <v>2486</v>
      </c>
      <c r="CC277" s="13"/>
      <c r="CD277" s="13"/>
      <c r="CE277" s="198"/>
      <c r="CF277" s="198"/>
      <c r="CG277" s="272"/>
      <c r="CH277" s="272"/>
      <c r="CI277" s="198"/>
      <c r="CJ277" s="198"/>
      <c r="CK277" s="198"/>
      <c r="CL277" s="198"/>
    </row>
    <row r="278" spans="1:90">
      <c r="A278" s="187">
        <v>273</v>
      </c>
      <c r="B278" s="190" t="s">
        <v>2486</v>
      </c>
      <c r="C278" s="190" t="s">
        <v>2487</v>
      </c>
      <c r="D278" s="190" t="s">
        <v>135</v>
      </c>
      <c r="E278" s="8" t="e">
        <f ca="1">+_xlfn.CONCAT(G278,"-",B278,"_",C278,"_",_xlfn.XLOOKUP(BP278,Account!M:M,Account!N:N))</f>
        <v>#NAME?</v>
      </c>
      <c r="F278" s="12">
        <v>45875</v>
      </c>
      <c r="G278" s="190" t="s">
        <v>2023</v>
      </c>
      <c r="H278" s="190" t="s">
        <v>4109</v>
      </c>
      <c r="I278" s="10" t="s">
        <v>2024</v>
      </c>
      <c r="J278" s="190">
        <v>15</v>
      </c>
      <c r="K278" s="190" t="s">
        <v>2038</v>
      </c>
      <c r="L278" s="190" t="s">
        <v>1279</v>
      </c>
      <c r="M278" s="190" t="s">
        <v>2884</v>
      </c>
      <c r="N278" s="10" t="s">
        <v>4110</v>
      </c>
      <c r="O278" s="178" t="s">
        <v>4111</v>
      </c>
      <c r="P278" s="178" t="s">
        <v>4112</v>
      </c>
      <c r="Q278" s="327">
        <v>805.62</v>
      </c>
      <c r="R278" s="190" t="s">
        <v>3821</v>
      </c>
      <c r="S278" s="190" t="s">
        <v>68</v>
      </c>
      <c r="T278" s="190" t="s">
        <v>2518</v>
      </c>
      <c r="U278" s="190" t="s">
        <v>2565</v>
      </c>
      <c r="V278" s="8" t="s">
        <v>2011</v>
      </c>
      <c r="W278" s="10"/>
      <c r="X278" s="9"/>
      <c r="Y278" s="172"/>
      <c r="Z278" s="172"/>
      <c r="AA278" s="172"/>
      <c r="AB278" s="143" t="str">
        <f t="shared" ca="1" si="42"/>
        <v>NY Submit</v>
      </c>
      <c r="AC278" s="13"/>
      <c r="AD278" s="12">
        <v>46035</v>
      </c>
      <c r="AE278" s="12">
        <v>46036</v>
      </c>
      <c r="AF278" s="12">
        <v>46244</v>
      </c>
      <c r="AG278" s="12"/>
      <c r="AH278" s="11">
        <v>46227</v>
      </c>
      <c r="AI278" s="11"/>
      <c r="AJ278" s="11">
        <v>46227</v>
      </c>
      <c r="AK278" s="11"/>
      <c r="AL278" s="11"/>
      <c r="AM278" s="11"/>
      <c r="AN278" s="11"/>
      <c r="AO278" s="11" t="str">
        <f>+IF(AM278&lt;&gt;"","ATP App MS",IF(AJ278&lt;&gt;"","Inbound",IF(AH278&lt;&gt;"","Dismantle Perangkat",IF(AF278="Drop","Drop",IF(AE278&lt;&gt;"","Survey Report",IF(AD278&lt;&gt;"","Survey","NY Survey"))))))</f>
        <v>Inbound</v>
      </c>
      <c r="AP278" s="173" t="s">
        <v>4116</v>
      </c>
      <c r="AQ278" s="12">
        <v>46052</v>
      </c>
      <c r="AR278" s="12">
        <v>46071</v>
      </c>
      <c r="AS278" s="12">
        <v>46063</v>
      </c>
      <c r="AT278" s="12"/>
      <c r="AU278" s="12">
        <v>46072</v>
      </c>
      <c r="AV278" s="12">
        <v>46072</v>
      </c>
      <c r="AW278" s="11" t="str">
        <f t="shared" si="43"/>
        <v>1st BOQ App on ISAAC</v>
      </c>
      <c r="AX278" s="12"/>
      <c r="AY278" s="12"/>
      <c r="AZ278" s="12"/>
      <c r="BA278" s="12"/>
      <c r="BB278" s="12"/>
      <c r="BC278" s="12"/>
      <c r="BD278" s="11" t="str">
        <f t="shared" si="44"/>
        <v>NY Submit</v>
      </c>
      <c r="BE278" s="174"/>
      <c r="BF278" s="12">
        <v>46036</v>
      </c>
      <c r="BG278" s="12">
        <v>46037</v>
      </c>
      <c r="BH278" s="200" t="s">
        <v>3907</v>
      </c>
      <c r="BI278" s="12">
        <v>46037</v>
      </c>
      <c r="BJ278" s="12">
        <v>46043</v>
      </c>
      <c r="BK278" s="174"/>
      <c r="BL278" s="12" t="str">
        <f t="shared" si="45"/>
        <v>Approved</v>
      </c>
      <c r="BM278" s="12" t="str">
        <f t="shared" si="46"/>
        <v>Approved</v>
      </c>
      <c r="BN278" s="12"/>
      <c r="BO278" s="12"/>
      <c r="BP278" s="155" t="s">
        <v>2011</v>
      </c>
      <c r="BQ278" s="12" t="s">
        <v>2968</v>
      </c>
      <c r="BR278" s="12">
        <v>46078</v>
      </c>
      <c r="BS278" s="143">
        <f t="shared" ca="1" si="47"/>
        <v>6</v>
      </c>
      <c r="BT278" s="176"/>
      <c r="BU278" s="12"/>
      <c r="BV278" s="143">
        <f t="shared" ca="1" si="48"/>
        <v>0</v>
      </c>
      <c r="BW278" s="12"/>
      <c r="BX278" s="12"/>
      <c r="BY278" s="143"/>
      <c r="BZ278" s="13" t="s">
        <v>4117</v>
      </c>
      <c r="CA278" s="13" t="s">
        <v>2555</v>
      </c>
      <c r="CB278" s="13" t="s">
        <v>2486</v>
      </c>
      <c r="CC278" s="13"/>
      <c r="CD278" s="13"/>
      <c r="CE278" s="198"/>
      <c r="CF278" s="198"/>
      <c r="CG278" s="272"/>
      <c r="CH278" s="272"/>
      <c r="CI278" s="198"/>
      <c r="CJ278" s="198"/>
      <c r="CK278" s="198"/>
      <c r="CL278" s="198"/>
    </row>
    <row r="279" spans="1:90">
      <c r="A279" s="187">
        <v>274</v>
      </c>
      <c r="B279" s="190" t="s">
        <v>2486</v>
      </c>
      <c r="C279" s="190" t="s">
        <v>2487</v>
      </c>
      <c r="D279" s="190" t="s">
        <v>135</v>
      </c>
      <c r="E279" s="8" t="e">
        <f ca="1">+_xlfn.CONCAT(G279,"-",B279,"_",C279,"_",_xlfn.XLOOKUP(BP279,Account!M:M,Account!N:N))</f>
        <v>#NAME?</v>
      </c>
      <c r="F279" s="12">
        <v>45875</v>
      </c>
      <c r="G279" s="190" t="s">
        <v>2023</v>
      </c>
      <c r="H279" s="190" t="s">
        <v>4109</v>
      </c>
      <c r="I279" s="10" t="s">
        <v>2024</v>
      </c>
      <c r="J279" s="190">
        <v>15</v>
      </c>
      <c r="K279" s="190" t="s">
        <v>2038</v>
      </c>
      <c r="L279" s="190" t="s">
        <v>1279</v>
      </c>
      <c r="M279" s="190" t="s">
        <v>2884</v>
      </c>
      <c r="N279" s="10" t="s">
        <v>4110</v>
      </c>
      <c r="O279" s="178" t="s">
        <v>4111</v>
      </c>
      <c r="P279" s="178" t="s">
        <v>4112</v>
      </c>
      <c r="Q279" s="327">
        <v>805.62</v>
      </c>
      <c r="R279" s="190" t="s">
        <v>3821</v>
      </c>
      <c r="S279" s="190" t="s">
        <v>68</v>
      </c>
      <c r="T279" s="190" t="s">
        <v>2518</v>
      </c>
      <c r="U279" s="190" t="s">
        <v>2565</v>
      </c>
      <c r="V279" s="8" t="s">
        <v>1768</v>
      </c>
      <c r="W279" s="10"/>
      <c r="X279" s="9"/>
      <c r="Y279" s="172" t="s">
        <v>2956</v>
      </c>
      <c r="Z279" s="172">
        <v>46224</v>
      </c>
      <c r="AA279" s="172">
        <v>46237</v>
      </c>
      <c r="AB279" s="143" t="str">
        <f t="shared" ca="1" si="42"/>
        <v>Expired</v>
      </c>
      <c r="AC279" s="13"/>
      <c r="AD279" s="12">
        <v>46035</v>
      </c>
      <c r="AE279" s="12">
        <v>46036</v>
      </c>
      <c r="AF279" s="12" t="s">
        <v>2526</v>
      </c>
      <c r="AG279" s="12"/>
      <c r="AH279" s="11"/>
      <c r="AI279" s="11"/>
      <c r="AJ279" s="11"/>
      <c r="AK279" s="11"/>
      <c r="AL279" s="11"/>
      <c r="AM279" s="11"/>
      <c r="AN279" s="11"/>
      <c r="AO279" s="11" t="str">
        <f>+IF(AM279&lt;&gt;"","ATP App MS",IF(AL279&lt;&gt;"","OA/RFS",IF(AK279&lt;&gt;"","Install",IF(AH279&lt;&gt;"","Dismantle Perangkat",IF(AF279="Drop","Drop",IF(AE279&lt;&gt;"","Survey Report",IF(AD279&lt;&gt;"","Survey","NY Survey")))))))</f>
        <v>Drop</v>
      </c>
      <c r="AP279" s="173"/>
      <c r="AQ279" s="12"/>
      <c r="AR279" s="12"/>
      <c r="AS279" s="12"/>
      <c r="AT279" s="12"/>
      <c r="AU279" s="12"/>
      <c r="AV279" s="12"/>
      <c r="AW279" s="11" t="str">
        <f t="shared" si="43"/>
        <v>NY Submit</v>
      </c>
      <c r="AX279" s="12"/>
      <c r="AY279" s="12"/>
      <c r="AZ279" s="12"/>
      <c r="BA279" s="12"/>
      <c r="BB279" s="12"/>
      <c r="BC279" s="12"/>
      <c r="BD279" s="11" t="str">
        <f t="shared" si="44"/>
        <v>NY Submit</v>
      </c>
      <c r="BE279" s="174"/>
      <c r="BF279" s="12">
        <v>46036</v>
      </c>
      <c r="BG279" s="12">
        <v>46037</v>
      </c>
      <c r="BH279" s="200" t="s">
        <v>3907</v>
      </c>
      <c r="BI279" s="12">
        <v>46037</v>
      </c>
      <c r="BJ279" s="12">
        <v>46043</v>
      </c>
      <c r="BK279" s="174"/>
      <c r="BL279" s="12" t="str">
        <f t="shared" si="45"/>
        <v>Approved</v>
      </c>
      <c r="BM279" s="12" t="str">
        <f t="shared" si="46"/>
        <v>Approved</v>
      </c>
      <c r="BN279" s="12"/>
      <c r="BO279" s="12"/>
      <c r="BP279" s="155" t="s">
        <v>1768</v>
      </c>
      <c r="BQ279" s="12" t="s">
        <v>2526</v>
      </c>
      <c r="BR279" s="12"/>
      <c r="BS279" s="143" t="str">
        <f t="shared" ca="1" si="47"/>
        <v>Drop</v>
      </c>
      <c r="BT279" s="176"/>
      <c r="BU279" s="12"/>
      <c r="BV279" s="143" t="str">
        <f t="shared" ca="1" si="48"/>
        <v>Drop</v>
      </c>
      <c r="BW279" s="12"/>
      <c r="BX279" s="12"/>
      <c r="BY279" s="143"/>
      <c r="BZ279" s="13" t="s">
        <v>2983</v>
      </c>
      <c r="CA279" s="13"/>
      <c r="CB279" s="13"/>
      <c r="CC279" s="13"/>
      <c r="CD279" s="13"/>
      <c r="CE279" s="198"/>
      <c r="CF279" s="198"/>
      <c r="CG279" s="272"/>
      <c r="CH279" s="272"/>
      <c r="CI279" s="198"/>
      <c r="CJ279" s="198"/>
      <c r="CK279" s="198"/>
      <c r="CL279" s="198"/>
    </row>
    <row r="280" spans="1:90" ht="30" customHeight="1">
      <c r="A280" s="187">
        <v>275</v>
      </c>
      <c r="B280" s="190" t="s">
        <v>2486</v>
      </c>
      <c r="C280" s="190" t="s">
        <v>2487</v>
      </c>
      <c r="D280" s="190" t="s">
        <v>135</v>
      </c>
      <c r="E280" s="8" t="e">
        <f ca="1">+_xlfn.CONCAT(G280,"-",B280,"_",C280,"_",_xlfn.XLOOKUP(BP280,Account!M:M,Account!N:N))</f>
        <v>#NAME?</v>
      </c>
      <c r="F280" s="12">
        <v>46134</v>
      </c>
      <c r="G280" s="190" t="s">
        <v>287</v>
      </c>
      <c r="H280" s="190" t="s">
        <v>4118</v>
      </c>
      <c r="I280" s="10" t="s">
        <v>288</v>
      </c>
      <c r="J280" s="190">
        <v>15</v>
      </c>
      <c r="K280" s="190" t="s">
        <v>2038</v>
      </c>
      <c r="L280" s="190" t="s">
        <v>1279</v>
      </c>
      <c r="M280" s="190" t="s">
        <v>2884</v>
      </c>
      <c r="N280" s="198" t="s">
        <v>4119</v>
      </c>
      <c r="O280" s="178" t="s">
        <v>4120</v>
      </c>
      <c r="P280" s="177" t="s">
        <v>4121</v>
      </c>
      <c r="Q280" s="327">
        <v>5987.15</v>
      </c>
      <c r="R280" s="190">
        <v>30</v>
      </c>
      <c r="S280" s="190" t="s">
        <v>4122</v>
      </c>
      <c r="T280" s="190" t="s">
        <v>2494</v>
      </c>
      <c r="U280" s="190" t="s">
        <v>2495</v>
      </c>
      <c r="V280" s="8" t="s">
        <v>1760</v>
      </c>
      <c r="W280" s="10"/>
      <c r="X280" s="9"/>
      <c r="Y280" s="172"/>
      <c r="Z280" s="172"/>
      <c r="AA280" s="172"/>
      <c r="AB280" s="143" t="str">
        <f t="shared" ca="1" si="42"/>
        <v>NY Submit</v>
      </c>
      <c r="AC280" s="13"/>
      <c r="AD280" s="12">
        <v>46135</v>
      </c>
      <c r="AE280" s="12">
        <v>46150</v>
      </c>
      <c r="AF280" s="12">
        <v>46203</v>
      </c>
      <c r="AG280" s="12"/>
      <c r="AH280" s="11"/>
      <c r="AI280" s="11">
        <v>46198</v>
      </c>
      <c r="AJ280" s="11"/>
      <c r="AK280" s="11"/>
      <c r="AL280" s="11"/>
      <c r="AM280" s="11"/>
      <c r="AN280" s="11">
        <v>46199</v>
      </c>
      <c r="AO280" s="11" t="str">
        <f>+IF(AN280&lt;&gt;"","BAST",IF(AI280&lt;&gt;"","Dismantle",IF(AG280&lt;&gt;"","RFD App",IF(AF280="Drop","Drop",IF(AE280&lt;&gt;"","Survey Report",IF(AD280&lt;&gt;"","Survey","NY Survey"))))))</f>
        <v>BAST</v>
      </c>
      <c r="AP280" s="173"/>
      <c r="AQ280" s="12">
        <v>46151</v>
      </c>
      <c r="AR280" s="12">
        <v>46170</v>
      </c>
      <c r="AS280" s="12">
        <v>46153</v>
      </c>
      <c r="AT280" s="12"/>
      <c r="AU280" s="12">
        <v>46170</v>
      </c>
      <c r="AV280" s="12"/>
      <c r="AW280" s="11" t="str">
        <f t="shared" si="43"/>
        <v>Upload 1st BOQ &amp; BAN Isaac</v>
      </c>
      <c r="AX280" s="12"/>
      <c r="AY280" s="12"/>
      <c r="AZ280" s="12"/>
      <c r="BA280" s="12"/>
      <c r="BB280" s="12"/>
      <c r="BC280" s="12"/>
      <c r="BD280" s="11" t="str">
        <f t="shared" si="44"/>
        <v>NY Submit</v>
      </c>
      <c r="BE280" s="174"/>
      <c r="BF280" s="12">
        <v>46153</v>
      </c>
      <c r="BG280" s="12">
        <v>46157</v>
      </c>
      <c r="BH280" s="12" t="s">
        <v>4123</v>
      </c>
      <c r="BI280" s="12">
        <v>46153</v>
      </c>
      <c r="BJ280" s="12">
        <v>46155</v>
      </c>
      <c r="BK280" s="174" t="s">
        <v>4124</v>
      </c>
      <c r="BL280" s="12" t="str">
        <f t="shared" si="45"/>
        <v>Approved</v>
      </c>
      <c r="BM280" s="12" t="str">
        <f t="shared" si="46"/>
        <v>Approved</v>
      </c>
      <c r="BN280" s="12">
        <v>46209</v>
      </c>
      <c r="BO280" s="12">
        <v>46225</v>
      </c>
      <c r="BP280" s="155" t="s">
        <v>1760</v>
      </c>
      <c r="BQ280" s="12" t="s">
        <v>4125</v>
      </c>
      <c r="BR280" s="12">
        <v>46192</v>
      </c>
      <c r="BS280" s="143">
        <f t="shared" ca="1" si="47"/>
        <v>0</v>
      </c>
      <c r="BT280" s="176"/>
      <c r="BU280" s="12"/>
      <c r="BV280" s="143">
        <f t="shared" ca="1" si="48"/>
        <v>0</v>
      </c>
      <c r="BW280" s="12"/>
      <c r="BX280" s="12"/>
      <c r="BY280" s="143"/>
      <c r="BZ280" s="13" t="s">
        <v>2500</v>
      </c>
      <c r="CA280" s="13"/>
      <c r="CB280" s="13"/>
      <c r="CC280" s="13"/>
      <c r="CD280" s="13"/>
      <c r="CE280" s="198"/>
      <c r="CF280" s="198"/>
      <c r="CG280" s="272"/>
      <c r="CH280" s="272"/>
      <c r="CI280" s="198"/>
      <c r="CJ280" s="198"/>
      <c r="CK280" s="198"/>
      <c r="CL280" s="198"/>
    </row>
    <row r="281" spans="1:90" ht="30" customHeight="1">
      <c r="A281" s="187">
        <v>276</v>
      </c>
      <c r="B281" s="190" t="s">
        <v>2486</v>
      </c>
      <c r="C281" s="190" t="s">
        <v>2487</v>
      </c>
      <c r="D281" s="190" t="s">
        <v>135</v>
      </c>
      <c r="E281" s="8" t="e">
        <f ca="1">+_xlfn.CONCAT(G281,"-",B281,"_",C281,"_",_xlfn.XLOOKUP(BP281,Account!M:M,Account!N:N))</f>
        <v>#NAME?</v>
      </c>
      <c r="F281" s="12">
        <v>46041</v>
      </c>
      <c r="G281" s="190" t="s">
        <v>287</v>
      </c>
      <c r="H281" s="190" t="s">
        <v>4118</v>
      </c>
      <c r="I281" s="10" t="s">
        <v>288</v>
      </c>
      <c r="J281" s="190">
        <v>15</v>
      </c>
      <c r="K281" s="190" t="s">
        <v>2038</v>
      </c>
      <c r="L281" s="190" t="s">
        <v>1279</v>
      </c>
      <c r="M281" s="190" t="s">
        <v>2884</v>
      </c>
      <c r="N281" s="198" t="s">
        <v>4119</v>
      </c>
      <c r="O281" s="178" t="s">
        <v>4120</v>
      </c>
      <c r="P281" s="177" t="s">
        <v>4121</v>
      </c>
      <c r="Q281" s="327">
        <v>5987.15</v>
      </c>
      <c r="R281" s="190">
        <v>30</v>
      </c>
      <c r="S281" s="190" t="s">
        <v>4122</v>
      </c>
      <c r="T281" s="190" t="s">
        <v>2494</v>
      </c>
      <c r="U281" s="190" t="s">
        <v>2495</v>
      </c>
      <c r="V281" s="8" t="s">
        <v>2011</v>
      </c>
      <c r="W281" s="10"/>
      <c r="X281" s="9"/>
      <c r="Y281" s="172"/>
      <c r="Z281" s="172"/>
      <c r="AA281" s="172"/>
      <c r="AB281" s="143" t="str">
        <f t="shared" ca="1" si="42"/>
        <v>NY Submit</v>
      </c>
      <c r="AC281" s="13"/>
      <c r="AD281" s="12">
        <v>46135</v>
      </c>
      <c r="AE281" s="12">
        <v>46150</v>
      </c>
      <c r="AF281" s="12">
        <v>46203</v>
      </c>
      <c r="AG281" s="12"/>
      <c r="AH281" s="11">
        <v>46194</v>
      </c>
      <c r="AI281" s="11"/>
      <c r="AJ281" s="11">
        <v>46217</v>
      </c>
      <c r="AK281" s="11"/>
      <c r="AL281" s="11"/>
      <c r="AM281" s="11"/>
      <c r="AN281" s="11"/>
      <c r="AO281" s="11" t="str">
        <f>+IF(AM281&lt;&gt;"","ATP App MS",IF(AJ281&lt;&gt;"","Inbound",IF(AH281&lt;&gt;"","Dismantle Perangkat",IF(AF281="Drop","Drop",IF(AE281&lt;&gt;"","Survey Report",IF(AD281&lt;&gt;"","Survey","NY Survey"))))))</f>
        <v>Inbound</v>
      </c>
      <c r="AP281" s="185" t="s">
        <v>4126</v>
      </c>
      <c r="AQ281" s="12">
        <v>46151</v>
      </c>
      <c r="AR281" s="12">
        <v>46170</v>
      </c>
      <c r="AS281" s="12">
        <v>46153</v>
      </c>
      <c r="AT281" s="12"/>
      <c r="AU281" s="12">
        <v>46170</v>
      </c>
      <c r="AV281" s="12"/>
      <c r="AW281" s="11" t="str">
        <f t="shared" si="43"/>
        <v>Upload 1st BOQ &amp; BAN Isaac</v>
      </c>
      <c r="AX281" s="12"/>
      <c r="AY281" s="12"/>
      <c r="AZ281" s="12"/>
      <c r="BA281" s="12"/>
      <c r="BB281" s="12"/>
      <c r="BC281" s="12"/>
      <c r="BD281" s="11" t="str">
        <f t="shared" si="44"/>
        <v>NY Submit</v>
      </c>
      <c r="BE281" s="174"/>
      <c r="BF281" s="12"/>
      <c r="BG281" s="12"/>
      <c r="BH281" s="12"/>
      <c r="BI281" s="12"/>
      <c r="BJ281" s="12"/>
      <c r="BK281" s="174"/>
      <c r="BL281" s="12" t="str">
        <f t="shared" si="45"/>
        <v>NY Submit</v>
      </c>
      <c r="BM281" s="12" t="str">
        <f t="shared" si="46"/>
        <v>NY Submit</v>
      </c>
      <c r="BN281" s="12"/>
      <c r="BO281" s="12"/>
      <c r="BP281" s="155" t="s">
        <v>2011</v>
      </c>
      <c r="BQ281" s="12" t="s">
        <v>2968</v>
      </c>
      <c r="BR281" s="12">
        <v>46192</v>
      </c>
      <c r="BS281" s="143">
        <f t="shared" ca="1" si="47"/>
        <v>0</v>
      </c>
      <c r="BT281" s="176"/>
      <c r="BU281" s="12"/>
      <c r="BV281" s="143">
        <f t="shared" ca="1" si="48"/>
        <v>0</v>
      </c>
      <c r="BW281" s="12"/>
      <c r="BX281" s="12"/>
      <c r="BY281" s="143"/>
      <c r="BZ281" s="13" t="s">
        <v>2500</v>
      </c>
      <c r="CA281" s="13"/>
      <c r="CB281" s="13"/>
      <c r="CC281" s="13"/>
      <c r="CD281" s="13"/>
      <c r="CE281" s="198"/>
      <c r="CF281" s="198"/>
      <c r="CG281" s="272"/>
      <c r="CH281" s="272"/>
      <c r="CI281" s="198"/>
      <c r="CJ281" s="198"/>
      <c r="CK281" s="198"/>
      <c r="CL281" s="198"/>
    </row>
    <row r="282" spans="1:90">
      <c r="A282" s="187">
        <v>277</v>
      </c>
      <c r="B282" s="190" t="s">
        <v>2486</v>
      </c>
      <c r="C282" s="190" t="s">
        <v>2487</v>
      </c>
      <c r="D282" s="190" t="s">
        <v>135</v>
      </c>
      <c r="E282" s="8" t="e">
        <f ca="1">+_xlfn.CONCAT(G282,"-",B282,"_",C282,"_",_xlfn.XLOOKUP(BP282,Account!M:M,Account!N:N))</f>
        <v>#NAME?</v>
      </c>
      <c r="F282" s="12">
        <v>46041</v>
      </c>
      <c r="G282" s="190" t="s">
        <v>287</v>
      </c>
      <c r="H282" s="190" t="s">
        <v>4118</v>
      </c>
      <c r="I282" s="10" t="s">
        <v>288</v>
      </c>
      <c r="J282" s="190">
        <v>15</v>
      </c>
      <c r="K282" s="190" t="s">
        <v>2038</v>
      </c>
      <c r="L282" s="190" t="s">
        <v>1279</v>
      </c>
      <c r="M282" s="190" t="s">
        <v>2884</v>
      </c>
      <c r="N282" s="10" t="s">
        <v>4119</v>
      </c>
      <c r="O282" s="178" t="s">
        <v>4120</v>
      </c>
      <c r="P282" s="177" t="s">
        <v>4121</v>
      </c>
      <c r="Q282" s="327">
        <v>5987.15</v>
      </c>
      <c r="R282" s="190">
        <v>30</v>
      </c>
      <c r="S282" s="190" t="s">
        <v>4122</v>
      </c>
      <c r="T282" s="190" t="s">
        <v>2494</v>
      </c>
      <c r="U282" s="190" t="s">
        <v>2495</v>
      </c>
      <c r="V282" s="8" t="s">
        <v>1768</v>
      </c>
      <c r="W282" s="10"/>
      <c r="X282" s="9"/>
      <c r="Y282" s="172"/>
      <c r="Z282" s="172"/>
      <c r="AA282" s="172"/>
      <c r="AB282" s="143" t="str">
        <f t="shared" ca="1" si="42"/>
        <v>NY Submit</v>
      </c>
      <c r="AC282" s="13"/>
      <c r="AD282" s="12">
        <v>46135</v>
      </c>
      <c r="AE282" s="12">
        <v>46150</v>
      </c>
      <c r="AF282" s="12" t="s">
        <v>3628</v>
      </c>
      <c r="AG282" s="12"/>
      <c r="AH282" s="11"/>
      <c r="AI282" s="11"/>
      <c r="AJ282" s="11"/>
      <c r="AK282" s="11"/>
      <c r="AL282" s="11"/>
      <c r="AM282" s="11"/>
      <c r="AN282" s="11"/>
      <c r="AO282" s="11" t="str">
        <f>+IF(AM282&lt;&gt;"","ATP App MS",IF(AL282&lt;&gt;"","OA/RFS",IF(AK282&lt;&gt;"","Install",IF(AH282&lt;&gt;"","Dismantle Perangkat",IF(AF282="Drop","Drop",IF(AE282&lt;&gt;"","Survey Report",IF(AD282&lt;&gt;"","Survey","NY Survey")))))))</f>
        <v>Drop</v>
      </c>
      <c r="AP282" s="173"/>
      <c r="AQ282" s="12"/>
      <c r="AR282" s="12"/>
      <c r="AS282" s="12"/>
      <c r="AT282" s="12"/>
      <c r="AU282" s="12"/>
      <c r="AV282" s="12"/>
      <c r="AW282" s="11" t="str">
        <f t="shared" si="43"/>
        <v>NY Submit</v>
      </c>
      <c r="AX282" s="12"/>
      <c r="AY282" s="12"/>
      <c r="AZ282" s="12"/>
      <c r="BA282" s="12"/>
      <c r="BB282" s="12"/>
      <c r="BC282" s="12"/>
      <c r="BD282" s="11" t="str">
        <f t="shared" si="44"/>
        <v>NY Submit</v>
      </c>
      <c r="BE282" s="174"/>
      <c r="BF282" s="12"/>
      <c r="BG282" s="12"/>
      <c r="BH282" s="12"/>
      <c r="BI282" s="12"/>
      <c r="BJ282" s="12"/>
      <c r="BK282" s="174"/>
      <c r="BL282" s="12" t="str">
        <f t="shared" si="45"/>
        <v>NY Submit</v>
      </c>
      <c r="BM282" s="12" t="str">
        <f t="shared" si="46"/>
        <v>NY Submit</v>
      </c>
      <c r="BN282" s="12"/>
      <c r="BO282" s="12"/>
      <c r="BP282" s="155" t="s">
        <v>1768</v>
      </c>
      <c r="BQ282" s="12" t="s">
        <v>2526</v>
      </c>
      <c r="BR282" s="12"/>
      <c r="BS282" s="143" t="str">
        <f t="shared" ca="1" si="47"/>
        <v>Drop</v>
      </c>
      <c r="BT282" s="176"/>
      <c r="BU282" s="12"/>
      <c r="BV282" s="143" t="str">
        <f t="shared" ca="1" si="48"/>
        <v>Drop</v>
      </c>
      <c r="BW282" s="12"/>
      <c r="BX282" s="12"/>
      <c r="BY282" s="143"/>
      <c r="BZ282" s="13"/>
      <c r="CA282" s="13"/>
      <c r="CB282" s="13"/>
      <c r="CC282" s="13"/>
      <c r="CD282" s="13"/>
      <c r="CE282" s="198"/>
      <c r="CF282" s="198"/>
      <c r="CG282" s="272"/>
      <c r="CH282" s="272"/>
      <c r="CI282" s="198"/>
      <c r="CJ282" s="198"/>
      <c r="CK282" s="198"/>
      <c r="CL282" s="198"/>
    </row>
    <row r="283" spans="1:90">
      <c r="A283" s="186">
        <v>278</v>
      </c>
      <c r="B283" s="190" t="s">
        <v>2486</v>
      </c>
      <c r="C283" s="190" t="s">
        <v>2487</v>
      </c>
      <c r="D283" s="190" t="s">
        <v>135</v>
      </c>
      <c r="E283" s="8" t="e">
        <f ca="1">+_xlfn.CONCAT(G283,"-",B283,"_",C283,"_",_xlfn.XLOOKUP(BP283,Account!M:M,Account!N:N))</f>
        <v>#NAME?</v>
      </c>
      <c r="F283" s="12">
        <v>46134</v>
      </c>
      <c r="G283" s="190" t="s">
        <v>121</v>
      </c>
      <c r="H283" s="190" t="s">
        <v>4127</v>
      </c>
      <c r="I283" s="10" t="s">
        <v>122</v>
      </c>
      <c r="J283" s="190">
        <v>10</v>
      </c>
      <c r="K283" s="190" t="s">
        <v>2486</v>
      </c>
      <c r="L283" s="190" t="s">
        <v>3156</v>
      </c>
      <c r="M283" s="190" t="s">
        <v>3362</v>
      </c>
      <c r="N283" s="10" t="s">
        <v>4128</v>
      </c>
      <c r="O283" s="177" t="s">
        <v>4129</v>
      </c>
      <c r="P283" s="177" t="s">
        <v>4130</v>
      </c>
      <c r="Q283" s="327">
        <v>1817.0805</v>
      </c>
      <c r="R283" s="190">
        <v>18</v>
      </c>
      <c r="S283" s="190" t="s">
        <v>2840</v>
      </c>
      <c r="T283" s="190" t="s">
        <v>2518</v>
      </c>
      <c r="U283" s="190" t="s">
        <v>2565</v>
      </c>
      <c r="V283" s="8" t="s">
        <v>1760</v>
      </c>
      <c r="W283" s="10"/>
      <c r="X283" s="9"/>
      <c r="Y283" s="172"/>
      <c r="Z283" s="172"/>
      <c r="AA283" s="172"/>
      <c r="AB283" s="143" t="str">
        <f t="shared" ca="1" si="42"/>
        <v>NY Submit</v>
      </c>
      <c r="AC283" s="13"/>
      <c r="AD283" s="12">
        <v>46162</v>
      </c>
      <c r="AE283" s="12">
        <v>46164</v>
      </c>
      <c r="AF283" s="12">
        <v>46253</v>
      </c>
      <c r="AG283" s="12"/>
      <c r="AH283" s="11"/>
      <c r="AI283" s="11"/>
      <c r="AJ283" s="11"/>
      <c r="AK283" s="11"/>
      <c r="AL283" s="11"/>
      <c r="AM283" s="11"/>
      <c r="AN283" s="11"/>
      <c r="AO283" s="11" t="str">
        <f>+IF(AN283&lt;&gt;"","BAST",IF(AI283&lt;&gt;"","Dismantle",IF(AG283&lt;&gt;"","RFD App",IF(AF283="Drop","Drop",IF(AE283&lt;&gt;"","Survey Report",IF(AD283&lt;&gt;"","Survey","NY Survey"))))))</f>
        <v>Survey Report</v>
      </c>
      <c r="AP283" s="173"/>
      <c r="AQ283" s="12">
        <v>46227</v>
      </c>
      <c r="AR283" s="12"/>
      <c r="AS283" s="12">
        <v>46227</v>
      </c>
      <c r="AT283" s="12"/>
      <c r="AU283" s="12"/>
      <c r="AV283" s="12"/>
      <c r="AW283" s="11" t="str">
        <f t="shared" si="43"/>
        <v>Engineering Structural Manager App</v>
      </c>
      <c r="AX283" s="12"/>
      <c r="AY283" s="12"/>
      <c r="AZ283" s="12"/>
      <c r="BA283" s="12"/>
      <c r="BB283" s="12"/>
      <c r="BC283" s="12"/>
      <c r="BD283" s="11" t="str">
        <f t="shared" si="44"/>
        <v>NY Submit</v>
      </c>
      <c r="BE283" s="174" t="s">
        <v>4067</v>
      </c>
      <c r="BF283" s="12">
        <v>46199</v>
      </c>
      <c r="BG283" s="12">
        <v>46200</v>
      </c>
      <c r="BH283" s="12" t="s">
        <v>4131</v>
      </c>
      <c r="BI283" s="12">
        <v>46199</v>
      </c>
      <c r="BJ283" s="12">
        <v>46205</v>
      </c>
      <c r="BK283" s="174" t="s">
        <v>4132</v>
      </c>
      <c r="BL283" s="12" t="str">
        <f t="shared" si="45"/>
        <v>Approved</v>
      </c>
      <c r="BM283" s="12" t="str">
        <f t="shared" si="46"/>
        <v>Approved</v>
      </c>
      <c r="BN283" s="12"/>
      <c r="BO283" s="12"/>
      <c r="BP283" s="155" t="s">
        <v>1760</v>
      </c>
      <c r="BQ283" s="12" t="s">
        <v>3106</v>
      </c>
      <c r="BR283" s="12"/>
      <c r="BS283" s="143">
        <f t="shared" ca="1" si="47"/>
        <v>0</v>
      </c>
      <c r="BT283" s="176"/>
      <c r="BU283" s="12"/>
      <c r="BV283" s="143">
        <f t="shared" ca="1" si="48"/>
        <v>0</v>
      </c>
      <c r="BW283" s="12"/>
      <c r="BX283" s="12"/>
      <c r="BY283" s="143"/>
      <c r="BZ283" s="13"/>
      <c r="CA283" s="13"/>
      <c r="CB283" s="13"/>
      <c r="CC283" s="13"/>
      <c r="CD283" s="13"/>
      <c r="CE283" s="198"/>
      <c r="CF283" s="198"/>
      <c r="CG283" s="272"/>
      <c r="CH283" s="272"/>
      <c r="CI283" s="198"/>
      <c r="CJ283" s="198"/>
      <c r="CK283" s="198"/>
      <c r="CL283" s="198"/>
    </row>
    <row r="284" spans="1:90">
      <c r="A284" s="186">
        <v>279</v>
      </c>
      <c r="B284" s="190" t="s">
        <v>2486</v>
      </c>
      <c r="C284" s="190" t="s">
        <v>2487</v>
      </c>
      <c r="D284" s="190" t="s">
        <v>135</v>
      </c>
      <c r="E284" s="8" t="e">
        <f ca="1">+_xlfn.CONCAT(G284,"-",B284,"_",C284,"_",_xlfn.XLOOKUP(BP284,Account!M:M,Account!N:N))</f>
        <v>#NAME?</v>
      </c>
      <c r="F284" s="12">
        <v>46056</v>
      </c>
      <c r="G284" s="190" t="s">
        <v>121</v>
      </c>
      <c r="H284" s="190" t="s">
        <v>4127</v>
      </c>
      <c r="I284" s="10" t="s">
        <v>122</v>
      </c>
      <c r="J284" s="190">
        <v>10</v>
      </c>
      <c r="K284" s="190" t="s">
        <v>2486</v>
      </c>
      <c r="L284" s="190" t="s">
        <v>3156</v>
      </c>
      <c r="M284" s="190" t="s">
        <v>3362</v>
      </c>
      <c r="N284" s="10" t="s">
        <v>4128</v>
      </c>
      <c r="O284" s="177" t="s">
        <v>4129</v>
      </c>
      <c r="P284" s="177" t="s">
        <v>4130</v>
      </c>
      <c r="Q284" s="327">
        <v>1817.0805</v>
      </c>
      <c r="R284" s="190">
        <v>18</v>
      </c>
      <c r="S284" s="190" t="s">
        <v>2840</v>
      </c>
      <c r="T284" s="190" t="s">
        <v>2518</v>
      </c>
      <c r="U284" s="190" t="s">
        <v>2565</v>
      </c>
      <c r="V284" s="8" t="s">
        <v>2011</v>
      </c>
      <c r="W284" s="10"/>
      <c r="X284" s="9"/>
      <c r="Y284" s="172"/>
      <c r="Z284" s="172"/>
      <c r="AA284" s="172"/>
      <c r="AB284" s="143" t="str">
        <f t="shared" ca="1" si="42"/>
        <v>NY Submit</v>
      </c>
      <c r="AC284" s="13"/>
      <c r="AD284" s="12">
        <v>46162</v>
      </c>
      <c r="AE284" s="12">
        <v>46164</v>
      </c>
      <c r="AF284" s="12">
        <v>46253</v>
      </c>
      <c r="AG284" s="12"/>
      <c r="AH284" s="11"/>
      <c r="AI284" s="11"/>
      <c r="AJ284" s="11"/>
      <c r="AK284" s="11"/>
      <c r="AL284" s="11"/>
      <c r="AM284" s="11"/>
      <c r="AN284" s="11"/>
      <c r="AO284" s="11" t="str">
        <f>+IF(AM284&lt;&gt;"","ATP App MS",IF(AJ284&lt;&gt;"","Inbound",IF(AH284&lt;&gt;"","Dismantle Perangkat",IF(AF284="Drop","Drop",IF(AE284&lt;&gt;"","Survey Report",IF(AD284&lt;&gt;"","Survey","NY Survey"))))))</f>
        <v>Survey Report</v>
      </c>
      <c r="AP284" s="173"/>
      <c r="AQ284" s="12">
        <v>46227</v>
      </c>
      <c r="AR284" s="12"/>
      <c r="AS284" s="12">
        <v>46227</v>
      </c>
      <c r="AT284" s="12"/>
      <c r="AU284" s="12"/>
      <c r="AV284" s="12"/>
      <c r="AW284" s="11" t="str">
        <f t="shared" si="43"/>
        <v>Engineering Structural Manager App</v>
      </c>
      <c r="AX284" s="12"/>
      <c r="AY284" s="12"/>
      <c r="AZ284" s="12"/>
      <c r="BA284" s="12"/>
      <c r="BB284" s="12"/>
      <c r="BC284" s="12"/>
      <c r="BD284" s="11" t="str">
        <f t="shared" si="44"/>
        <v>NY Submit</v>
      </c>
      <c r="BE284" s="174"/>
      <c r="BF284" s="12"/>
      <c r="BG284" s="12"/>
      <c r="BH284" s="12"/>
      <c r="BI284" s="12"/>
      <c r="BJ284" s="12"/>
      <c r="BK284" s="174"/>
      <c r="BL284" s="12" t="str">
        <f t="shared" si="45"/>
        <v>NY Submit</v>
      </c>
      <c r="BM284" s="12" t="str">
        <f t="shared" si="46"/>
        <v>NY Submit</v>
      </c>
      <c r="BN284" s="12"/>
      <c r="BO284" s="12"/>
      <c r="BP284" s="155" t="s">
        <v>2011</v>
      </c>
      <c r="BQ284" s="12" t="s">
        <v>3106</v>
      </c>
      <c r="BR284" s="12"/>
      <c r="BS284" s="143">
        <f t="shared" ca="1" si="47"/>
        <v>0</v>
      </c>
      <c r="BT284" s="176"/>
      <c r="BU284" s="12"/>
      <c r="BV284" s="143">
        <f t="shared" ca="1" si="48"/>
        <v>0</v>
      </c>
      <c r="BW284" s="12"/>
      <c r="BX284" s="12"/>
      <c r="BY284" s="143"/>
      <c r="BZ284" s="13"/>
      <c r="CA284" s="13"/>
      <c r="CB284" s="13"/>
      <c r="CC284" s="13"/>
      <c r="CD284" s="13"/>
      <c r="CE284" s="198"/>
      <c r="CF284" s="198"/>
      <c r="CG284" s="272"/>
      <c r="CH284" s="272"/>
      <c r="CI284" s="198"/>
      <c r="CJ284" s="198"/>
      <c r="CK284" s="198"/>
      <c r="CL284" s="198"/>
    </row>
    <row r="285" spans="1:90">
      <c r="A285" s="186">
        <v>280</v>
      </c>
      <c r="B285" s="190" t="s">
        <v>2486</v>
      </c>
      <c r="C285" s="190" t="s">
        <v>2487</v>
      </c>
      <c r="D285" s="190" t="s">
        <v>135</v>
      </c>
      <c r="E285" s="8" t="e">
        <f ca="1">+_xlfn.CONCAT(G285,"-",B285,"_",C285,"_",_xlfn.XLOOKUP(BP285,Account!M:M,Account!N:N))</f>
        <v>#NAME?</v>
      </c>
      <c r="F285" s="12">
        <v>46056</v>
      </c>
      <c r="G285" s="190" t="s">
        <v>121</v>
      </c>
      <c r="H285" s="190" t="s">
        <v>4127</v>
      </c>
      <c r="I285" s="10" t="s">
        <v>122</v>
      </c>
      <c r="J285" s="190">
        <v>10</v>
      </c>
      <c r="K285" s="190" t="s">
        <v>2486</v>
      </c>
      <c r="L285" s="190" t="s">
        <v>3156</v>
      </c>
      <c r="M285" s="190" t="s">
        <v>3362</v>
      </c>
      <c r="N285" s="10" t="s">
        <v>4128</v>
      </c>
      <c r="O285" s="177" t="s">
        <v>4129</v>
      </c>
      <c r="P285" s="177" t="s">
        <v>4130</v>
      </c>
      <c r="Q285" s="327">
        <v>1817.0805</v>
      </c>
      <c r="R285" s="190">
        <v>18</v>
      </c>
      <c r="S285" s="190" t="s">
        <v>2840</v>
      </c>
      <c r="T285" s="190" t="s">
        <v>2518</v>
      </c>
      <c r="U285" s="190" t="s">
        <v>2565</v>
      </c>
      <c r="V285" s="8" t="s">
        <v>1768</v>
      </c>
      <c r="W285" s="10"/>
      <c r="X285" s="9"/>
      <c r="Y285" s="172"/>
      <c r="Z285" s="172"/>
      <c r="AA285" s="172"/>
      <c r="AB285" s="143" t="str">
        <f t="shared" ca="1" si="42"/>
        <v>NY Submit</v>
      </c>
      <c r="AC285" s="13"/>
      <c r="AD285" s="12">
        <v>46162</v>
      </c>
      <c r="AE285" s="12">
        <v>46164</v>
      </c>
      <c r="AF285" s="12">
        <v>46253</v>
      </c>
      <c r="AG285" s="12"/>
      <c r="AH285" s="11"/>
      <c r="AI285" s="11"/>
      <c r="AJ285" s="11"/>
      <c r="AK285" s="11"/>
      <c r="AL285" s="11"/>
      <c r="AM285" s="11"/>
      <c r="AN285" s="11"/>
      <c r="AO285" s="11" t="str">
        <f>+IF(AM285&lt;&gt;"","ATP App MS",IF(AL285&lt;&gt;"","OA/RFS",IF(AK285&lt;&gt;"","Install",IF(AH285&lt;&gt;"","Dismantle Perangkat",IF(AF285="Drop","Drop",IF(AE285&lt;&gt;"","Survey Report",IF(AD285&lt;&gt;"","Survey","NY Survey")))))))</f>
        <v>Survey Report</v>
      </c>
      <c r="AP285" s="173"/>
      <c r="AQ285" s="12">
        <v>46227</v>
      </c>
      <c r="AR285" s="12"/>
      <c r="AS285" s="12">
        <v>46227</v>
      </c>
      <c r="AT285" s="12"/>
      <c r="AU285" s="12"/>
      <c r="AV285" s="12"/>
      <c r="AW285" s="11" t="str">
        <f t="shared" si="43"/>
        <v>Engineering Structural Manager App</v>
      </c>
      <c r="AX285" s="12"/>
      <c r="AY285" s="12"/>
      <c r="AZ285" s="12"/>
      <c r="BA285" s="12"/>
      <c r="BB285" s="12"/>
      <c r="BC285" s="12"/>
      <c r="BD285" s="11" t="str">
        <f t="shared" si="44"/>
        <v>NY Submit</v>
      </c>
      <c r="BE285" s="174"/>
      <c r="BF285" s="12"/>
      <c r="BG285" s="12"/>
      <c r="BH285" s="12"/>
      <c r="BI285" s="12"/>
      <c r="BJ285" s="12"/>
      <c r="BK285" s="174"/>
      <c r="BL285" s="12" t="str">
        <f t="shared" si="45"/>
        <v>NY Submit</v>
      </c>
      <c r="BM285" s="12" t="str">
        <f t="shared" si="46"/>
        <v>NY Submit</v>
      </c>
      <c r="BN285" s="12"/>
      <c r="BO285" s="12"/>
      <c r="BP285" s="155" t="s">
        <v>1768</v>
      </c>
      <c r="BQ285" s="12" t="s">
        <v>3106</v>
      </c>
      <c r="BR285" s="12"/>
      <c r="BS285" s="143">
        <f t="shared" ca="1" si="47"/>
        <v>0</v>
      </c>
      <c r="BT285" s="176"/>
      <c r="BU285" s="12"/>
      <c r="BV285" s="143">
        <f t="shared" ca="1" si="48"/>
        <v>0</v>
      </c>
      <c r="BW285" s="12"/>
      <c r="BX285" s="12"/>
      <c r="BY285" s="143"/>
      <c r="BZ285" s="13"/>
      <c r="CA285" s="13"/>
      <c r="CB285" s="13"/>
      <c r="CC285" s="13"/>
      <c r="CD285" s="13"/>
      <c r="CE285" s="198"/>
      <c r="CF285" s="198"/>
      <c r="CG285" s="272"/>
      <c r="CH285" s="272"/>
      <c r="CI285" s="198"/>
      <c r="CJ285" s="198"/>
      <c r="CK285" s="198"/>
      <c r="CL285" s="198"/>
    </row>
    <row r="286" spans="1:90" ht="30" customHeight="1">
      <c r="A286" s="186">
        <v>281</v>
      </c>
      <c r="B286" s="190" t="s">
        <v>2486</v>
      </c>
      <c r="C286" s="190" t="s">
        <v>2487</v>
      </c>
      <c r="D286" s="190" t="s">
        <v>135</v>
      </c>
      <c r="E286" s="8" t="e">
        <f ca="1">+_xlfn.CONCAT(G286,"-",B286,"_",C286,"_",_xlfn.XLOOKUP(BP286,Account!M:M,Account!N:N))</f>
        <v>#NAME?</v>
      </c>
      <c r="F286" s="12">
        <v>38836</v>
      </c>
      <c r="G286" s="190" t="s">
        <v>1189</v>
      </c>
      <c r="H286" s="190" t="s">
        <v>4133</v>
      </c>
      <c r="I286" s="10" t="s">
        <v>1190</v>
      </c>
      <c r="J286" s="190">
        <v>15</v>
      </c>
      <c r="K286" s="190" t="s">
        <v>2038</v>
      </c>
      <c r="L286" s="190" t="s">
        <v>1279</v>
      </c>
      <c r="M286" s="190" t="s">
        <v>4134</v>
      </c>
      <c r="N286" s="198" t="s">
        <v>4135</v>
      </c>
      <c r="O286" s="178" t="s">
        <v>4136</v>
      </c>
      <c r="P286" s="178" t="s">
        <v>4137</v>
      </c>
      <c r="Q286" s="327">
        <v>16015.06</v>
      </c>
      <c r="R286" s="190">
        <v>55</v>
      </c>
      <c r="S286" s="190" t="s">
        <v>4122</v>
      </c>
      <c r="T286" s="190" t="s">
        <v>2494</v>
      </c>
      <c r="U286" s="190" t="s">
        <v>2495</v>
      </c>
      <c r="V286" s="8" t="s">
        <v>1760</v>
      </c>
      <c r="W286" s="10"/>
      <c r="X286" s="9"/>
      <c r="Y286" s="172" t="s">
        <v>2432</v>
      </c>
      <c r="Z286" s="172">
        <v>46146</v>
      </c>
      <c r="AA286" s="172">
        <v>46152</v>
      </c>
      <c r="AB286" s="143" t="str">
        <f t="shared" ca="1" si="42"/>
        <v>Expired</v>
      </c>
      <c r="AC286" s="13"/>
      <c r="AD286" s="12">
        <v>46146</v>
      </c>
      <c r="AE286" s="12">
        <v>46155</v>
      </c>
      <c r="AF286" s="12">
        <v>46379</v>
      </c>
      <c r="AG286" s="12"/>
      <c r="AH286" s="11"/>
      <c r="AI286" s="11"/>
      <c r="AJ286" s="11"/>
      <c r="AK286" s="11"/>
      <c r="AL286" s="11"/>
      <c r="AM286" s="11"/>
      <c r="AN286" s="11"/>
      <c r="AO286" s="11" t="str">
        <f>+IF(AN286&lt;&gt;"","BAST",IF(AI286&lt;&gt;"","Dismantle",IF(AG286&lt;&gt;"","RFD App",IF(AF286="Drop","Drop",IF(AE286&lt;&gt;"","Survey Report",IF(AD286&lt;&gt;"","Survey","NY Survey"))))))</f>
        <v>Survey Report</v>
      </c>
      <c r="AP286" s="173"/>
      <c r="AQ286" s="12">
        <v>46162</v>
      </c>
      <c r="AR286" s="12"/>
      <c r="AS286" s="12">
        <v>46163</v>
      </c>
      <c r="AT286" s="12"/>
      <c r="AU286" s="12"/>
      <c r="AV286" s="12"/>
      <c r="AW286" s="11" t="str">
        <f t="shared" si="43"/>
        <v>Engineering Structural Manager App</v>
      </c>
      <c r="AX286" s="12"/>
      <c r="AY286" s="12"/>
      <c r="AZ286" s="12"/>
      <c r="BA286" s="12"/>
      <c r="BB286" s="12"/>
      <c r="BC286" s="12"/>
      <c r="BD286" s="11" t="str">
        <f t="shared" si="44"/>
        <v>NY Submit</v>
      </c>
      <c r="BE286" s="174"/>
      <c r="BF286" s="12">
        <v>46184</v>
      </c>
      <c r="BG286" s="12">
        <v>46185</v>
      </c>
      <c r="BH286" s="12" t="s">
        <v>4138</v>
      </c>
      <c r="BI286" s="12">
        <v>46184</v>
      </c>
      <c r="BJ286" s="12">
        <v>46195</v>
      </c>
      <c r="BK286" s="174" t="s">
        <v>4139</v>
      </c>
      <c r="BL286" s="12" t="str">
        <f t="shared" si="45"/>
        <v>Approved</v>
      </c>
      <c r="BM286" s="12" t="str">
        <f t="shared" si="46"/>
        <v>Approved</v>
      </c>
      <c r="BN286" s="12"/>
      <c r="BO286" s="12"/>
      <c r="BP286" s="155" t="s">
        <v>1760</v>
      </c>
      <c r="BQ286" s="12" t="s">
        <v>3106</v>
      </c>
      <c r="BR286" s="12"/>
      <c r="BS286" s="143">
        <f t="shared" ca="1" si="47"/>
        <v>0</v>
      </c>
      <c r="BT286" s="176"/>
      <c r="BU286" s="12"/>
      <c r="BV286" s="143">
        <f t="shared" ca="1" si="48"/>
        <v>0</v>
      </c>
      <c r="BW286" s="12"/>
      <c r="BX286" s="12"/>
      <c r="BY286" s="143"/>
      <c r="BZ286" s="13"/>
      <c r="CA286" s="13"/>
      <c r="CB286" s="13"/>
      <c r="CC286" s="13"/>
      <c r="CD286" s="13"/>
      <c r="CE286" s="198" t="s">
        <v>4140</v>
      </c>
      <c r="CF286" s="198" t="s">
        <v>4141</v>
      </c>
      <c r="CG286" s="272" t="s">
        <v>1197</v>
      </c>
      <c r="CH286" s="272" t="s">
        <v>1196</v>
      </c>
      <c r="CI286" s="198"/>
      <c r="CJ286" s="198"/>
      <c r="CK286" s="198"/>
      <c r="CL286" s="198"/>
    </row>
    <row r="287" spans="1:90">
      <c r="A287" s="186">
        <v>282</v>
      </c>
      <c r="B287" s="190" t="s">
        <v>2486</v>
      </c>
      <c r="C287" s="190" t="s">
        <v>2487</v>
      </c>
      <c r="D287" s="190" t="s">
        <v>135</v>
      </c>
      <c r="E287" s="8" t="e">
        <f ca="1">+_xlfn.CONCAT(G287,"-",B287,"_",C287,"_",_xlfn.XLOOKUP(BP287,Account!M:M,Account!N:N))</f>
        <v>#NAME?</v>
      </c>
      <c r="F287" s="12">
        <v>38836</v>
      </c>
      <c r="G287" s="190" t="s">
        <v>1189</v>
      </c>
      <c r="H287" s="190" t="s">
        <v>4133</v>
      </c>
      <c r="I287" s="10" t="s">
        <v>1190</v>
      </c>
      <c r="J287" s="190">
        <v>15</v>
      </c>
      <c r="K287" s="190" t="s">
        <v>2038</v>
      </c>
      <c r="L287" s="190" t="s">
        <v>1279</v>
      </c>
      <c r="M287" s="190" t="s">
        <v>4134</v>
      </c>
      <c r="N287" s="10" t="s">
        <v>4135</v>
      </c>
      <c r="O287" s="178" t="s">
        <v>4136</v>
      </c>
      <c r="P287" s="178" t="s">
        <v>4137</v>
      </c>
      <c r="Q287" s="327">
        <v>16015.06</v>
      </c>
      <c r="R287" s="190">
        <v>55</v>
      </c>
      <c r="S287" s="190" t="s">
        <v>4122</v>
      </c>
      <c r="T287" s="190" t="s">
        <v>2494</v>
      </c>
      <c r="U287" s="190" t="s">
        <v>2495</v>
      </c>
      <c r="V287" s="8" t="s">
        <v>2011</v>
      </c>
      <c r="W287" s="10"/>
      <c r="X287" s="9"/>
      <c r="Y287" s="172"/>
      <c r="Z287" s="172"/>
      <c r="AA287" s="172"/>
      <c r="AB287" s="143" t="str">
        <f t="shared" ca="1" si="42"/>
        <v>NY Submit</v>
      </c>
      <c r="AC287" s="13"/>
      <c r="AD287" s="12">
        <v>46146</v>
      </c>
      <c r="AE287" s="12">
        <v>46155</v>
      </c>
      <c r="AF287" s="12">
        <v>46379</v>
      </c>
      <c r="AG287" s="12"/>
      <c r="AH287" s="11"/>
      <c r="AI287" s="11"/>
      <c r="AJ287" s="11"/>
      <c r="AK287" s="11"/>
      <c r="AL287" s="11"/>
      <c r="AM287" s="11"/>
      <c r="AN287" s="11"/>
      <c r="AO287" s="11" t="str">
        <f>+IF(AM287&lt;&gt;"","ATP App MS",IF(AJ287&lt;&gt;"","Inbound",IF(AH287&lt;&gt;"","Dismantle Perangkat",IF(AF287="Drop","Drop",IF(AE287&lt;&gt;"","Survey Report",IF(AD287&lt;&gt;"","Survey","NY Survey"))))))</f>
        <v>Survey Report</v>
      </c>
      <c r="AP287" s="173"/>
      <c r="AQ287" s="12">
        <v>46162</v>
      </c>
      <c r="AR287" s="12"/>
      <c r="AS287" s="12">
        <v>46163</v>
      </c>
      <c r="AT287" s="12"/>
      <c r="AU287" s="12"/>
      <c r="AV287" s="12"/>
      <c r="AW287" s="11" t="str">
        <f t="shared" si="43"/>
        <v>Engineering Structural Manager App</v>
      </c>
      <c r="AX287" s="12"/>
      <c r="AY287" s="12"/>
      <c r="AZ287" s="12"/>
      <c r="BA287" s="12"/>
      <c r="BB287" s="12"/>
      <c r="BC287" s="12"/>
      <c r="BD287" s="11" t="str">
        <f t="shared" si="44"/>
        <v>NY Submit</v>
      </c>
      <c r="BE287" s="174"/>
      <c r="BF287" s="12"/>
      <c r="BG287" s="12"/>
      <c r="BH287" s="12"/>
      <c r="BI287" s="12"/>
      <c r="BJ287" s="12"/>
      <c r="BK287" s="174"/>
      <c r="BL287" s="12" t="str">
        <f t="shared" si="45"/>
        <v>NY Submit</v>
      </c>
      <c r="BM287" s="12" t="str">
        <f t="shared" si="46"/>
        <v>NY Submit</v>
      </c>
      <c r="BN287" s="12"/>
      <c r="BO287" s="12"/>
      <c r="BP287" s="155" t="s">
        <v>2011</v>
      </c>
      <c r="BQ287" s="12" t="s">
        <v>3106</v>
      </c>
      <c r="BR287" s="12"/>
      <c r="BS287" s="143">
        <f t="shared" ca="1" si="47"/>
        <v>0</v>
      </c>
      <c r="BT287" s="176"/>
      <c r="BU287" s="12"/>
      <c r="BV287" s="143">
        <f t="shared" ca="1" si="48"/>
        <v>0</v>
      </c>
      <c r="BW287" s="12"/>
      <c r="BX287" s="12"/>
      <c r="BY287" s="143"/>
      <c r="BZ287" s="13"/>
      <c r="CA287" s="13"/>
      <c r="CB287" s="13"/>
      <c r="CC287" s="13"/>
      <c r="CD287" s="13"/>
      <c r="CE287" s="198" t="s">
        <v>4140</v>
      </c>
      <c r="CF287" s="198" t="s">
        <v>4141</v>
      </c>
      <c r="CG287" s="272" t="s">
        <v>1197</v>
      </c>
      <c r="CH287" s="272" t="s">
        <v>1196</v>
      </c>
      <c r="CI287" s="198"/>
      <c r="CJ287" s="198"/>
      <c r="CK287" s="198"/>
      <c r="CL287" s="198"/>
    </row>
    <row r="288" spans="1:90">
      <c r="A288" s="186">
        <v>283</v>
      </c>
      <c r="B288" s="190" t="s">
        <v>2486</v>
      </c>
      <c r="C288" s="190" t="s">
        <v>2487</v>
      </c>
      <c r="D288" s="190" t="s">
        <v>135</v>
      </c>
      <c r="E288" s="8" t="e">
        <f ca="1">+_xlfn.CONCAT(G288,"-",B288,"_",C288,"_",_xlfn.XLOOKUP(BP288,Account!M:M,Account!N:N))</f>
        <v>#NAME?</v>
      </c>
      <c r="F288" s="12">
        <v>38836</v>
      </c>
      <c r="G288" s="190" t="s">
        <v>1189</v>
      </c>
      <c r="H288" s="190" t="s">
        <v>4133</v>
      </c>
      <c r="I288" s="10" t="s">
        <v>1190</v>
      </c>
      <c r="J288" s="190">
        <v>15</v>
      </c>
      <c r="K288" s="190" t="s">
        <v>2038</v>
      </c>
      <c r="L288" s="190" t="s">
        <v>1279</v>
      </c>
      <c r="M288" s="190" t="s">
        <v>4134</v>
      </c>
      <c r="N288" s="10" t="s">
        <v>4135</v>
      </c>
      <c r="O288" s="178" t="s">
        <v>4136</v>
      </c>
      <c r="P288" s="178" t="s">
        <v>4137</v>
      </c>
      <c r="Q288" s="327">
        <v>16015.06</v>
      </c>
      <c r="R288" s="190">
        <v>55</v>
      </c>
      <c r="S288" s="190" t="s">
        <v>4122</v>
      </c>
      <c r="T288" s="190" t="s">
        <v>2494</v>
      </c>
      <c r="U288" s="190" t="s">
        <v>2495</v>
      </c>
      <c r="V288" s="8" t="s">
        <v>1768</v>
      </c>
      <c r="W288" s="10"/>
      <c r="X288" s="9"/>
      <c r="Y288" s="172"/>
      <c r="Z288" s="172"/>
      <c r="AA288" s="172"/>
      <c r="AB288" s="143" t="str">
        <f t="shared" ca="1" si="42"/>
        <v>NY Submit</v>
      </c>
      <c r="AC288" s="13"/>
      <c r="AD288" s="12">
        <v>46146</v>
      </c>
      <c r="AE288" s="12">
        <v>46155</v>
      </c>
      <c r="AF288" s="12">
        <v>46379</v>
      </c>
      <c r="AG288" s="12"/>
      <c r="AH288" s="11"/>
      <c r="AI288" s="11"/>
      <c r="AJ288" s="11"/>
      <c r="AK288" s="11"/>
      <c r="AL288" s="11"/>
      <c r="AM288" s="11"/>
      <c r="AN288" s="11"/>
      <c r="AO288" s="11" t="str">
        <f>+IF(AM288&lt;&gt;"","ATP App MS",IF(AL288&lt;&gt;"","OA/RFS",IF(AK288&lt;&gt;"","Install",IF(AH288&lt;&gt;"","Dismantle Perangkat",IF(AF288="Drop","Drop",IF(AE288&lt;&gt;"","Survey Report",IF(AD288&lt;&gt;"","Survey","NY Survey")))))))</f>
        <v>Survey Report</v>
      </c>
      <c r="AP288" s="173"/>
      <c r="AQ288" s="12">
        <v>46162</v>
      </c>
      <c r="AR288" s="12"/>
      <c r="AS288" s="12">
        <v>46163</v>
      </c>
      <c r="AT288" s="12"/>
      <c r="AU288" s="12"/>
      <c r="AV288" s="12"/>
      <c r="AW288" s="11" t="str">
        <f t="shared" si="43"/>
        <v>Engineering Structural Manager App</v>
      </c>
      <c r="AX288" s="12"/>
      <c r="AY288" s="12"/>
      <c r="AZ288" s="12"/>
      <c r="BA288" s="12"/>
      <c r="BB288" s="12"/>
      <c r="BC288" s="12"/>
      <c r="BD288" s="11" t="str">
        <f t="shared" si="44"/>
        <v>NY Submit</v>
      </c>
      <c r="BE288" s="174"/>
      <c r="BF288" s="12"/>
      <c r="BG288" s="12"/>
      <c r="BH288" s="12"/>
      <c r="BI288" s="12"/>
      <c r="BJ288" s="12"/>
      <c r="BK288" s="174"/>
      <c r="BL288" s="12" t="str">
        <f t="shared" si="45"/>
        <v>NY Submit</v>
      </c>
      <c r="BM288" s="12" t="str">
        <f t="shared" si="46"/>
        <v>NY Submit</v>
      </c>
      <c r="BN288" s="12"/>
      <c r="BO288" s="12"/>
      <c r="BP288" s="155" t="s">
        <v>1768</v>
      </c>
      <c r="BQ288" s="12" t="s">
        <v>3106</v>
      </c>
      <c r="BR288" s="12"/>
      <c r="BS288" s="143">
        <f t="shared" ca="1" si="47"/>
        <v>0</v>
      </c>
      <c r="BT288" s="176"/>
      <c r="BU288" s="12"/>
      <c r="BV288" s="143">
        <f t="shared" ca="1" si="48"/>
        <v>0</v>
      </c>
      <c r="BW288" s="12"/>
      <c r="BX288" s="12"/>
      <c r="BY288" s="143"/>
      <c r="BZ288" s="13"/>
      <c r="CA288" s="13"/>
      <c r="CB288" s="13"/>
      <c r="CC288" s="13"/>
      <c r="CD288" s="13"/>
      <c r="CE288" s="198" t="s">
        <v>4140</v>
      </c>
      <c r="CF288" s="198" t="s">
        <v>4141</v>
      </c>
      <c r="CG288" s="272" t="s">
        <v>1197</v>
      </c>
      <c r="CH288" s="272" t="s">
        <v>1196</v>
      </c>
      <c r="CI288" s="198"/>
      <c r="CJ288" s="198"/>
      <c r="CK288" s="198"/>
      <c r="CL288" s="198"/>
    </row>
    <row r="289" spans="1:90">
      <c r="A289" s="186">
        <v>284</v>
      </c>
      <c r="B289" s="190" t="s">
        <v>2486</v>
      </c>
      <c r="C289" s="190" t="s">
        <v>2487</v>
      </c>
      <c r="D289" s="190" t="s">
        <v>135</v>
      </c>
      <c r="E289" s="8" t="e">
        <f ca="1">+_xlfn.CONCAT(G289,"-",B289,"_",C289,"_",_xlfn.XLOOKUP(BP289,Account!M:M,Account!N:N))</f>
        <v>#NAME?</v>
      </c>
      <c r="F289" s="12">
        <v>46062</v>
      </c>
      <c r="G289" s="190" t="s">
        <v>2394</v>
      </c>
      <c r="H289" s="190" t="s">
        <v>4142</v>
      </c>
      <c r="I289" s="10" t="s">
        <v>2395</v>
      </c>
      <c r="J289" s="190">
        <v>15</v>
      </c>
      <c r="K289" s="190" t="s">
        <v>2038</v>
      </c>
      <c r="L289" s="190" t="s">
        <v>1279</v>
      </c>
      <c r="M289" s="190" t="s">
        <v>2836</v>
      </c>
      <c r="N289" s="10" t="s">
        <v>4143</v>
      </c>
      <c r="O289" s="178" t="s">
        <v>4144</v>
      </c>
      <c r="P289" s="178" t="s">
        <v>4145</v>
      </c>
      <c r="Q289" s="327">
        <v>26790.882000000001</v>
      </c>
      <c r="R289" s="190">
        <v>70</v>
      </c>
      <c r="S289" s="190" t="s">
        <v>4122</v>
      </c>
      <c r="T289" s="190" t="s">
        <v>2494</v>
      </c>
      <c r="U289" s="190" t="s">
        <v>2495</v>
      </c>
      <c r="V289" s="8" t="s">
        <v>1760</v>
      </c>
      <c r="W289" s="10"/>
      <c r="X289" s="9"/>
      <c r="Y289" s="172"/>
      <c r="Z289" s="172"/>
      <c r="AA289" s="172"/>
      <c r="AB289" s="143" t="str">
        <f t="shared" ca="1" si="42"/>
        <v>NY Submit</v>
      </c>
      <c r="AC289" s="13"/>
      <c r="AD289" s="12">
        <v>46207</v>
      </c>
      <c r="AE289" s="12"/>
      <c r="AF289" s="12">
        <v>46387</v>
      </c>
      <c r="AG289" s="12"/>
      <c r="AH289" s="11"/>
      <c r="AI289" s="11"/>
      <c r="AJ289" s="11"/>
      <c r="AK289" s="11"/>
      <c r="AL289" s="11"/>
      <c r="AM289" s="11"/>
      <c r="AN289" s="11"/>
      <c r="AO289" s="11" t="str">
        <f>+IF(AN289&lt;&gt;"","BAST",IF(AI289&lt;&gt;"","Dismantle",IF(AG289&lt;&gt;"","RFD App",IF(AF289="Drop","Drop",IF(AE289&lt;&gt;"","Survey Report",IF(AD289&lt;&gt;"","Survey","NY Survey"))))))</f>
        <v>Survey</v>
      </c>
      <c r="AP289" s="173"/>
      <c r="AQ289" s="12"/>
      <c r="AR289" s="12"/>
      <c r="AS289" s="12"/>
      <c r="AT289" s="12"/>
      <c r="AU289" s="12"/>
      <c r="AV289" s="12"/>
      <c r="AW289" s="11" t="str">
        <f t="shared" si="43"/>
        <v>NY Submit</v>
      </c>
      <c r="AX289" s="12"/>
      <c r="AY289" s="12"/>
      <c r="AZ289" s="12"/>
      <c r="BA289" s="12"/>
      <c r="BB289" s="12"/>
      <c r="BC289" s="12"/>
      <c r="BD289" s="11" t="str">
        <f t="shared" si="44"/>
        <v>NY Submit</v>
      </c>
      <c r="BE289" s="174" t="s">
        <v>4146</v>
      </c>
      <c r="BF289" s="12"/>
      <c r="BG289" s="12"/>
      <c r="BH289" s="12"/>
      <c r="BI289" s="12"/>
      <c r="BJ289" s="12"/>
      <c r="BK289" s="174"/>
      <c r="BL289" s="12" t="str">
        <f t="shared" si="45"/>
        <v>NY Submit</v>
      </c>
      <c r="BM289" s="12" t="str">
        <f t="shared" si="46"/>
        <v>NY Submit</v>
      </c>
      <c r="BN289" s="12"/>
      <c r="BO289" s="12"/>
      <c r="BP289" s="155" t="s">
        <v>1760</v>
      </c>
      <c r="BQ289" s="12" t="s">
        <v>3106</v>
      </c>
      <c r="BR289" s="12"/>
      <c r="BS289" s="143">
        <f t="shared" ca="1" si="47"/>
        <v>0</v>
      </c>
      <c r="BT289" s="176"/>
      <c r="BU289" s="12"/>
      <c r="BV289" s="143">
        <f t="shared" ca="1" si="48"/>
        <v>0</v>
      </c>
      <c r="BW289" s="12"/>
      <c r="BX289" s="12"/>
      <c r="BY289" s="143"/>
      <c r="BZ289" s="13" t="s">
        <v>4146</v>
      </c>
      <c r="CA289" s="13"/>
      <c r="CB289" s="13"/>
      <c r="CC289" s="13"/>
      <c r="CD289" s="13"/>
      <c r="CE289" s="198"/>
      <c r="CF289" s="198"/>
      <c r="CG289" s="272"/>
      <c r="CH289" s="272"/>
      <c r="CI289" s="198"/>
      <c r="CJ289" s="198"/>
      <c r="CK289" s="198"/>
      <c r="CL289" s="198"/>
    </row>
    <row r="290" spans="1:90">
      <c r="A290" s="186">
        <v>285</v>
      </c>
      <c r="B290" s="190" t="s">
        <v>2486</v>
      </c>
      <c r="C290" s="190" t="s">
        <v>2487</v>
      </c>
      <c r="D290" s="190" t="s">
        <v>135</v>
      </c>
      <c r="E290" s="8" t="e">
        <f ca="1">+_xlfn.CONCAT(G290,"-",B290,"_",C290,"_",_xlfn.XLOOKUP(BP290,Account!M:M,Account!N:N))</f>
        <v>#NAME?</v>
      </c>
      <c r="F290" s="12">
        <v>46062</v>
      </c>
      <c r="G290" s="190" t="s">
        <v>2394</v>
      </c>
      <c r="H290" s="190" t="s">
        <v>4142</v>
      </c>
      <c r="I290" s="10" t="s">
        <v>2395</v>
      </c>
      <c r="J290" s="190">
        <v>15</v>
      </c>
      <c r="K290" s="190" t="s">
        <v>2038</v>
      </c>
      <c r="L290" s="190" t="s">
        <v>1279</v>
      </c>
      <c r="M290" s="190" t="s">
        <v>2836</v>
      </c>
      <c r="N290" s="10" t="s">
        <v>4143</v>
      </c>
      <c r="O290" s="178" t="s">
        <v>4144</v>
      </c>
      <c r="P290" s="178" t="s">
        <v>4145</v>
      </c>
      <c r="Q290" s="327">
        <v>26790.882000000001</v>
      </c>
      <c r="R290" s="190">
        <v>70</v>
      </c>
      <c r="S290" s="190" t="s">
        <v>4122</v>
      </c>
      <c r="T290" s="190" t="s">
        <v>2494</v>
      </c>
      <c r="U290" s="190" t="s">
        <v>2495</v>
      </c>
      <c r="V290" s="8" t="s">
        <v>2011</v>
      </c>
      <c r="W290" s="10"/>
      <c r="X290" s="9"/>
      <c r="Y290" s="172"/>
      <c r="Z290" s="172"/>
      <c r="AA290" s="172"/>
      <c r="AB290" s="143" t="str">
        <f t="shared" ca="1" si="42"/>
        <v>NY Submit</v>
      </c>
      <c r="AC290" s="13"/>
      <c r="AD290" s="12">
        <v>46207</v>
      </c>
      <c r="AE290" s="12"/>
      <c r="AF290" s="12">
        <v>46387</v>
      </c>
      <c r="AG290" s="12"/>
      <c r="AH290" s="11"/>
      <c r="AI290" s="11"/>
      <c r="AJ290" s="11"/>
      <c r="AK290" s="11"/>
      <c r="AL290" s="11"/>
      <c r="AM290" s="11"/>
      <c r="AN290" s="11"/>
      <c r="AO290" s="11" t="str">
        <f>+IF(AM290&lt;&gt;"","ATP App MS",IF(AJ290&lt;&gt;"","Inbound",IF(AH290&lt;&gt;"","Dismantle Perangkat",IF(AF290="Drop","Drop",IF(AE290&lt;&gt;"","Survey Report",IF(AD290&lt;&gt;"","Survey","NY Survey"))))))</f>
        <v>Survey</v>
      </c>
      <c r="AP290" s="173"/>
      <c r="AQ290" s="12"/>
      <c r="AR290" s="12"/>
      <c r="AS290" s="12"/>
      <c r="AT290" s="12"/>
      <c r="AU290" s="12"/>
      <c r="AV290" s="12"/>
      <c r="AW290" s="11" t="str">
        <f t="shared" si="43"/>
        <v>NY Submit</v>
      </c>
      <c r="AX290" s="12"/>
      <c r="AY290" s="12"/>
      <c r="AZ290" s="12"/>
      <c r="BA290" s="12"/>
      <c r="BB290" s="12"/>
      <c r="BC290" s="12"/>
      <c r="BD290" s="11" t="str">
        <f t="shared" si="44"/>
        <v>NY Submit</v>
      </c>
      <c r="BE290" s="174"/>
      <c r="BF290" s="12"/>
      <c r="BG290" s="12"/>
      <c r="BH290" s="12"/>
      <c r="BI290" s="12"/>
      <c r="BJ290" s="12"/>
      <c r="BK290" s="174"/>
      <c r="BL290" s="12" t="str">
        <f t="shared" si="45"/>
        <v>NY Submit</v>
      </c>
      <c r="BM290" s="12" t="str">
        <f t="shared" si="46"/>
        <v>NY Submit</v>
      </c>
      <c r="BN290" s="12"/>
      <c r="BO290" s="12"/>
      <c r="BP290" s="155" t="s">
        <v>2011</v>
      </c>
      <c r="BQ290" s="12" t="s">
        <v>3106</v>
      </c>
      <c r="BR290" s="12"/>
      <c r="BS290" s="143">
        <f t="shared" ca="1" si="47"/>
        <v>0</v>
      </c>
      <c r="BT290" s="176"/>
      <c r="BU290" s="12"/>
      <c r="BV290" s="143">
        <f t="shared" ca="1" si="48"/>
        <v>0</v>
      </c>
      <c r="BW290" s="12"/>
      <c r="BX290" s="12"/>
      <c r="BY290" s="143"/>
      <c r="BZ290" s="13"/>
      <c r="CA290" s="13"/>
      <c r="CB290" s="13"/>
      <c r="CC290" s="13"/>
      <c r="CD290" s="13"/>
      <c r="CE290" s="198"/>
      <c r="CF290" s="198"/>
      <c r="CG290" s="272"/>
      <c r="CH290" s="272"/>
      <c r="CI290" s="198"/>
      <c r="CJ290" s="198"/>
      <c r="CK290" s="198"/>
      <c r="CL290" s="198"/>
    </row>
    <row r="291" spans="1:90">
      <c r="A291" s="187">
        <v>286</v>
      </c>
      <c r="B291" s="190" t="s">
        <v>2486</v>
      </c>
      <c r="C291" s="190" t="s">
        <v>2487</v>
      </c>
      <c r="D291" s="190" t="s">
        <v>135</v>
      </c>
      <c r="E291" s="8" t="e">
        <f ca="1">+_xlfn.CONCAT(G291,"-",B291,"_",C291,"_",_xlfn.XLOOKUP(BP291,Account!M:M,Account!N:N))</f>
        <v>#NAME?</v>
      </c>
      <c r="F291" s="12">
        <v>46062</v>
      </c>
      <c r="G291" s="190" t="s">
        <v>2394</v>
      </c>
      <c r="H291" s="190" t="s">
        <v>4142</v>
      </c>
      <c r="I291" s="10" t="s">
        <v>2395</v>
      </c>
      <c r="J291" s="190">
        <v>15</v>
      </c>
      <c r="K291" s="190" t="s">
        <v>2038</v>
      </c>
      <c r="L291" s="190" t="s">
        <v>1279</v>
      </c>
      <c r="M291" s="190" t="s">
        <v>2836</v>
      </c>
      <c r="N291" s="10" t="s">
        <v>4143</v>
      </c>
      <c r="O291" s="178" t="s">
        <v>4144</v>
      </c>
      <c r="P291" s="178" t="s">
        <v>4145</v>
      </c>
      <c r="Q291" s="327">
        <v>26790.882000000001</v>
      </c>
      <c r="R291" s="190">
        <v>70</v>
      </c>
      <c r="S291" s="190" t="s">
        <v>4122</v>
      </c>
      <c r="T291" s="190" t="s">
        <v>2494</v>
      </c>
      <c r="U291" s="190" t="s">
        <v>2495</v>
      </c>
      <c r="V291" s="8" t="s">
        <v>1768</v>
      </c>
      <c r="W291" s="10"/>
      <c r="X291" s="9"/>
      <c r="Y291" s="172"/>
      <c r="Z291" s="172"/>
      <c r="AA291" s="172"/>
      <c r="AB291" s="143" t="str">
        <f t="shared" ca="1" si="42"/>
        <v>NY Submit</v>
      </c>
      <c r="AC291" s="13"/>
      <c r="AD291" s="12">
        <v>46207</v>
      </c>
      <c r="AE291" s="12"/>
      <c r="AF291" s="12" t="s">
        <v>3628</v>
      </c>
      <c r="AG291" s="12"/>
      <c r="AH291" s="11"/>
      <c r="AI291" s="11"/>
      <c r="AJ291" s="11"/>
      <c r="AK291" s="11"/>
      <c r="AL291" s="11"/>
      <c r="AM291" s="11"/>
      <c r="AN291" s="11"/>
      <c r="AO291" s="11" t="str">
        <f>+IF(AM291&lt;&gt;"","ATP App MS",IF(AL291&lt;&gt;"","OA/RFS",IF(AK291&lt;&gt;"","Install",IF(AH291&lt;&gt;"","Dismantle Perangkat",IF(AF291="Drop","Drop",IF(AE291&lt;&gt;"","Survey Report",IF(AD291&lt;&gt;"","Survey","NY Survey")))))))</f>
        <v>Drop</v>
      </c>
      <c r="AP291" s="173"/>
      <c r="AQ291" s="12"/>
      <c r="AR291" s="12"/>
      <c r="AS291" s="12"/>
      <c r="AT291" s="12"/>
      <c r="AU291" s="12"/>
      <c r="AV291" s="12"/>
      <c r="AW291" s="11" t="str">
        <f t="shared" si="43"/>
        <v>NY Submit</v>
      </c>
      <c r="AX291" s="12"/>
      <c r="AY291" s="12"/>
      <c r="AZ291" s="12"/>
      <c r="BA291" s="12"/>
      <c r="BB291" s="12"/>
      <c r="BC291" s="12"/>
      <c r="BD291" s="11" t="str">
        <f t="shared" si="44"/>
        <v>NY Submit</v>
      </c>
      <c r="BE291" s="174"/>
      <c r="BF291" s="12"/>
      <c r="BG291" s="12"/>
      <c r="BH291" s="12"/>
      <c r="BI291" s="12"/>
      <c r="BJ291" s="12"/>
      <c r="BK291" s="174"/>
      <c r="BL291" s="12" t="str">
        <f t="shared" si="45"/>
        <v>NY Submit</v>
      </c>
      <c r="BM291" s="12" t="str">
        <f t="shared" si="46"/>
        <v>NY Submit</v>
      </c>
      <c r="BN291" s="12"/>
      <c r="BO291" s="12"/>
      <c r="BP291" s="155" t="s">
        <v>1768</v>
      </c>
      <c r="BQ291" s="12" t="s">
        <v>3106</v>
      </c>
      <c r="BR291" s="12"/>
      <c r="BS291" s="143" t="str">
        <f t="shared" ca="1" si="47"/>
        <v>Drop</v>
      </c>
      <c r="BT291" s="176"/>
      <c r="BU291" s="12"/>
      <c r="BV291" s="143" t="str">
        <f t="shared" ca="1" si="48"/>
        <v>Drop</v>
      </c>
      <c r="BW291" s="12"/>
      <c r="BX291" s="12"/>
      <c r="BY291" s="143"/>
      <c r="BZ291" s="13"/>
      <c r="CA291" s="13"/>
      <c r="CB291" s="13"/>
      <c r="CC291" s="13"/>
      <c r="CD291" s="13"/>
      <c r="CE291" s="198"/>
      <c r="CF291" s="198"/>
      <c r="CG291" s="272"/>
      <c r="CH291" s="272"/>
      <c r="CI291" s="198"/>
      <c r="CJ291" s="198"/>
      <c r="CK291" s="198"/>
      <c r="CL291" s="198"/>
    </row>
    <row r="292" spans="1:90">
      <c r="A292" s="186">
        <v>287</v>
      </c>
      <c r="B292" s="190" t="s">
        <v>2486</v>
      </c>
      <c r="C292" s="190" t="s">
        <v>2487</v>
      </c>
      <c r="D292" s="190" t="s">
        <v>135</v>
      </c>
      <c r="E292" s="8" t="e">
        <f ca="1">+_xlfn.CONCAT(G292,"-",B292,"_",C292,"_",_xlfn.XLOOKUP(BP292,Account!M:M,Account!N:N))</f>
        <v>#NAME?</v>
      </c>
      <c r="F292" s="12">
        <v>45896</v>
      </c>
      <c r="G292" s="190" t="s">
        <v>2345</v>
      </c>
      <c r="H292" s="190" t="s">
        <v>4147</v>
      </c>
      <c r="I292" s="10" t="s">
        <v>2346</v>
      </c>
      <c r="J292" s="190">
        <v>11</v>
      </c>
      <c r="K292" s="190" t="s">
        <v>2486</v>
      </c>
      <c r="L292" s="190" t="s">
        <v>1263</v>
      </c>
      <c r="M292" s="190" t="s">
        <v>4148</v>
      </c>
      <c r="N292" s="10" t="s">
        <v>4149</v>
      </c>
      <c r="O292" s="178" t="s">
        <v>4150</v>
      </c>
      <c r="P292" s="178" t="s">
        <v>4151</v>
      </c>
      <c r="Q292" s="327">
        <v>6828.5249999999996</v>
      </c>
      <c r="R292" s="190">
        <v>52</v>
      </c>
      <c r="S292" s="190" t="s">
        <v>2840</v>
      </c>
      <c r="T292" s="190" t="s">
        <v>2494</v>
      </c>
      <c r="U292" s="190" t="s">
        <v>3330</v>
      </c>
      <c r="V292" s="8" t="s">
        <v>1760</v>
      </c>
      <c r="W292" s="10" t="s">
        <v>3687</v>
      </c>
      <c r="X292" s="15" t="s">
        <v>3688</v>
      </c>
      <c r="Y292" s="172" t="s">
        <v>2432</v>
      </c>
      <c r="Z292" s="172">
        <v>46162</v>
      </c>
      <c r="AA292" s="172">
        <v>46168</v>
      </c>
      <c r="AB292" s="208" t="str">
        <f t="shared" ca="1" si="42"/>
        <v>Expired</v>
      </c>
      <c r="AC292" s="13"/>
      <c r="AD292" s="12">
        <v>46163</v>
      </c>
      <c r="AE292" s="12">
        <v>46199</v>
      </c>
      <c r="AF292" s="12">
        <v>45794</v>
      </c>
      <c r="AG292" s="12"/>
      <c r="AH292" s="11"/>
      <c r="AI292" s="11"/>
      <c r="AJ292" s="11"/>
      <c r="AK292" s="11"/>
      <c r="AL292" s="11"/>
      <c r="AM292" s="11"/>
      <c r="AN292" s="11"/>
      <c r="AO292" s="11" t="str">
        <f>+IF(AN292&lt;&gt;"","BAST",IF(AI292&lt;&gt;"","Dismantle",IF(AG292&lt;&gt;"","RFD App",IF(AF292="Drop","Drop",IF(AE292&lt;&gt;"","Survey Report",IF(AD292&lt;&gt;"","Survey","NY Survey"))))))</f>
        <v>Survey Report</v>
      </c>
      <c r="AP292" s="173"/>
      <c r="AQ292" s="12"/>
      <c r="AR292" s="12"/>
      <c r="AS292" s="12"/>
      <c r="AT292" s="12"/>
      <c r="AU292" s="12"/>
      <c r="AV292" s="12"/>
      <c r="AW292" s="11" t="str">
        <f t="shared" si="43"/>
        <v>NY Submit</v>
      </c>
      <c r="AX292" s="12"/>
      <c r="AY292" s="12"/>
      <c r="AZ292" s="12"/>
      <c r="BA292" s="12"/>
      <c r="BB292" s="12"/>
      <c r="BC292" s="12"/>
      <c r="BD292" s="11" t="str">
        <f t="shared" si="44"/>
        <v>NY Submit</v>
      </c>
      <c r="BE292" s="174" t="s">
        <v>4152</v>
      </c>
      <c r="BF292" s="12">
        <v>46202</v>
      </c>
      <c r="BG292" s="12">
        <v>46203</v>
      </c>
      <c r="BH292" s="12" t="s">
        <v>4153</v>
      </c>
      <c r="BI292" s="12">
        <v>46202</v>
      </c>
      <c r="BJ292" s="12">
        <v>46205</v>
      </c>
      <c r="BK292" s="174" t="s">
        <v>4154</v>
      </c>
      <c r="BL292" s="12" t="str">
        <f t="shared" si="45"/>
        <v>Approved</v>
      </c>
      <c r="BM292" s="12" t="str">
        <f t="shared" si="46"/>
        <v>Approved</v>
      </c>
      <c r="BN292" s="12"/>
      <c r="BO292" s="12"/>
      <c r="BP292" s="155" t="s">
        <v>1760</v>
      </c>
      <c r="BQ292" s="12" t="s">
        <v>3106</v>
      </c>
      <c r="BR292" s="12"/>
      <c r="BS292" s="143">
        <f t="shared" ca="1" si="47"/>
        <v>0</v>
      </c>
      <c r="BT292" s="176"/>
      <c r="BU292" s="12"/>
      <c r="BV292" s="143">
        <f t="shared" ca="1" si="48"/>
        <v>0</v>
      </c>
      <c r="BW292" s="12"/>
      <c r="BX292" s="12"/>
      <c r="BY292" s="143"/>
      <c r="BZ292" s="13"/>
      <c r="CA292" s="13"/>
      <c r="CB292" s="13"/>
      <c r="CC292" s="13"/>
      <c r="CD292" s="13"/>
      <c r="CE292" s="198"/>
      <c r="CF292" s="198"/>
      <c r="CG292" s="272"/>
      <c r="CH292" s="272"/>
      <c r="CI292" s="198"/>
      <c r="CJ292" s="198"/>
      <c r="CK292" s="198"/>
      <c r="CL292" s="198"/>
    </row>
    <row r="293" spans="1:90">
      <c r="A293" s="186">
        <v>288</v>
      </c>
      <c r="B293" s="190" t="s">
        <v>2486</v>
      </c>
      <c r="C293" s="190" t="s">
        <v>2487</v>
      </c>
      <c r="D293" s="190" t="s">
        <v>135</v>
      </c>
      <c r="E293" s="8" t="e">
        <f ca="1">+_xlfn.CONCAT(G293,"-",B293,"_",C293,"_",_xlfn.XLOOKUP(BP293,Account!M:M,Account!N:N))</f>
        <v>#NAME?</v>
      </c>
      <c r="F293" s="12">
        <v>45896</v>
      </c>
      <c r="G293" s="190" t="s">
        <v>2345</v>
      </c>
      <c r="H293" s="190" t="s">
        <v>4147</v>
      </c>
      <c r="I293" s="10" t="s">
        <v>2346</v>
      </c>
      <c r="J293" s="190">
        <v>11</v>
      </c>
      <c r="K293" s="190" t="s">
        <v>2486</v>
      </c>
      <c r="L293" s="190" t="s">
        <v>1263</v>
      </c>
      <c r="M293" s="190" t="s">
        <v>4148</v>
      </c>
      <c r="N293" s="10" t="s">
        <v>4149</v>
      </c>
      <c r="O293" s="178" t="s">
        <v>4150</v>
      </c>
      <c r="P293" s="178" t="s">
        <v>4151</v>
      </c>
      <c r="Q293" s="327">
        <v>6828.5249999999996</v>
      </c>
      <c r="R293" s="190">
        <v>52</v>
      </c>
      <c r="S293" s="190" t="s">
        <v>2840</v>
      </c>
      <c r="T293" s="190" t="s">
        <v>2494</v>
      </c>
      <c r="U293" s="190" t="s">
        <v>3330</v>
      </c>
      <c r="V293" s="8" t="s">
        <v>2011</v>
      </c>
      <c r="W293" s="10" t="s">
        <v>3687</v>
      </c>
      <c r="X293" s="15" t="s">
        <v>3688</v>
      </c>
      <c r="Y293" s="172" t="s">
        <v>2432</v>
      </c>
      <c r="Z293" s="172">
        <v>46162</v>
      </c>
      <c r="AA293" s="172">
        <v>46168</v>
      </c>
      <c r="AB293" s="143" t="str">
        <f t="shared" ca="1" si="42"/>
        <v>Expired</v>
      </c>
      <c r="AC293" s="13"/>
      <c r="AD293" s="12">
        <v>46163</v>
      </c>
      <c r="AE293" s="12">
        <v>46199</v>
      </c>
      <c r="AF293" s="12">
        <v>45794</v>
      </c>
      <c r="AG293" s="12"/>
      <c r="AH293" s="11"/>
      <c r="AI293" s="11"/>
      <c r="AJ293" s="11"/>
      <c r="AK293" s="11"/>
      <c r="AL293" s="11"/>
      <c r="AM293" s="11"/>
      <c r="AN293" s="11"/>
      <c r="AO293" s="11" t="str">
        <f>+IF(AM293&lt;&gt;"","ATP App MS",IF(AJ293&lt;&gt;"","Inbound",IF(AH293&lt;&gt;"","Dismantle Perangkat",IF(AF293="Drop","Drop",IF(AE293&lt;&gt;"","Survey Report",IF(AD293&lt;&gt;"","Survey","NY Survey"))))))</f>
        <v>Survey Report</v>
      </c>
      <c r="AP293" s="173"/>
      <c r="AQ293" s="12"/>
      <c r="AR293" s="12"/>
      <c r="AS293" s="12"/>
      <c r="AT293" s="12"/>
      <c r="AU293" s="12"/>
      <c r="AV293" s="12"/>
      <c r="AW293" s="11" t="str">
        <f t="shared" si="43"/>
        <v>NY Submit</v>
      </c>
      <c r="AX293" s="12"/>
      <c r="AY293" s="12"/>
      <c r="AZ293" s="12"/>
      <c r="BA293" s="12"/>
      <c r="BB293" s="12"/>
      <c r="BC293" s="12"/>
      <c r="BD293" s="11" t="str">
        <f t="shared" si="44"/>
        <v>NY Submit</v>
      </c>
      <c r="BE293" s="174"/>
      <c r="BF293" s="12"/>
      <c r="BG293" s="12"/>
      <c r="BH293" s="12"/>
      <c r="BI293" s="12"/>
      <c r="BJ293" s="12"/>
      <c r="BK293" s="174"/>
      <c r="BL293" s="12" t="str">
        <f t="shared" si="45"/>
        <v>NY Submit</v>
      </c>
      <c r="BM293" s="12" t="str">
        <f t="shared" si="46"/>
        <v>NY Submit</v>
      </c>
      <c r="BN293" s="12"/>
      <c r="BO293" s="12"/>
      <c r="BP293" s="155" t="s">
        <v>2011</v>
      </c>
      <c r="BQ293" s="12" t="s">
        <v>3106</v>
      </c>
      <c r="BR293" s="12"/>
      <c r="BS293" s="143">
        <f t="shared" ca="1" si="47"/>
        <v>0</v>
      </c>
      <c r="BT293" s="176"/>
      <c r="BU293" s="12"/>
      <c r="BV293" s="143">
        <f t="shared" ca="1" si="48"/>
        <v>0</v>
      </c>
      <c r="BW293" s="12"/>
      <c r="BX293" s="12"/>
      <c r="BY293" s="143"/>
      <c r="BZ293" s="13"/>
      <c r="CA293" s="13"/>
      <c r="CB293" s="13"/>
      <c r="CC293" s="13"/>
      <c r="CD293" s="13"/>
      <c r="CE293" s="198"/>
      <c r="CF293" s="198"/>
      <c r="CG293" s="272"/>
      <c r="CH293" s="272"/>
      <c r="CI293" s="198"/>
      <c r="CJ293" s="198"/>
      <c r="CK293" s="198"/>
      <c r="CL293" s="198"/>
    </row>
    <row r="294" spans="1:90">
      <c r="A294" s="186">
        <v>289</v>
      </c>
      <c r="B294" s="190" t="s">
        <v>2486</v>
      </c>
      <c r="C294" s="190" t="s">
        <v>2487</v>
      </c>
      <c r="D294" s="190" t="s">
        <v>135</v>
      </c>
      <c r="E294" s="8" t="e">
        <f ca="1">+_xlfn.CONCAT(G294,"-",B294,"_",C294,"_",_xlfn.XLOOKUP(BP294,Account!M:M,Account!N:N))</f>
        <v>#NAME?</v>
      </c>
      <c r="F294" s="12">
        <v>45896</v>
      </c>
      <c r="G294" s="190" t="s">
        <v>2345</v>
      </c>
      <c r="H294" s="190" t="s">
        <v>4147</v>
      </c>
      <c r="I294" s="10" t="s">
        <v>2346</v>
      </c>
      <c r="J294" s="190">
        <v>11</v>
      </c>
      <c r="K294" s="190" t="s">
        <v>2486</v>
      </c>
      <c r="L294" s="190" t="s">
        <v>1263</v>
      </c>
      <c r="M294" s="190" t="s">
        <v>4148</v>
      </c>
      <c r="N294" s="10" t="s">
        <v>4149</v>
      </c>
      <c r="O294" s="178" t="s">
        <v>4150</v>
      </c>
      <c r="P294" s="178" t="s">
        <v>4151</v>
      </c>
      <c r="Q294" s="327">
        <v>6828.5249999999996</v>
      </c>
      <c r="R294" s="190">
        <v>52</v>
      </c>
      <c r="S294" s="190" t="s">
        <v>2840</v>
      </c>
      <c r="T294" s="190" t="s">
        <v>2494</v>
      </c>
      <c r="U294" s="190" t="s">
        <v>3330</v>
      </c>
      <c r="V294" s="8" t="s">
        <v>1768</v>
      </c>
      <c r="W294" s="10" t="s">
        <v>3687</v>
      </c>
      <c r="X294" s="15" t="s">
        <v>3688</v>
      </c>
      <c r="Y294" s="172" t="s">
        <v>2432</v>
      </c>
      <c r="Z294" s="172">
        <v>46162</v>
      </c>
      <c r="AA294" s="172">
        <v>46168</v>
      </c>
      <c r="AB294" s="143" t="str">
        <f t="shared" ca="1" si="42"/>
        <v>Expired</v>
      </c>
      <c r="AC294" s="13"/>
      <c r="AD294" s="12">
        <v>46163</v>
      </c>
      <c r="AE294" s="12">
        <v>46199</v>
      </c>
      <c r="AF294" s="12">
        <v>45794</v>
      </c>
      <c r="AG294" s="12"/>
      <c r="AH294" s="11"/>
      <c r="AI294" s="11"/>
      <c r="AJ294" s="11"/>
      <c r="AK294" s="11"/>
      <c r="AL294" s="11"/>
      <c r="AM294" s="11"/>
      <c r="AN294" s="11"/>
      <c r="AO294" s="11" t="str">
        <f>+IF(AM294&lt;&gt;"","ATP App MS",IF(AL294&lt;&gt;"","OA/RFS",IF(AK294&lt;&gt;"","Install",IF(AH294&lt;&gt;"","Dismantle Perangkat",IF(AF294="Drop","Drop",IF(AE294&lt;&gt;"","Survey Report",IF(AD294&lt;&gt;"","Survey","NY Survey")))))))</f>
        <v>Survey Report</v>
      </c>
      <c r="AP294" s="173"/>
      <c r="AQ294" s="12"/>
      <c r="AR294" s="12"/>
      <c r="AS294" s="12"/>
      <c r="AT294" s="12"/>
      <c r="AU294" s="12"/>
      <c r="AV294" s="12"/>
      <c r="AW294" s="11" t="str">
        <f t="shared" si="43"/>
        <v>NY Submit</v>
      </c>
      <c r="AX294" s="12"/>
      <c r="AY294" s="12"/>
      <c r="AZ294" s="12"/>
      <c r="BA294" s="12"/>
      <c r="BB294" s="12"/>
      <c r="BC294" s="12"/>
      <c r="BD294" s="11" t="str">
        <f t="shared" si="44"/>
        <v>NY Submit</v>
      </c>
      <c r="BE294" s="174"/>
      <c r="BF294" s="12"/>
      <c r="BG294" s="12"/>
      <c r="BH294" s="12"/>
      <c r="BI294" s="12"/>
      <c r="BJ294" s="12"/>
      <c r="BK294" s="174"/>
      <c r="BL294" s="12" t="str">
        <f t="shared" si="45"/>
        <v>NY Submit</v>
      </c>
      <c r="BM294" s="12" t="str">
        <f t="shared" si="46"/>
        <v>NY Submit</v>
      </c>
      <c r="BN294" s="12"/>
      <c r="BO294" s="12"/>
      <c r="BP294" s="155" t="s">
        <v>1768</v>
      </c>
      <c r="BQ294" s="12" t="s">
        <v>3106</v>
      </c>
      <c r="BR294" s="12"/>
      <c r="BS294" s="143">
        <f t="shared" ca="1" si="47"/>
        <v>0</v>
      </c>
      <c r="BT294" s="176"/>
      <c r="BU294" s="12"/>
      <c r="BV294" s="143">
        <f t="shared" ca="1" si="48"/>
        <v>0</v>
      </c>
      <c r="BW294" s="12"/>
      <c r="BX294" s="12"/>
      <c r="BY294" s="143"/>
      <c r="BZ294" s="13"/>
      <c r="CA294" s="13"/>
      <c r="CB294" s="13"/>
      <c r="CC294" s="13"/>
      <c r="CD294" s="13"/>
      <c r="CE294" s="198"/>
      <c r="CF294" s="198"/>
      <c r="CG294" s="272"/>
      <c r="CH294" s="272"/>
      <c r="CI294" s="198"/>
      <c r="CJ294" s="198"/>
      <c r="CK294" s="198"/>
      <c r="CL294" s="198"/>
    </row>
    <row r="295" spans="1:90">
      <c r="A295" s="186">
        <v>290</v>
      </c>
      <c r="B295" s="190" t="s">
        <v>2486</v>
      </c>
      <c r="C295" s="190" t="s">
        <v>2487</v>
      </c>
      <c r="D295" s="190" t="s">
        <v>135</v>
      </c>
      <c r="E295" s="8" t="e">
        <f ca="1">+_xlfn.CONCAT(G295,"-",B295,"_",C295,"_",_xlfn.XLOOKUP(BP295,Account!M:M,Account!N:N))</f>
        <v>#NAME?</v>
      </c>
      <c r="F295" s="12">
        <v>46063</v>
      </c>
      <c r="G295" s="190" t="s">
        <v>4155</v>
      </c>
      <c r="H295" s="190" t="s">
        <v>4156</v>
      </c>
      <c r="I295" s="10" t="s">
        <v>4157</v>
      </c>
      <c r="J295" s="190">
        <v>11</v>
      </c>
      <c r="K295" s="190" t="s">
        <v>2038</v>
      </c>
      <c r="L295" s="190" t="s">
        <v>2855</v>
      </c>
      <c r="M295" s="190" t="s">
        <v>4158</v>
      </c>
      <c r="N295" s="10" t="s">
        <v>4159</v>
      </c>
      <c r="O295" s="178" t="s">
        <v>4160</v>
      </c>
      <c r="P295" s="178" t="s">
        <v>4161</v>
      </c>
      <c r="Q295" s="327">
        <v>1643.7594999999999</v>
      </c>
      <c r="R295" s="190">
        <v>12</v>
      </c>
      <c r="S295" s="190"/>
      <c r="T295" s="190" t="s">
        <v>2518</v>
      </c>
      <c r="U295" s="190" t="s">
        <v>2565</v>
      </c>
      <c r="V295" s="8" t="s">
        <v>1760</v>
      </c>
      <c r="W295" s="10"/>
      <c r="X295" s="9"/>
      <c r="Y295" s="172"/>
      <c r="Z295" s="172"/>
      <c r="AA295" s="172"/>
      <c r="AB295" s="143" t="str">
        <f t="shared" ca="1" si="42"/>
        <v>NY Submit</v>
      </c>
      <c r="AC295" s="13"/>
      <c r="AD295" s="12">
        <v>46130</v>
      </c>
      <c r="AE295" s="12">
        <v>46130</v>
      </c>
      <c r="AF295" s="12">
        <v>46356</v>
      </c>
      <c r="AG295" s="12"/>
      <c r="AH295" s="11"/>
      <c r="AI295" s="11"/>
      <c r="AJ295" s="11"/>
      <c r="AK295" s="11"/>
      <c r="AL295" s="11"/>
      <c r="AM295" s="11"/>
      <c r="AN295" s="11"/>
      <c r="AO295" s="11" t="str">
        <f>+IF(AN295&lt;&gt;"","BAST",IF(AI295&lt;&gt;"","Dismantle",IF(AG295&lt;&gt;"","RFD App",IF(AF295="Drop","Drop",IF(AE295&lt;&gt;"","Survey Report",IF(AD295&lt;&gt;"","Survey","NY Survey"))))))</f>
        <v>Survey Report</v>
      </c>
      <c r="AP295" s="173"/>
      <c r="AQ295" s="12">
        <v>46154</v>
      </c>
      <c r="AR295" s="12">
        <v>46196</v>
      </c>
      <c r="AS295" s="12">
        <v>46155</v>
      </c>
      <c r="AT295" s="12"/>
      <c r="AU295" s="12">
        <v>46196</v>
      </c>
      <c r="AV295" s="12"/>
      <c r="AW295" s="11" t="str">
        <f t="shared" si="43"/>
        <v>Upload 1st BOQ &amp; BAN Isaac</v>
      </c>
      <c r="AX295" s="12"/>
      <c r="AY295" s="12"/>
      <c r="AZ295" s="12"/>
      <c r="BA295" s="12"/>
      <c r="BB295" s="12"/>
      <c r="BC295" s="12"/>
      <c r="BD295" s="11" t="str">
        <f t="shared" si="44"/>
        <v>NY Submit</v>
      </c>
      <c r="BE295" s="174"/>
      <c r="BF295" s="12">
        <v>46181</v>
      </c>
      <c r="BG295" s="12">
        <v>46183</v>
      </c>
      <c r="BH295" s="12" t="s">
        <v>4162</v>
      </c>
      <c r="BI295" s="12">
        <v>46181</v>
      </c>
      <c r="BJ295" s="12">
        <v>46191</v>
      </c>
      <c r="BK295" s="174" t="s">
        <v>4163</v>
      </c>
      <c r="BL295" s="12" t="str">
        <f t="shared" si="45"/>
        <v>Approved</v>
      </c>
      <c r="BM295" s="12" t="str">
        <f t="shared" si="46"/>
        <v>Approved</v>
      </c>
      <c r="BN295" s="12"/>
      <c r="BO295" s="12"/>
      <c r="BP295" s="155" t="s">
        <v>1760</v>
      </c>
      <c r="BQ295" s="12" t="s">
        <v>3106</v>
      </c>
      <c r="BR295" s="12"/>
      <c r="BS295" s="143">
        <f t="shared" ref="BS295:BS326" ca="1" si="49">IF(AO295="Drop",
"Drop",
IF(ISBLANK(AV295),
0,
IF(ISBLANK(BR295),
DATEDIF(AV295,TODAY(),"d"),
DATEDIF(AV295,BR295,"d")
)
)
)</f>
        <v>0</v>
      </c>
      <c r="BT295" s="176"/>
      <c r="BU295" s="12"/>
      <c r="BV295" s="143">
        <f t="shared" ref="BV295:BV326" ca="1" si="50">IF(AO295="Drop",
"Drop",
IF(ISBLANK(BC295),
0,
IF(ISBLANK(BU295),
DATEDIF(BC295,TODAY(),"d"),
DATEDIF(BC295,BU295,"d")
)
)
)</f>
        <v>0</v>
      </c>
      <c r="BW295" s="12"/>
      <c r="BX295" s="12"/>
      <c r="BY295" s="143"/>
      <c r="BZ295" s="13"/>
      <c r="CA295" s="13"/>
      <c r="CB295" s="13"/>
      <c r="CC295" s="13"/>
      <c r="CD295" s="13"/>
      <c r="CE295" s="198"/>
      <c r="CF295" s="198"/>
      <c r="CG295" s="272"/>
      <c r="CH295" s="272"/>
      <c r="CI295" s="198"/>
      <c r="CJ295" s="198"/>
      <c r="CK295" s="198"/>
      <c r="CL295" s="198"/>
    </row>
    <row r="296" spans="1:90">
      <c r="A296" s="187">
        <v>291</v>
      </c>
      <c r="B296" s="190" t="s">
        <v>2486</v>
      </c>
      <c r="C296" s="190" t="s">
        <v>2487</v>
      </c>
      <c r="D296" s="190" t="s">
        <v>135</v>
      </c>
      <c r="E296" s="8" t="e">
        <f ca="1">+_xlfn.CONCAT(G296,"-",B296,"_",C296,"_",_xlfn.XLOOKUP(BP296,Account!M:M,Account!N:N))</f>
        <v>#NAME?</v>
      </c>
      <c r="F296" s="12">
        <v>46063</v>
      </c>
      <c r="G296" s="157" t="s">
        <v>4164</v>
      </c>
      <c r="H296" s="190" t="s">
        <v>4165</v>
      </c>
      <c r="I296" s="10" t="s">
        <v>4166</v>
      </c>
      <c r="J296" s="190">
        <v>16</v>
      </c>
      <c r="K296" s="190" t="s">
        <v>2486</v>
      </c>
      <c r="L296" s="190" t="s">
        <v>1230</v>
      </c>
      <c r="M296" s="190" t="s">
        <v>4167</v>
      </c>
      <c r="N296" s="10" t="s">
        <v>4168</v>
      </c>
      <c r="O296" s="178" t="s">
        <v>4169</v>
      </c>
      <c r="P296" s="178" t="s">
        <v>4170</v>
      </c>
      <c r="Q296" s="327">
        <v>1879.32</v>
      </c>
      <c r="R296" s="190">
        <v>15</v>
      </c>
      <c r="S296" s="190"/>
      <c r="T296" s="190" t="s">
        <v>2518</v>
      </c>
      <c r="U296" s="190" t="s">
        <v>2565</v>
      </c>
      <c r="V296" s="8" t="s">
        <v>1760</v>
      </c>
      <c r="W296" s="10"/>
      <c r="X296" s="9"/>
      <c r="Y296" s="172"/>
      <c r="Z296" s="172"/>
      <c r="AA296" s="172"/>
      <c r="AB296" s="143" t="str">
        <f t="shared" ca="1" si="42"/>
        <v>NY Submit</v>
      </c>
      <c r="AC296" s="13"/>
      <c r="AD296" s="12">
        <v>46073</v>
      </c>
      <c r="AE296" s="12">
        <v>46069</v>
      </c>
      <c r="AF296" s="12">
        <v>46797</v>
      </c>
      <c r="AG296" s="12"/>
      <c r="AH296" s="11"/>
      <c r="AI296" s="11"/>
      <c r="AJ296" s="11"/>
      <c r="AK296" s="11"/>
      <c r="AL296" s="11"/>
      <c r="AM296" s="11"/>
      <c r="AN296" s="11"/>
      <c r="AO296" s="11" t="str">
        <f>+IF(AN296&lt;&gt;"","BAST",IF(AI296&lt;&gt;"","Dismantle",IF(AG296&lt;&gt;"","RFD App",IF(AF296="Drop","Drop",IF(AE296&lt;&gt;"","Survey Report",IF(AD296&lt;&gt;"","Survey","NY Survey"))))))</f>
        <v>Survey Report</v>
      </c>
      <c r="AP296" s="173" t="s">
        <v>3905</v>
      </c>
      <c r="AQ296" s="12">
        <v>46134</v>
      </c>
      <c r="AR296" s="12">
        <v>46135</v>
      </c>
      <c r="AS296" s="12"/>
      <c r="AT296" s="12"/>
      <c r="AU296" s="12">
        <v>46135</v>
      </c>
      <c r="AV296" s="12">
        <v>46139</v>
      </c>
      <c r="AW296" s="11" t="str">
        <f t="shared" si="43"/>
        <v>1st BOQ App on ISAAC</v>
      </c>
      <c r="AX296" s="12"/>
      <c r="AY296" s="12"/>
      <c r="AZ296" s="12"/>
      <c r="BA296" s="12"/>
      <c r="BB296" s="12"/>
      <c r="BC296" s="12"/>
      <c r="BD296" s="11" t="str">
        <f t="shared" si="44"/>
        <v>NY Submit</v>
      </c>
      <c r="BE296" s="174"/>
      <c r="BF296" s="12">
        <v>46125</v>
      </c>
      <c r="BG296" s="12">
        <v>46126</v>
      </c>
      <c r="BH296" s="12" t="s">
        <v>4171</v>
      </c>
      <c r="BI296" s="12">
        <v>46123</v>
      </c>
      <c r="BJ296" s="12">
        <v>46126</v>
      </c>
      <c r="BK296" s="174" t="s">
        <v>4172</v>
      </c>
      <c r="BL296" s="12" t="str">
        <f t="shared" si="45"/>
        <v>Approved</v>
      </c>
      <c r="BM296" s="12" t="str">
        <f t="shared" si="46"/>
        <v>Approved</v>
      </c>
      <c r="BN296" s="12"/>
      <c r="BO296" s="12"/>
      <c r="BP296" s="155" t="s">
        <v>1760</v>
      </c>
      <c r="BQ296" s="12" t="s">
        <v>4173</v>
      </c>
      <c r="BR296" s="12">
        <v>46149</v>
      </c>
      <c r="BS296" s="143">
        <f t="shared" ca="1" si="49"/>
        <v>10</v>
      </c>
      <c r="BT296" s="176"/>
      <c r="BU296" s="12"/>
      <c r="BV296" s="143">
        <f t="shared" ca="1" si="50"/>
        <v>0</v>
      </c>
      <c r="BW296" s="12"/>
      <c r="BX296" s="12"/>
      <c r="BY296" s="143"/>
      <c r="BZ296" s="13" t="s">
        <v>2500</v>
      </c>
      <c r="CA296" s="13"/>
      <c r="CB296" s="13"/>
      <c r="CC296" s="13"/>
      <c r="CD296" s="13"/>
      <c r="CE296" s="198"/>
      <c r="CF296" s="198"/>
      <c r="CG296" s="272"/>
      <c r="CH296" s="272"/>
      <c r="CI296" s="198"/>
      <c r="CJ296" s="198"/>
      <c r="CK296" s="198"/>
      <c r="CL296" s="198"/>
    </row>
    <row r="297" spans="1:90">
      <c r="A297" s="187">
        <v>292</v>
      </c>
      <c r="B297" s="190" t="s">
        <v>2486</v>
      </c>
      <c r="C297" s="190" t="s">
        <v>2487</v>
      </c>
      <c r="D297" s="190" t="s">
        <v>135</v>
      </c>
      <c r="E297" s="8" t="e">
        <f ca="1">+_xlfn.CONCAT(G297,"-",B297,"_",C297,"_",_xlfn.XLOOKUP(BP297,Account!M:M,Account!N:N))</f>
        <v>#NAME?</v>
      </c>
      <c r="F297" s="12">
        <v>46073</v>
      </c>
      <c r="G297" s="157" t="s">
        <v>4174</v>
      </c>
      <c r="H297" s="190" t="s">
        <v>4175</v>
      </c>
      <c r="I297" s="10" t="s">
        <v>4176</v>
      </c>
      <c r="J297" s="190">
        <v>20</v>
      </c>
      <c r="K297" s="190" t="s">
        <v>2038</v>
      </c>
      <c r="L297" s="190" t="s">
        <v>4177</v>
      </c>
      <c r="M297" s="190" t="s">
        <v>4178</v>
      </c>
      <c r="N297" s="10" t="s">
        <v>4179</v>
      </c>
      <c r="O297" s="178" t="s">
        <v>4180</v>
      </c>
      <c r="P297" s="178" t="s">
        <v>4181</v>
      </c>
      <c r="Q297" s="327">
        <v>5549.8950000000004</v>
      </c>
      <c r="R297" s="190">
        <v>30</v>
      </c>
      <c r="S297" s="190"/>
      <c r="T297" s="190" t="s">
        <v>2494</v>
      </c>
      <c r="U297" s="190" t="s">
        <v>2495</v>
      </c>
      <c r="V297" s="8" t="s">
        <v>1760</v>
      </c>
      <c r="W297" s="10"/>
      <c r="X297" s="9"/>
      <c r="Y297" s="172" t="s">
        <v>2496</v>
      </c>
      <c r="Z297" s="172">
        <v>46091</v>
      </c>
      <c r="AA297" s="172">
        <v>46097</v>
      </c>
      <c r="AB297" s="143" t="str">
        <f t="shared" ca="1" si="42"/>
        <v>Expired</v>
      </c>
      <c r="AC297" s="13"/>
      <c r="AD297" s="12">
        <v>46079</v>
      </c>
      <c r="AE297" s="12">
        <v>46079</v>
      </c>
      <c r="AF297" s="12"/>
      <c r="AG297" s="12"/>
      <c r="AH297" s="11"/>
      <c r="AI297" s="11">
        <v>46113</v>
      </c>
      <c r="AJ297" s="11"/>
      <c r="AK297" s="11"/>
      <c r="AL297" s="11"/>
      <c r="AM297" s="11">
        <v>46126</v>
      </c>
      <c r="AN297" s="11">
        <v>46126</v>
      </c>
      <c r="AO297" s="11" t="str">
        <f>+IF(AN297&lt;&gt;"","BAST",IF(AI297&lt;&gt;"","Dismantle",IF(AG297&lt;&gt;"","RFD App",IF(AF297="Drop","Drop",IF(AE297&lt;&gt;"","Survey Report",IF(AD297&lt;&gt;"","Survey","NY Survey"))))))</f>
        <v>BAST</v>
      </c>
      <c r="AP297" s="173" t="s">
        <v>4182</v>
      </c>
      <c r="AQ297" s="12">
        <v>46083</v>
      </c>
      <c r="AR297" s="12">
        <v>46084</v>
      </c>
      <c r="AS297" s="12">
        <v>46085</v>
      </c>
      <c r="AT297" s="12"/>
      <c r="AU297" s="12">
        <v>46085</v>
      </c>
      <c r="AV297" s="12">
        <v>46086</v>
      </c>
      <c r="AW297" s="11" t="str">
        <f t="shared" si="43"/>
        <v>1st BOQ App on ISAAC</v>
      </c>
      <c r="AX297" s="12"/>
      <c r="AY297" s="12"/>
      <c r="AZ297" s="12"/>
      <c r="BA297" s="12"/>
      <c r="BB297" s="12"/>
      <c r="BC297" s="12"/>
      <c r="BD297" s="11" t="str">
        <f t="shared" si="44"/>
        <v>NY Submit</v>
      </c>
      <c r="BE297" s="174"/>
      <c r="BF297" s="12">
        <v>46083</v>
      </c>
      <c r="BG297" s="12">
        <v>46086</v>
      </c>
      <c r="BH297" s="12" t="s">
        <v>4183</v>
      </c>
      <c r="BI297" s="12">
        <v>46083</v>
      </c>
      <c r="BJ297" s="12">
        <v>46084</v>
      </c>
      <c r="BK297" s="174" t="s">
        <v>4184</v>
      </c>
      <c r="BL297" s="12" t="str">
        <f t="shared" si="45"/>
        <v>Approved</v>
      </c>
      <c r="BM297" s="12" t="str">
        <f t="shared" si="46"/>
        <v>Approved</v>
      </c>
      <c r="BN297" s="12">
        <v>46126</v>
      </c>
      <c r="BO297" s="12">
        <v>46127</v>
      </c>
      <c r="BP297" s="155" t="s">
        <v>1760</v>
      </c>
      <c r="BQ297" s="12" t="s">
        <v>4185</v>
      </c>
      <c r="BR297" s="12">
        <v>46097</v>
      </c>
      <c r="BS297" s="143">
        <f t="shared" ca="1" si="49"/>
        <v>11</v>
      </c>
      <c r="BT297" s="176"/>
      <c r="BU297" s="12"/>
      <c r="BV297" s="143">
        <f t="shared" ca="1" si="50"/>
        <v>0</v>
      </c>
      <c r="BW297" s="12"/>
      <c r="BX297" s="12"/>
      <c r="BY297" s="143"/>
      <c r="BZ297" s="13" t="s">
        <v>2500</v>
      </c>
      <c r="CA297" s="13"/>
      <c r="CB297" s="13"/>
      <c r="CC297" s="13"/>
      <c r="CD297" s="13"/>
      <c r="CE297" s="198"/>
      <c r="CF297" s="198"/>
      <c r="CG297" s="272"/>
      <c r="CH297" s="272"/>
      <c r="CI297" s="198"/>
      <c r="CJ297" s="198"/>
      <c r="CK297" s="198"/>
      <c r="CL297" s="198"/>
    </row>
    <row r="298" spans="1:90">
      <c r="A298" s="187">
        <v>293</v>
      </c>
      <c r="B298" s="190" t="s">
        <v>2486</v>
      </c>
      <c r="C298" s="190" t="s">
        <v>2487</v>
      </c>
      <c r="D298" s="190" t="s">
        <v>135</v>
      </c>
      <c r="E298" s="8" t="e">
        <f ca="1">+_xlfn.CONCAT(G298,"-",B298,"_",C298,"_",_xlfn.XLOOKUP(BP298,Account!M:M,Account!N:N))</f>
        <v>#NAME?</v>
      </c>
      <c r="F298" s="12">
        <v>46073</v>
      </c>
      <c r="G298" s="157" t="s">
        <v>4174</v>
      </c>
      <c r="H298" s="190" t="s">
        <v>4175</v>
      </c>
      <c r="I298" s="10" t="s">
        <v>4176</v>
      </c>
      <c r="J298" s="190">
        <v>20</v>
      </c>
      <c r="K298" s="190" t="s">
        <v>2038</v>
      </c>
      <c r="L298" s="190" t="s">
        <v>4177</v>
      </c>
      <c r="M298" s="190" t="s">
        <v>4178</v>
      </c>
      <c r="N298" s="10" t="s">
        <v>4179</v>
      </c>
      <c r="O298" s="178" t="s">
        <v>4180</v>
      </c>
      <c r="P298" s="178" t="s">
        <v>4181</v>
      </c>
      <c r="Q298" s="327">
        <v>5549.8950000000004</v>
      </c>
      <c r="R298" s="190">
        <v>30</v>
      </c>
      <c r="S298" s="190"/>
      <c r="T298" s="190" t="s">
        <v>2494</v>
      </c>
      <c r="U298" s="190" t="s">
        <v>2495</v>
      </c>
      <c r="V298" s="8" t="s">
        <v>2011</v>
      </c>
      <c r="W298" s="10"/>
      <c r="X298" s="9"/>
      <c r="Y298" s="172" t="s">
        <v>2496</v>
      </c>
      <c r="Z298" s="172">
        <v>46091</v>
      </c>
      <c r="AA298" s="172">
        <v>46097</v>
      </c>
      <c r="AB298" s="143" t="str">
        <f t="shared" ca="1" si="42"/>
        <v>Expired</v>
      </c>
      <c r="AC298" s="13"/>
      <c r="AD298" s="12">
        <v>46079</v>
      </c>
      <c r="AE298" s="12">
        <v>46079</v>
      </c>
      <c r="AF298" s="12" t="s">
        <v>3628</v>
      </c>
      <c r="AG298" s="12"/>
      <c r="AH298" s="11"/>
      <c r="AI298" s="11"/>
      <c r="AJ298" s="11"/>
      <c r="AK298" s="11"/>
      <c r="AL298" s="11"/>
      <c r="AM298" s="11"/>
      <c r="AN298" s="11"/>
      <c r="AO298" s="11" t="str">
        <f>+IF(AM298&lt;&gt;"","ATP App MS",IF(AJ298&lt;&gt;"","Inbound",IF(AH298&lt;&gt;"","Dismantle Perangkat",IF(AF298="Drop","Drop",IF(AE298&lt;&gt;"","Survey Report",IF(AD298&lt;&gt;"","Survey","NY Survey"))))))</f>
        <v>Drop</v>
      </c>
      <c r="AP298" s="173"/>
      <c r="AQ298" s="12">
        <v>46083</v>
      </c>
      <c r="AR298" s="12">
        <v>46084</v>
      </c>
      <c r="AS298" s="12">
        <v>46085</v>
      </c>
      <c r="AT298" s="12"/>
      <c r="AU298" s="12">
        <v>46085</v>
      </c>
      <c r="AV298" s="12">
        <v>46086</v>
      </c>
      <c r="AW298" s="11" t="str">
        <f t="shared" si="43"/>
        <v>1st BOQ App on ISAAC</v>
      </c>
      <c r="AX298" s="12"/>
      <c r="AY298" s="12"/>
      <c r="AZ298" s="12"/>
      <c r="BA298" s="12"/>
      <c r="BB298" s="12"/>
      <c r="BC298" s="12"/>
      <c r="BD298" s="11" t="str">
        <f t="shared" si="44"/>
        <v>NY Submit</v>
      </c>
      <c r="BE298" s="174"/>
      <c r="BF298" s="12">
        <v>46083</v>
      </c>
      <c r="BG298" s="12"/>
      <c r="BH298" s="12"/>
      <c r="BI298" s="12">
        <v>46083</v>
      </c>
      <c r="BJ298" s="12"/>
      <c r="BK298" s="174"/>
      <c r="BL298" s="12" t="str">
        <f t="shared" si="45"/>
        <v>Submit</v>
      </c>
      <c r="BM298" s="12" t="str">
        <f t="shared" si="46"/>
        <v>Submit</v>
      </c>
      <c r="BN298" s="12"/>
      <c r="BO298" s="12"/>
      <c r="BP298" s="155" t="s">
        <v>2011</v>
      </c>
      <c r="BQ298" s="12" t="s">
        <v>2968</v>
      </c>
      <c r="BR298" s="12">
        <v>46097</v>
      </c>
      <c r="BS298" s="143" t="str">
        <f t="shared" ca="1" si="49"/>
        <v>Drop</v>
      </c>
      <c r="BT298" s="176"/>
      <c r="BU298" s="12"/>
      <c r="BV298" s="143" t="str">
        <f t="shared" ca="1" si="50"/>
        <v>Drop</v>
      </c>
      <c r="BW298" s="12"/>
      <c r="BX298" s="12"/>
      <c r="BY298" s="143"/>
      <c r="BZ298" s="13" t="s">
        <v>4186</v>
      </c>
      <c r="CA298" s="13"/>
      <c r="CB298" s="13"/>
      <c r="CC298" s="13"/>
      <c r="CD298" s="13"/>
      <c r="CE298" s="198"/>
      <c r="CF298" s="198"/>
      <c r="CG298" s="272"/>
      <c r="CH298" s="272"/>
      <c r="CI298" s="198"/>
      <c r="CJ298" s="198"/>
      <c r="CK298" s="198"/>
      <c r="CL298" s="198"/>
    </row>
    <row r="299" spans="1:90">
      <c r="A299" s="187">
        <v>294</v>
      </c>
      <c r="B299" s="190" t="s">
        <v>2486</v>
      </c>
      <c r="C299" s="190" t="s">
        <v>2487</v>
      </c>
      <c r="D299" s="190" t="s">
        <v>135</v>
      </c>
      <c r="E299" s="8" t="e">
        <f ca="1">+_xlfn.CONCAT(G299,"-",B299,"_",C299,"_",_xlfn.XLOOKUP(BP299,Account!M:M,Account!N:N))</f>
        <v>#NAME?</v>
      </c>
      <c r="F299" s="12">
        <v>46087</v>
      </c>
      <c r="G299" s="190" t="s">
        <v>4187</v>
      </c>
      <c r="H299" s="190" t="s">
        <v>4188</v>
      </c>
      <c r="I299" s="10" t="s">
        <v>4189</v>
      </c>
      <c r="J299" s="190">
        <v>15</v>
      </c>
      <c r="K299" s="190" t="s">
        <v>2486</v>
      </c>
      <c r="L299" s="190" t="s">
        <v>1279</v>
      </c>
      <c r="M299" s="190" t="s">
        <v>2805</v>
      </c>
      <c r="N299" s="10" t="s">
        <v>4190</v>
      </c>
      <c r="O299" s="178" t="s">
        <v>4191</v>
      </c>
      <c r="P299" s="178" t="s">
        <v>4192</v>
      </c>
      <c r="Q299" s="327">
        <v>14004.405000000001</v>
      </c>
      <c r="R299" s="190">
        <v>62</v>
      </c>
      <c r="S299" s="190" t="s">
        <v>404</v>
      </c>
      <c r="T299" s="190" t="s">
        <v>2494</v>
      </c>
      <c r="U299" s="190" t="s">
        <v>2495</v>
      </c>
      <c r="V299" s="8" t="s">
        <v>1760</v>
      </c>
      <c r="W299" s="10"/>
      <c r="X299" s="9"/>
      <c r="Y299" s="172"/>
      <c r="Z299" s="172"/>
      <c r="AA299" s="172"/>
      <c r="AB299" s="143" t="str">
        <f t="shared" ca="1" si="42"/>
        <v>NY Submit</v>
      </c>
      <c r="AC299" s="13" t="s">
        <v>4193</v>
      </c>
      <c r="AD299" s="12">
        <v>46091</v>
      </c>
      <c r="AE299" s="12"/>
      <c r="AF299" s="12"/>
      <c r="AG299" s="12"/>
      <c r="AH299" s="11"/>
      <c r="AI299" s="11">
        <v>46095</v>
      </c>
      <c r="AJ299" s="11"/>
      <c r="AK299" s="11"/>
      <c r="AL299" s="11"/>
      <c r="AM299" s="11"/>
      <c r="AN299" s="11"/>
      <c r="AO299" s="11" t="str">
        <f>+IF(AN299&lt;&gt;"","BAST",IF(AI299&lt;&gt;"","Dismantle",IF(AG299&lt;&gt;"","RFD App",IF(AF299="Drop","Drop",IF(AE299&lt;&gt;"","Survey Report",IF(AD299&lt;&gt;"","Survey","NY Survey"))))))</f>
        <v>Dismantle</v>
      </c>
      <c r="AP299" s="173" t="s">
        <v>4194</v>
      </c>
      <c r="AQ299" s="12">
        <v>46114</v>
      </c>
      <c r="AR299" s="12">
        <v>46118</v>
      </c>
      <c r="AS299" s="12">
        <v>46119</v>
      </c>
      <c r="AT299" s="12"/>
      <c r="AU299" s="12"/>
      <c r="AV299" s="12"/>
      <c r="AW299" s="11" t="str">
        <f t="shared" si="43"/>
        <v>1st BOQ Pass TI</v>
      </c>
      <c r="AX299" s="12"/>
      <c r="AY299" s="12"/>
      <c r="AZ299" s="12"/>
      <c r="BA299" s="12"/>
      <c r="BB299" s="12"/>
      <c r="BC299" s="12"/>
      <c r="BD299" s="11" t="str">
        <f t="shared" si="44"/>
        <v>NY Submit</v>
      </c>
      <c r="BE299" s="174"/>
      <c r="BF299" s="12">
        <v>46091</v>
      </c>
      <c r="BG299" s="12">
        <v>46091</v>
      </c>
      <c r="BH299" s="12" t="s">
        <v>4195</v>
      </c>
      <c r="BI299" s="12">
        <v>46091</v>
      </c>
      <c r="BJ299" s="12">
        <v>46091</v>
      </c>
      <c r="BK299" s="174" t="s">
        <v>4196</v>
      </c>
      <c r="BL299" s="12" t="str">
        <f t="shared" si="45"/>
        <v>Approved</v>
      </c>
      <c r="BM299" s="12" t="str">
        <f t="shared" si="46"/>
        <v>Approved</v>
      </c>
      <c r="BN299" s="12"/>
      <c r="BO299" s="12"/>
      <c r="BP299" s="155" t="s">
        <v>1760</v>
      </c>
      <c r="BQ299" s="12" t="s">
        <v>4197</v>
      </c>
      <c r="BR299" s="12">
        <v>46140</v>
      </c>
      <c r="BS299" s="143">
        <f t="shared" ca="1" si="49"/>
        <v>0</v>
      </c>
      <c r="BT299" s="176"/>
      <c r="BU299" s="12"/>
      <c r="BV299" s="143">
        <f t="shared" ca="1" si="50"/>
        <v>0</v>
      </c>
      <c r="BW299" s="12"/>
      <c r="BX299" s="12"/>
      <c r="BY299" s="143"/>
      <c r="BZ299" s="13" t="s">
        <v>2500</v>
      </c>
      <c r="CA299" s="13"/>
      <c r="CB299" s="13"/>
      <c r="CC299" s="13"/>
      <c r="CD299" s="13"/>
      <c r="CE299" s="198"/>
      <c r="CF299" s="198"/>
      <c r="CG299" s="272"/>
      <c r="CH299" s="272"/>
      <c r="CI299" s="198"/>
      <c r="CJ299" s="198"/>
      <c r="CK299" s="198"/>
      <c r="CL299" s="198"/>
    </row>
    <row r="300" spans="1:90">
      <c r="A300" s="186">
        <v>295</v>
      </c>
      <c r="B300" s="190" t="s">
        <v>2486</v>
      </c>
      <c r="C300" s="190" t="s">
        <v>2487</v>
      </c>
      <c r="D300" s="190" t="s">
        <v>135</v>
      </c>
      <c r="E300" s="8" t="e">
        <f ca="1">+_xlfn.CONCAT(G300,"-",B300,"_",C300,"_",_xlfn.XLOOKUP(BP300,Account!M:M,Account!N:N))</f>
        <v>#NAME?</v>
      </c>
      <c r="F300" s="12">
        <v>46090</v>
      </c>
      <c r="G300" s="190" t="s">
        <v>4198</v>
      </c>
      <c r="H300" s="190" t="s">
        <v>4199</v>
      </c>
      <c r="I300" s="10" t="s">
        <v>4200</v>
      </c>
      <c r="J300" s="190">
        <v>15</v>
      </c>
      <c r="K300" s="190" t="s">
        <v>2038</v>
      </c>
      <c r="L300" s="190" t="s">
        <v>1279</v>
      </c>
      <c r="M300" s="190" t="s">
        <v>4201</v>
      </c>
      <c r="N300" s="10" t="s">
        <v>4202</v>
      </c>
      <c r="O300" s="178" t="s">
        <v>4203</v>
      </c>
      <c r="P300" s="178" t="s">
        <v>4204</v>
      </c>
      <c r="Q300" s="327">
        <v>13632.5</v>
      </c>
      <c r="R300" s="190">
        <v>62</v>
      </c>
      <c r="S300" s="190"/>
      <c r="T300" s="190" t="s">
        <v>2494</v>
      </c>
      <c r="U300" s="190" t="s">
        <v>2495</v>
      </c>
      <c r="V300" s="8" t="s">
        <v>4205</v>
      </c>
      <c r="W300" s="10"/>
      <c r="X300" s="9"/>
      <c r="Y300" s="172" t="s">
        <v>4206</v>
      </c>
      <c r="Z300" s="172">
        <v>46095</v>
      </c>
      <c r="AA300" s="172">
        <v>46098</v>
      </c>
      <c r="AB300" s="143" t="str">
        <f t="shared" ca="1" si="42"/>
        <v>Expired</v>
      </c>
      <c r="AC300" s="13"/>
      <c r="AD300" s="12">
        <v>46097</v>
      </c>
      <c r="AE300" s="12">
        <v>46098</v>
      </c>
      <c r="AF300" s="12"/>
      <c r="AG300" s="12"/>
      <c r="AH300" s="11"/>
      <c r="AI300" s="11"/>
      <c r="AJ300" s="11"/>
      <c r="AK300" s="11"/>
      <c r="AL300" s="11"/>
      <c r="AM300" s="11"/>
      <c r="AN300" s="11"/>
      <c r="AO300" s="11" t="str">
        <f>+IF(AN300&lt;&gt;"","BAST",IF(AI300&lt;&gt;"","Dismantle",IF(AG300&lt;&gt;"","RFD App",IF(AF300="Drop","Drop",IF(AE300&lt;&gt;"","Survey Report",IF(AD300&lt;&gt;"","Survey","NY Survey"))))))</f>
        <v>Survey Report</v>
      </c>
      <c r="AP300" s="173"/>
      <c r="AQ300" s="12"/>
      <c r="AR300" s="12"/>
      <c r="AS300" s="12"/>
      <c r="AT300" s="12"/>
      <c r="AU300" s="12"/>
      <c r="AV300" s="12"/>
      <c r="AW300" s="11" t="str">
        <f t="shared" si="43"/>
        <v>NY Submit</v>
      </c>
      <c r="AX300" s="12"/>
      <c r="AY300" s="12"/>
      <c r="AZ300" s="12"/>
      <c r="BA300" s="12"/>
      <c r="BB300" s="12"/>
      <c r="BC300" s="12"/>
      <c r="BD300" s="11" t="str">
        <f t="shared" si="44"/>
        <v>NY Submit</v>
      </c>
      <c r="BE300" s="174" t="s">
        <v>4207</v>
      </c>
      <c r="BF300" s="12"/>
      <c r="BG300" s="12"/>
      <c r="BH300" s="12"/>
      <c r="BI300" s="12"/>
      <c r="BJ300" s="12"/>
      <c r="BK300" s="174"/>
      <c r="BL300" s="12" t="str">
        <f t="shared" si="45"/>
        <v>NY Submit</v>
      </c>
      <c r="BM300" s="12" t="str">
        <f t="shared" si="46"/>
        <v>NY Submit</v>
      </c>
      <c r="BN300" s="12"/>
      <c r="BO300" s="12"/>
      <c r="BP300" s="155" t="s">
        <v>1760</v>
      </c>
      <c r="BQ300" s="12" t="s">
        <v>3106</v>
      </c>
      <c r="BR300" s="12"/>
      <c r="BS300" s="143">
        <f t="shared" ca="1" si="49"/>
        <v>0</v>
      </c>
      <c r="BT300" s="176"/>
      <c r="BU300" s="12"/>
      <c r="BV300" s="143">
        <f t="shared" ca="1" si="50"/>
        <v>0</v>
      </c>
      <c r="BW300" s="12"/>
      <c r="BX300" s="12"/>
      <c r="BY300" s="143"/>
      <c r="BZ300" s="13"/>
      <c r="CA300" s="13"/>
      <c r="CB300" s="13"/>
      <c r="CC300" s="13"/>
      <c r="CD300" s="13"/>
      <c r="CE300" s="198"/>
      <c r="CF300" s="198"/>
      <c r="CG300" s="272"/>
      <c r="CH300" s="272"/>
      <c r="CI300" s="198"/>
      <c r="CJ300" s="198"/>
      <c r="CK300" s="198"/>
      <c r="CL300" s="198"/>
    </row>
    <row r="301" spans="1:90">
      <c r="A301" s="186">
        <v>296</v>
      </c>
      <c r="B301" s="190" t="s">
        <v>2486</v>
      </c>
      <c r="C301" s="190" t="s">
        <v>2487</v>
      </c>
      <c r="D301" s="190" t="s">
        <v>135</v>
      </c>
      <c r="E301" s="8" t="e">
        <f ca="1">+_xlfn.CONCAT(G301,"-",B301,"_",C301,"_",_xlfn.XLOOKUP(BP301,Account!M:M,Account!N:N))</f>
        <v>#NAME?</v>
      </c>
      <c r="F301" s="12">
        <v>46090</v>
      </c>
      <c r="G301" s="190" t="s">
        <v>4198</v>
      </c>
      <c r="H301" s="190" t="s">
        <v>4199</v>
      </c>
      <c r="I301" s="10" t="s">
        <v>4200</v>
      </c>
      <c r="J301" s="190">
        <v>15</v>
      </c>
      <c r="K301" s="190" t="s">
        <v>2038</v>
      </c>
      <c r="L301" s="190" t="s">
        <v>1279</v>
      </c>
      <c r="M301" s="190" t="s">
        <v>4201</v>
      </c>
      <c r="N301" s="10" t="s">
        <v>4202</v>
      </c>
      <c r="O301" s="178" t="s">
        <v>4203</v>
      </c>
      <c r="P301" s="178" t="s">
        <v>4204</v>
      </c>
      <c r="Q301" s="327">
        <v>13632.5</v>
      </c>
      <c r="R301" s="190">
        <v>62</v>
      </c>
      <c r="S301" s="190"/>
      <c r="T301" s="190" t="s">
        <v>2494</v>
      </c>
      <c r="U301" s="190" t="s">
        <v>2495</v>
      </c>
      <c r="V301" s="8" t="s">
        <v>4208</v>
      </c>
      <c r="W301" s="10"/>
      <c r="X301" s="9"/>
      <c r="Y301" s="172" t="s">
        <v>4206</v>
      </c>
      <c r="Z301" s="172">
        <v>46095</v>
      </c>
      <c r="AA301" s="172">
        <v>46098</v>
      </c>
      <c r="AB301" s="143" t="str">
        <f t="shared" ca="1" si="42"/>
        <v>Expired</v>
      </c>
      <c r="AC301" s="13"/>
      <c r="AD301" s="12">
        <v>46097</v>
      </c>
      <c r="AE301" s="12">
        <v>46098</v>
      </c>
      <c r="AF301" s="12"/>
      <c r="AG301" s="12"/>
      <c r="AH301" s="11"/>
      <c r="AI301" s="11"/>
      <c r="AJ301" s="11"/>
      <c r="AK301" s="11"/>
      <c r="AL301" s="11"/>
      <c r="AM301" s="11"/>
      <c r="AN301" s="11"/>
      <c r="AO301" s="11" t="str">
        <f>+IF(AM301&lt;&gt;"","ATP App MS",IF(AL301&lt;&gt;"","OA/RFS",IF(AK301&lt;&gt;"","Install",IF(AH301&lt;&gt;"","Dismantle Perangkat",IF(AF301="Drop","Drop",IF(AE301&lt;&gt;"","Survey Report",IF(AD301&lt;&gt;"","Survey","NY Survey")))))))</f>
        <v>Survey Report</v>
      </c>
      <c r="AP301" s="173"/>
      <c r="AQ301" s="12"/>
      <c r="AR301" s="12"/>
      <c r="AS301" s="12"/>
      <c r="AT301" s="12"/>
      <c r="AU301" s="12"/>
      <c r="AV301" s="12"/>
      <c r="AW301" s="11" t="str">
        <f t="shared" si="43"/>
        <v>NY Submit</v>
      </c>
      <c r="AX301" s="12"/>
      <c r="AY301" s="12"/>
      <c r="AZ301" s="12"/>
      <c r="BA301" s="12"/>
      <c r="BB301" s="12"/>
      <c r="BC301" s="12"/>
      <c r="BD301" s="11" t="str">
        <f t="shared" si="44"/>
        <v>NY Submit</v>
      </c>
      <c r="BE301" s="174" t="s">
        <v>4207</v>
      </c>
      <c r="BF301" s="12"/>
      <c r="BG301" s="12"/>
      <c r="BH301" s="12"/>
      <c r="BI301" s="12"/>
      <c r="BJ301" s="12"/>
      <c r="BK301" s="174"/>
      <c r="BL301" s="12" t="str">
        <f t="shared" si="45"/>
        <v>NY Submit</v>
      </c>
      <c r="BM301" s="12" t="str">
        <f t="shared" si="46"/>
        <v>NY Submit</v>
      </c>
      <c r="BN301" s="12"/>
      <c r="BO301" s="12"/>
      <c r="BP301" s="155" t="s">
        <v>1768</v>
      </c>
      <c r="BQ301" s="12" t="s">
        <v>3106</v>
      </c>
      <c r="BR301" s="12"/>
      <c r="BS301" s="143">
        <f t="shared" ca="1" si="49"/>
        <v>0</v>
      </c>
      <c r="BT301" s="176"/>
      <c r="BU301" s="12"/>
      <c r="BV301" s="143">
        <f t="shared" ca="1" si="50"/>
        <v>0</v>
      </c>
      <c r="BW301" s="12"/>
      <c r="BX301" s="12"/>
      <c r="BY301" s="143"/>
      <c r="BZ301" s="13"/>
      <c r="CA301" s="13"/>
      <c r="CB301" s="13"/>
      <c r="CC301" s="13"/>
      <c r="CD301" s="13"/>
      <c r="CE301" s="198"/>
      <c r="CF301" s="198"/>
      <c r="CG301" s="272"/>
      <c r="CH301" s="272"/>
      <c r="CI301" s="198"/>
      <c r="CJ301" s="198"/>
      <c r="CK301" s="198"/>
      <c r="CL301" s="198"/>
    </row>
    <row r="302" spans="1:90" ht="30" customHeight="1">
      <c r="A302" s="187">
        <v>297</v>
      </c>
      <c r="B302" s="190" t="s">
        <v>2486</v>
      </c>
      <c r="C302" s="190" t="s">
        <v>2487</v>
      </c>
      <c r="D302" s="190" t="s">
        <v>135</v>
      </c>
      <c r="E302" s="8" t="e">
        <f ca="1">+_xlfn.CONCAT(G302,"-",B302,"_",C302,"_",_xlfn.XLOOKUP(BP302,Account!M:M,Account!N:N))</f>
        <v>#NAME?</v>
      </c>
      <c r="F302" s="12"/>
      <c r="G302" s="190" t="s">
        <v>1898</v>
      </c>
      <c r="H302" s="190" t="s">
        <v>4209</v>
      </c>
      <c r="I302" s="10" t="s">
        <v>1899</v>
      </c>
      <c r="J302" s="190">
        <v>15</v>
      </c>
      <c r="K302" s="190" t="s">
        <v>2486</v>
      </c>
      <c r="L302" s="190" t="s">
        <v>1279</v>
      </c>
      <c r="M302" s="190" t="s">
        <v>2884</v>
      </c>
      <c r="N302" s="10"/>
      <c r="O302" s="178" t="s">
        <v>4210</v>
      </c>
      <c r="P302" s="178" t="s">
        <v>4211</v>
      </c>
      <c r="Q302" s="327"/>
      <c r="R302" s="190"/>
      <c r="S302" s="190" t="s">
        <v>4212</v>
      </c>
      <c r="T302" s="190" t="s">
        <v>2494</v>
      </c>
      <c r="U302" s="190" t="s">
        <v>3932</v>
      </c>
      <c r="V302" s="8" t="s">
        <v>4213</v>
      </c>
      <c r="W302" s="10"/>
      <c r="X302" s="9"/>
      <c r="Y302" s="172"/>
      <c r="Z302" s="172"/>
      <c r="AA302" s="172"/>
      <c r="AB302" s="143" t="str">
        <f t="shared" ca="1" si="42"/>
        <v>NY Submit</v>
      </c>
      <c r="AC302" s="13"/>
      <c r="AD302" s="12">
        <v>46091</v>
      </c>
      <c r="AE302" s="12">
        <v>46091</v>
      </c>
      <c r="AF302" s="12"/>
      <c r="AG302" s="12"/>
      <c r="AH302" s="11">
        <v>46119</v>
      </c>
      <c r="AI302" s="11"/>
      <c r="AJ302" s="11"/>
      <c r="AK302" s="11"/>
      <c r="AL302" s="11"/>
      <c r="AM302" s="11"/>
      <c r="AN302" s="11"/>
      <c r="AO302" s="11" t="str">
        <f>+IF(AM302&lt;&gt;"","ATP App MS",IF(AJ302&lt;&gt;"","Inbound",IF(AH302&lt;&gt;"","Dismantle Perangkat",IF(AF302="Drop","Drop",IF(AE302&lt;&gt;"","Survey Report",IF(AD302&lt;&gt;"","Survey","NY Survey"))))))</f>
        <v>Dismantle Perangkat</v>
      </c>
      <c r="AP302" s="185" t="s">
        <v>4214</v>
      </c>
      <c r="AQ302" s="12">
        <v>46091</v>
      </c>
      <c r="AR302" s="12">
        <v>46092</v>
      </c>
      <c r="AS302" s="12" t="s">
        <v>3207</v>
      </c>
      <c r="AT302" s="12">
        <v>46118</v>
      </c>
      <c r="AU302" s="12">
        <v>46092</v>
      </c>
      <c r="AV302" s="12">
        <v>46092</v>
      </c>
      <c r="AW302" s="11" t="str">
        <f t="shared" si="43"/>
        <v>1st BOQ App on ISAAC</v>
      </c>
      <c r="AX302" s="12"/>
      <c r="AY302" s="12"/>
      <c r="AZ302" s="12"/>
      <c r="BA302" s="12"/>
      <c r="BB302" s="12"/>
      <c r="BC302" s="12"/>
      <c r="BD302" s="11" t="str">
        <f t="shared" si="44"/>
        <v>NY Submit</v>
      </c>
      <c r="BE302" s="174" t="s">
        <v>4215</v>
      </c>
      <c r="BF302" s="12"/>
      <c r="BG302" s="12"/>
      <c r="BH302" s="12"/>
      <c r="BI302" s="12"/>
      <c r="BJ302" s="12"/>
      <c r="BK302" s="174"/>
      <c r="BL302" s="12" t="str">
        <f t="shared" si="45"/>
        <v>NY Submit</v>
      </c>
      <c r="BM302" s="12" t="str">
        <f t="shared" si="46"/>
        <v>NY Submit</v>
      </c>
      <c r="BN302" s="12">
        <v>46177</v>
      </c>
      <c r="BO302" s="12">
        <v>46177</v>
      </c>
      <c r="BP302" s="155" t="s">
        <v>2011</v>
      </c>
      <c r="BQ302" s="12" t="s">
        <v>2718</v>
      </c>
      <c r="BR302" s="12">
        <v>46114</v>
      </c>
      <c r="BS302" s="143">
        <f t="shared" ca="1" si="49"/>
        <v>22</v>
      </c>
      <c r="BT302" s="176"/>
      <c r="BU302" s="12"/>
      <c r="BV302" s="143">
        <f t="shared" ca="1" si="50"/>
        <v>0</v>
      </c>
      <c r="BW302" s="12"/>
      <c r="BX302" s="12"/>
      <c r="BY302" s="143"/>
      <c r="BZ302" s="13"/>
      <c r="CA302" s="13"/>
      <c r="CB302" s="13"/>
      <c r="CC302" s="13"/>
      <c r="CD302" s="13"/>
      <c r="CE302" s="198" t="s">
        <v>4216</v>
      </c>
      <c r="CF302" s="198" t="s">
        <v>4217</v>
      </c>
      <c r="CG302" s="272"/>
      <c r="CH302" s="272"/>
      <c r="CI302" s="198"/>
      <c r="CJ302" s="198"/>
      <c r="CK302" s="198" t="s">
        <v>4218</v>
      </c>
      <c r="CL302" s="198"/>
    </row>
    <row r="303" spans="1:90" ht="30" customHeight="1">
      <c r="A303" s="181">
        <v>298</v>
      </c>
      <c r="B303" s="190" t="s">
        <v>2486</v>
      </c>
      <c r="C303" s="190" t="s">
        <v>2487</v>
      </c>
      <c r="D303" s="190" t="s">
        <v>135</v>
      </c>
      <c r="E303" s="8" t="e">
        <f ca="1">+_xlfn.CONCAT(G303,"-",B303,"_",C303,"_",_xlfn.XLOOKUP(BP303,Account!M:M,Account!N:N))</f>
        <v>#NAME?</v>
      </c>
      <c r="F303" s="12"/>
      <c r="G303" s="190" t="s">
        <v>1898</v>
      </c>
      <c r="H303" s="190" t="s">
        <v>4209</v>
      </c>
      <c r="I303" s="10" t="s">
        <v>1899</v>
      </c>
      <c r="J303" s="190">
        <v>15</v>
      </c>
      <c r="K303" s="190" t="s">
        <v>2486</v>
      </c>
      <c r="L303" s="190" t="s">
        <v>1279</v>
      </c>
      <c r="M303" s="190" t="s">
        <v>2884</v>
      </c>
      <c r="N303" s="10"/>
      <c r="O303" s="178" t="s">
        <v>4210</v>
      </c>
      <c r="P303" s="178" t="s">
        <v>4211</v>
      </c>
      <c r="Q303" s="327"/>
      <c r="R303" s="190"/>
      <c r="S303" s="190" t="s">
        <v>4212</v>
      </c>
      <c r="T303" s="190" t="s">
        <v>2494</v>
      </c>
      <c r="U303" s="190" t="s">
        <v>3932</v>
      </c>
      <c r="V303" s="8" t="s">
        <v>3933</v>
      </c>
      <c r="W303" s="10"/>
      <c r="X303" s="9"/>
      <c r="Y303" s="172"/>
      <c r="Z303" s="172"/>
      <c r="AA303" s="172"/>
      <c r="AB303" s="143" t="str">
        <f t="shared" ca="1" si="42"/>
        <v>NY Submit</v>
      </c>
      <c r="AC303" s="13"/>
      <c r="AD303" s="12">
        <v>46091</v>
      </c>
      <c r="AE303" s="12">
        <v>46091</v>
      </c>
      <c r="AF303" s="12"/>
      <c r="AG303" s="12"/>
      <c r="AH303" s="11"/>
      <c r="AI303" s="11"/>
      <c r="AJ303" s="11"/>
      <c r="AK303" s="11">
        <v>46121</v>
      </c>
      <c r="AL303" s="11">
        <v>46121</v>
      </c>
      <c r="AM303" s="11">
        <v>46126</v>
      </c>
      <c r="AN303" s="11">
        <v>46126</v>
      </c>
      <c r="AO303" s="11" t="str">
        <f>+IF(AM303&lt;&gt;"","ATP App MS",IF(AL303&lt;&gt;"","OA/RFS",IF(AK303&lt;&gt;"","Install",IF(AH303&lt;&gt;"","Dismantle Perangkat",IF(AF303="Drop","Drop",IF(AE303&lt;&gt;"","Survey Report",IF(AD303&lt;&gt;"","Survey","NY Survey")))))))</f>
        <v>ATP App MS</v>
      </c>
      <c r="AP303" s="185" t="s">
        <v>4219</v>
      </c>
      <c r="AQ303" s="12">
        <v>46091</v>
      </c>
      <c r="AR303" s="12">
        <v>46092</v>
      </c>
      <c r="AS303" s="12" t="s">
        <v>3207</v>
      </c>
      <c r="AT303" s="12">
        <v>46118</v>
      </c>
      <c r="AU303" s="12">
        <v>46092</v>
      </c>
      <c r="AV303" s="12">
        <v>46092</v>
      </c>
      <c r="AW303" s="11" t="str">
        <f t="shared" si="43"/>
        <v>1st BOQ App on ISAAC</v>
      </c>
      <c r="AX303" s="12">
        <v>46176</v>
      </c>
      <c r="AY303" s="12"/>
      <c r="AZ303" s="12"/>
      <c r="BA303" s="12">
        <v>46227</v>
      </c>
      <c r="BB303" s="12"/>
      <c r="BC303" s="12"/>
      <c r="BD303" s="11" t="str">
        <f t="shared" si="44"/>
        <v>BAN App</v>
      </c>
      <c r="BE303" s="174" t="s">
        <v>4215</v>
      </c>
      <c r="BF303" s="12"/>
      <c r="BG303" s="12"/>
      <c r="BH303" s="12"/>
      <c r="BI303" s="12"/>
      <c r="BJ303" s="12"/>
      <c r="BK303" s="174"/>
      <c r="BL303" s="12" t="str">
        <f t="shared" si="45"/>
        <v>NY Submit</v>
      </c>
      <c r="BM303" s="12" t="str">
        <f t="shared" si="46"/>
        <v>NY Submit</v>
      </c>
      <c r="BN303" s="12">
        <v>46177</v>
      </c>
      <c r="BO303" s="12">
        <v>46177</v>
      </c>
      <c r="BP303" s="155" t="s">
        <v>1768</v>
      </c>
      <c r="BQ303" s="12" t="s">
        <v>4220</v>
      </c>
      <c r="BR303" s="12">
        <v>46114</v>
      </c>
      <c r="BS303" s="143">
        <f t="shared" ca="1" si="49"/>
        <v>22</v>
      </c>
      <c r="BT303" s="176" t="s">
        <v>3106</v>
      </c>
      <c r="BU303" s="12"/>
      <c r="BV303" s="143">
        <f t="shared" ca="1" si="50"/>
        <v>0</v>
      </c>
      <c r="BW303" s="12"/>
      <c r="BX303" s="12"/>
      <c r="BY303" s="143"/>
      <c r="BZ303" s="13" t="s">
        <v>3809</v>
      </c>
      <c r="CA303" s="13" t="s">
        <v>2555</v>
      </c>
      <c r="CB303" s="13"/>
      <c r="CC303" s="13"/>
      <c r="CD303" s="13"/>
      <c r="CE303" s="198" t="s">
        <v>4221</v>
      </c>
      <c r="CF303" s="198"/>
      <c r="CG303" s="272"/>
      <c r="CH303" s="272"/>
      <c r="CI303" s="198"/>
      <c r="CJ303" s="198"/>
      <c r="CK303" s="198" t="s">
        <v>4218</v>
      </c>
      <c r="CL303" s="198"/>
    </row>
    <row r="304" spans="1:90">
      <c r="A304" s="187">
        <v>299</v>
      </c>
      <c r="B304" s="190" t="s">
        <v>2486</v>
      </c>
      <c r="C304" s="190" t="s">
        <v>2487</v>
      </c>
      <c r="D304" s="190" t="s">
        <v>135</v>
      </c>
      <c r="E304" s="8" t="e">
        <f ca="1">+_xlfn.CONCAT(G304,"-",B304,"_",C304,"_",_xlfn.XLOOKUP(BP304,Account!M:M,Account!N:N))</f>
        <v>#NAME?</v>
      </c>
      <c r="F304" s="12">
        <v>46087</v>
      </c>
      <c r="G304" s="190" t="s">
        <v>4187</v>
      </c>
      <c r="H304" s="190" t="s">
        <v>4188</v>
      </c>
      <c r="I304" s="10" t="s">
        <v>4189</v>
      </c>
      <c r="J304" s="190">
        <v>15</v>
      </c>
      <c r="K304" s="190" t="s">
        <v>2486</v>
      </c>
      <c r="L304" s="190" t="s">
        <v>1279</v>
      </c>
      <c r="M304" s="190" t="s">
        <v>2805</v>
      </c>
      <c r="N304" s="10" t="s">
        <v>4190</v>
      </c>
      <c r="O304" s="178" t="s">
        <v>4191</v>
      </c>
      <c r="P304" s="178" t="s">
        <v>4192</v>
      </c>
      <c r="Q304" s="327">
        <v>14004.405000000001</v>
      </c>
      <c r="R304" s="190">
        <v>62</v>
      </c>
      <c r="S304" s="190" t="s">
        <v>404</v>
      </c>
      <c r="T304" s="190" t="s">
        <v>2494</v>
      </c>
      <c r="U304" s="190" t="s">
        <v>2495</v>
      </c>
      <c r="V304" s="8" t="s">
        <v>2011</v>
      </c>
      <c r="W304" s="10"/>
      <c r="X304" s="9"/>
      <c r="Y304" s="172"/>
      <c r="Z304" s="172"/>
      <c r="AA304" s="172"/>
      <c r="AB304" s="143" t="str">
        <f t="shared" ca="1" si="42"/>
        <v>NY Submit</v>
      </c>
      <c r="AC304" s="13"/>
      <c r="AD304" s="12">
        <v>46091</v>
      </c>
      <c r="AE304" s="12"/>
      <c r="AF304" s="12"/>
      <c r="AG304" s="12"/>
      <c r="AH304" s="11">
        <v>46089</v>
      </c>
      <c r="AI304" s="11"/>
      <c r="AJ304" s="11"/>
      <c r="AK304" s="11"/>
      <c r="AL304" s="11"/>
      <c r="AM304" s="11"/>
      <c r="AN304" s="11"/>
      <c r="AO304" s="11" t="str">
        <f>+IF(AM304&lt;&gt;"","ATP App MS",IF(AJ304&lt;&gt;"","Inbound",IF(AH304&lt;&gt;"","Dismantle Perangkat",IF(AF304="Drop","Drop",IF(AE304&lt;&gt;"","Survey Report",IF(AD304&lt;&gt;"","Survey","NY Survey"))))))</f>
        <v>Dismantle Perangkat</v>
      </c>
      <c r="AP304" s="173" t="s">
        <v>4222</v>
      </c>
      <c r="AQ304" s="12">
        <v>46114</v>
      </c>
      <c r="AR304" s="12">
        <v>46118</v>
      </c>
      <c r="AS304" s="12">
        <v>46119</v>
      </c>
      <c r="AT304" s="12"/>
      <c r="AU304" s="12"/>
      <c r="AV304" s="12"/>
      <c r="AW304" s="11" t="str">
        <f t="shared" si="43"/>
        <v>1st BOQ Pass TI</v>
      </c>
      <c r="AX304" s="12"/>
      <c r="AY304" s="12"/>
      <c r="AZ304" s="12"/>
      <c r="BA304" s="12"/>
      <c r="BB304" s="12"/>
      <c r="BC304" s="12"/>
      <c r="BD304" s="11" t="str">
        <f t="shared" si="44"/>
        <v>NY Submit</v>
      </c>
      <c r="BE304" s="174"/>
      <c r="BF304" s="12"/>
      <c r="BG304" s="12"/>
      <c r="BH304" s="12"/>
      <c r="BI304" s="12"/>
      <c r="BJ304" s="12"/>
      <c r="BK304" s="174"/>
      <c r="BL304" s="12" t="str">
        <f t="shared" si="45"/>
        <v>NY Submit</v>
      </c>
      <c r="BM304" s="12" t="str">
        <f t="shared" si="46"/>
        <v>NY Submit</v>
      </c>
      <c r="BN304" s="12"/>
      <c r="BO304" s="12"/>
      <c r="BP304" s="155" t="s">
        <v>2011</v>
      </c>
      <c r="BQ304" s="12" t="s">
        <v>2968</v>
      </c>
      <c r="BR304" s="12">
        <v>46140</v>
      </c>
      <c r="BS304" s="143">
        <f t="shared" ca="1" si="49"/>
        <v>0</v>
      </c>
      <c r="BT304" s="176"/>
      <c r="BU304" s="12"/>
      <c r="BV304" s="143">
        <f t="shared" ca="1" si="50"/>
        <v>0</v>
      </c>
      <c r="BW304" s="12"/>
      <c r="BX304" s="12"/>
      <c r="BY304" s="143"/>
      <c r="BZ304" s="13" t="s">
        <v>2500</v>
      </c>
      <c r="CA304" s="13"/>
      <c r="CB304" s="13"/>
      <c r="CC304" s="13"/>
      <c r="CD304" s="13"/>
      <c r="CE304" s="198"/>
      <c r="CF304" s="198"/>
      <c r="CG304" s="272"/>
      <c r="CH304" s="272"/>
      <c r="CI304" s="198"/>
      <c r="CJ304" s="198"/>
      <c r="CK304" s="198"/>
      <c r="CL304" s="198"/>
    </row>
    <row r="305" spans="1:90">
      <c r="A305" s="181">
        <v>300</v>
      </c>
      <c r="B305" s="190" t="s">
        <v>2486</v>
      </c>
      <c r="C305" s="190" t="s">
        <v>2487</v>
      </c>
      <c r="D305" s="190" t="s">
        <v>135</v>
      </c>
      <c r="E305" s="8" t="e">
        <f ca="1">+_xlfn.CONCAT(G305,"-",B305,"_",C305,"_",_xlfn.XLOOKUP(BP305,Account!M:M,Account!N:N))</f>
        <v>#NAME?</v>
      </c>
      <c r="F305" s="12">
        <v>46087</v>
      </c>
      <c r="G305" s="190" t="s">
        <v>4187</v>
      </c>
      <c r="H305" s="190" t="s">
        <v>4188</v>
      </c>
      <c r="I305" s="10" t="s">
        <v>4189</v>
      </c>
      <c r="J305" s="190">
        <v>15</v>
      </c>
      <c r="K305" s="190" t="s">
        <v>2486</v>
      </c>
      <c r="L305" s="190" t="s">
        <v>1279</v>
      </c>
      <c r="M305" s="190" t="s">
        <v>2805</v>
      </c>
      <c r="N305" s="10" t="s">
        <v>4190</v>
      </c>
      <c r="O305" s="178" t="s">
        <v>4191</v>
      </c>
      <c r="P305" s="178" t="s">
        <v>4192</v>
      </c>
      <c r="Q305" s="327">
        <v>14004.405000000001</v>
      </c>
      <c r="R305" s="190">
        <v>62</v>
      </c>
      <c r="S305" s="190" t="s">
        <v>404</v>
      </c>
      <c r="T305" s="190" t="s">
        <v>2494</v>
      </c>
      <c r="U305" s="190" t="s">
        <v>2495</v>
      </c>
      <c r="V305" s="8" t="s">
        <v>1768</v>
      </c>
      <c r="W305" s="10"/>
      <c r="X305" s="9"/>
      <c r="Y305" s="172"/>
      <c r="Z305" s="172"/>
      <c r="AA305" s="172"/>
      <c r="AB305" s="143" t="str">
        <f t="shared" ca="1" si="42"/>
        <v>NY Submit</v>
      </c>
      <c r="AC305" s="13"/>
      <c r="AD305" s="12">
        <v>46091</v>
      </c>
      <c r="AE305" s="12"/>
      <c r="AF305" s="12"/>
      <c r="AG305" s="12"/>
      <c r="AH305" s="11"/>
      <c r="AI305" s="11"/>
      <c r="AJ305" s="11"/>
      <c r="AK305" s="11">
        <v>46122</v>
      </c>
      <c r="AL305" s="11"/>
      <c r="AM305" s="11"/>
      <c r="AN305" s="11"/>
      <c r="AO305" s="11" t="str">
        <f>+IF(AM305&lt;&gt;"","ATP App MS",IF(AL305&lt;&gt;"","OA/RFS",IF(AK305&lt;&gt;"","Install",IF(AH305&lt;&gt;"","Dismantle Perangkat",IF(AF305="Drop","Drop",IF(AE305&lt;&gt;"","Survey Report",IF(AD305&lt;&gt;"","Survey","NY Survey")))))))</f>
        <v>Install</v>
      </c>
      <c r="AP305" s="173"/>
      <c r="AQ305" s="12">
        <v>46114</v>
      </c>
      <c r="AR305" s="12">
        <v>46118</v>
      </c>
      <c r="AS305" s="12">
        <v>46119</v>
      </c>
      <c r="AT305" s="12"/>
      <c r="AU305" s="12"/>
      <c r="AV305" s="12"/>
      <c r="AW305" s="11" t="str">
        <f t="shared" si="43"/>
        <v>1st BOQ Pass TI</v>
      </c>
      <c r="AX305" s="12"/>
      <c r="AY305" s="12"/>
      <c r="AZ305" s="12"/>
      <c r="BA305" s="12"/>
      <c r="BB305" s="12"/>
      <c r="BC305" s="12"/>
      <c r="BD305" s="11" t="str">
        <f t="shared" si="44"/>
        <v>NY Submit</v>
      </c>
      <c r="BE305" s="174"/>
      <c r="BF305" s="12"/>
      <c r="BG305" s="12"/>
      <c r="BH305" s="12"/>
      <c r="BI305" s="12"/>
      <c r="BJ305" s="12"/>
      <c r="BK305" s="174"/>
      <c r="BL305" s="12" t="str">
        <f t="shared" si="45"/>
        <v>NY Submit</v>
      </c>
      <c r="BM305" s="12" t="str">
        <f t="shared" si="46"/>
        <v>NY Submit</v>
      </c>
      <c r="BN305" s="12"/>
      <c r="BO305" s="12"/>
      <c r="BP305" s="155" t="s">
        <v>1768</v>
      </c>
      <c r="BQ305" s="12" t="s">
        <v>2968</v>
      </c>
      <c r="BR305" s="12">
        <v>46140</v>
      </c>
      <c r="BS305" s="143">
        <f t="shared" ca="1" si="49"/>
        <v>0</v>
      </c>
      <c r="BT305" s="176" t="s">
        <v>3106</v>
      </c>
      <c r="BU305" s="12"/>
      <c r="BV305" s="143">
        <f t="shared" ca="1" si="50"/>
        <v>0</v>
      </c>
      <c r="BW305" s="12"/>
      <c r="BX305" s="12"/>
      <c r="BY305" s="143"/>
      <c r="BZ305" s="13" t="s">
        <v>4223</v>
      </c>
      <c r="CA305" s="13"/>
      <c r="CB305" s="13"/>
      <c r="CC305" s="13"/>
      <c r="CD305" s="13"/>
      <c r="CE305" s="198"/>
      <c r="CF305" s="198"/>
      <c r="CG305" s="272"/>
      <c r="CH305" s="272"/>
      <c r="CI305" s="198"/>
      <c r="CJ305" s="198"/>
      <c r="CK305" s="198"/>
      <c r="CL305" s="198"/>
    </row>
    <row r="306" spans="1:90">
      <c r="A306" s="181">
        <v>301</v>
      </c>
      <c r="B306" s="190" t="s">
        <v>2486</v>
      </c>
      <c r="C306" s="190" t="s">
        <v>2487</v>
      </c>
      <c r="D306" s="190" t="s">
        <v>135</v>
      </c>
      <c r="E306" s="8" t="e">
        <f ca="1">+_xlfn.CONCAT(G306,"-",B306,"_",C306,"_",_xlfn.XLOOKUP(BP306,Account!M:M,Account!N:N))</f>
        <v>#NAME?</v>
      </c>
      <c r="F306" s="12">
        <v>46121</v>
      </c>
      <c r="G306" s="190" t="s">
        <v>1920</v>
      </c>
      <c r="H306" s="190"/>
      <c r="I306" s="10" t="s">
        <v>1921</v>
      </c>
      <c r="J306" s="190">
        <v>18</v>
      </c>
      <c r="K306" s="190" t="s">
        <v>2038</v>
      </c>
      <c r="L306" s="190" t="s">
        <v>1293</v>
      </c>
      <c r="M306" s="190" t="s">
        <v>2996</v>
      </c>
      <c r="N306" s="10" t="s">
        <v>4224</v>
      </c>
      <c r="O306" s="178" t="s">
        <v>4225</v>
      </c>
      <c r="P306" s="178" t="s">
        <v>4226</v>
      </c>
      <c r="Q306" s="327"/>
      <c r="R306" s="190"/>
      <c r="S306" s="190" t="s">
        <v>68</v>
      </c>
      <c r="T306" s="190" t="s">
        <v>2494</v>
      </c>
      <c r="U306" s="190" t="s">
        <v>2495</v>
      </c>
      <c r="V306" s="8" t="s">
        <v>4227</v>
      </c>
      <c r="W306" s="10"/>
      <c r="X306" s="9"/>
      <c r="Y306" s="172"/>
      <c r="Z306" s="172"/>
      <c r="AA306" s="172"/>
      <c r="AB306" s="143" t="str">
        <f t="shared" ca="1" si="42"/>
        <v>NY Submit</v>
      </c>
      <c r="AC306" s="13"/>
      <c r="AD306" s="12">
        <v>46205</v>
      </c>
      <c r="AE306" s="12">
        <v>46205</v>
      </c>
      <c r="AF306" s="12"/>
      <c r="AG306" s="12"/>
      <c r="AH306" s="11"/>
      <c r="AI306" s="11"/>
      <c r="AJ306" s="11"/>
      <c r="AK306" s="11">
        <v>46132</v>
      </c>
      <c r="AL306" s="11"/>
      <c r="AM306" s="11"/>
      <c r="AN306" s="11"/>
      <c r="AO306" s="11" t="str">
        <f>+IF(AM306&lt;&gt;"","ATP App MS",IF(AL306&lt;&gt;"","OA/RFS",IF(AK306&lt;&gt;"","Install",IF(AH306&lt;&gt;"","Dismantle Perangkat",IF(AF306="Drop","Drop",IF(AE306&lt;&gt;"","Survey Report",IF(AD306&lt;&gt;"","Survey","NY Survey")))))))</f>
        <v>Install</v>
      </c>
      <c r="AP306" s="173"/>
      <c r="AQ306" s="12">
        <v>46121</v>
      </c>
      <c r="AR306" s="12">
        <v>46126</v>
      </c>
      <c r="AS306" s="12" t="s">
        <v>4228</v>
      </c>
      <c r="AT306" s="12">
        <v>46147</v>
      </c>
      <c r="AU306" s="12">
        <v>46210</v>
      </c>
      <c r="AV306" s="12"/>
      <c r="AW306" s="11" t="str">
        <f t="shared" si="43"/>
        <v>Upload 1st BOQ &amp; BAN Isaac</v>
      </c>
      <c r="AX306" s="12"/>
      <c r="AY306" s="12"/>
      <c r="AZ306" s="12"/>
      <c r="BA306" s="12"/>
      <c r="BB306" s="12"/>
      <c r="BC306" s="12"/>
      <c r="BD306" s="11" t="str">
        <f t="shared" si="44"/>
        <v>NY Submit</v>
      </c>
      <c r="BE306" s="174" t="s">
        <v>3379</v>
      </c>
      <c r="BF306" s="12"/>
      <c r="BG306" s="12"/>
      <c r="BH306" s="12"/>
      <c r="BI306" s="12"/>
      <c r="BJ306" s="12"/>
      <c r="BK306" s="174"/>
      <c r="BL306" s="12" t="str">
        <f t="shared" si="45"/>
        <v>NY Submit</v>
      </c>
      <c r="BM306" s="12" t="str">
        <f t="shared" si="46"/>
        <v>NY Submit</v>
      </c>
      <c r="BN306" s="12"/>
      <c r="BO306" s="12"/>
      <c r="BP306" s="155" t="s">
        <v>1768</v>
      </c>
      <c r="BQ306" s="12" t="s">
        <v>3106</v>
      </c>
      <c r="BR306" s="12"/>
      <c r="BS306" s="143">
        <f t="shared" ca="1" si="49"/>
        <v>0</v>
      </c>
      <c r="BT306" s="176"/>
      <c r="BU306" s="12"/>
      <c r="BV306" s="143">
        <f t="shared" ca="1" si="50"/>
        <v>0</v>
      </c>
      <c r="BW306" s="12"/>
      <c r="BX306" s="12"/>
      <c r="BY306" s="143"/>
      <c r="BZ306" s="13" t="s">
        <v>4229</v>
      </c>
      <c r="CA306" s="13" t="s">
        <v>2555</v>
      </c>
      <c r="CB306" s="13"/>
      <c r="CC306" s="13"/>
      <c r="CD306" s="13"/>
      <c r="CE306" s="198"/>
      <c r="CF306" s="198"/>
      <c r="CG306" s="272"/>
      <c r="CH306" s="272"/>
      <c r="CI306" s="198"/>
      <c r="CJ306" s="198"/>
      <c r="CK306" s="198"/>
      <c r="CL306" s="198"/>
    </row>
    <row r="307" spans="1:90">
      <c r="A307" s="187">
        <v>302</v>
      </c>
      <c r="B307" s="190" t="s">
        <v>2486</v>
      </c>
      <c r="C307" s="190" t="s">
        <v>2487</v>
      </c>
      <c r="D307" s="190" t="s">
        <v>135</v>
      </c>
      <c r="E307" s="8" t="e">
        <f ca="1">+_xlfn.CONCAT(G307,"-",B307,"_",C307,"_",_xlfn.XLOOKUP(BP307,Account!M:M,Account!N:N))</f>
        <v>#NAME?</v>
      </c>
      <c r="F307" s="12">
        <v>46034</v>
      </c>
      <c r="G307" s="190" t="s">
        <v>3960</v>
      </c>
      <c r="H307" s="10"/>
      <c r="I307" s="10" t="s">
        <v>3962</v>
      </c>
      <c r="J307" s="190">
        <v>11</v>
      </c>
      <c r="K307" s="190" t="s">
        <v>2486</v>
      </c>
      <c r="L307" s="190" t="s">
        <v>1263</v>
      </c>
      <c r="M307" s="190" t="s">
        <v>2514</v>
      </c>
      <c r="N307" s="10"/>
      <c r="O307" s="178" t="s">
        <v>3963</v>
      </c>
      <c r="P307" s="178" t="s">
        <v>3964</v>
      </c>
      <c r="Q307" s="327">
        <v>218.15</v>
      </c>
      <c r="R307" s="190">
        <v>6</v>
      </c>
      <c r="S307" s="190"/>
      <c r="T307" s="190" t="s">
        <v>2518</v>
      </c>
      <c r="U307" s="190" t="s">
        <v>2565</v>
      </c>
      <c r="V307" s="8" t="s">
        <v>2011</v>
      </c>
      <c r="W307" s="10"/>
      <c r="X307" s="9"/>
      <c r="Y307" s="172"/>
      <c r="Z307" s="172"/>
      <c r="AA307" s="172"/>
      <c r="AB307" s="143" t="str">
        <f t="shared" ca="1" si="42"/>
        <v>NY Submit</v>
      </c>
      <c r="AC307" s="13"/>
      <c r="AD307" s="12">
        <v>46127</v>
      </c>
      <c r="AE307" s="12"/>
      <c r="AF307" s="12" t="s">
        <v>3628</v>
      </c>
      <c r="AG307" s="12"/>
      <c r="AH307" s="11"/>
      <c r="AI307" s="11"/>
      <c r="AJ307" s="11"/>
      <c r="AK307" s="11"/>
      <c r="AL307" s="11"/>
      <c r="AM307" s="11"/>
      <c r="AN307" s="11"/>
      <c r="AO307" s="11" t="str">
        <f>+IF(AM307&lt;&gt;"","ATP App MS",IF(AJ307&lt;&gt;"","Inbound",IF(AH307&lt;&gt;"","Dismantle Perangkat",IF(AF307="Drop","Drop",IF(AE307&lt;&gt;"","Survey Report",IF(AD307&lt;&gt;"","Survey","NY Survey"))))))</f>
        <v>Drop</v>
      </c>
      <c r="AP307" s="173"/>
      <c r="AQ307" s="12">
        <v>46129</v>
      </c>
      <c r="AR307" s="12"/>
      <c r="AS307" s="12">
        <v>46133</v>
      </c>
      <c r="AT307" s="12"/>
      <c r="AU307" s="12"/>
      <c r="AV307" s="12"/>
      <c r="AW307" s="11" t="str">
        <f t="shared" si="43"/>
        <v>Engineering Structural Manager App</v>
      </c>
      <c r="AX307" s="12"/>
      <c r="AY307" s="12"/>
      <c r="AZ307" s="12"/>
      <c r="BA307" s="12"/>
      <c r="BB307" s="12"/>
      <c r="BC307" s="12"/>
      <c r="BD307" s="11" t="str">
        <f t="shared" si="44"/>
        <v>NY Submit</v>
      </c>
      <c r="BE307" s="174"/>
      <c r="BF307" s="12"/>
      <c r="BG307" s="12"/>
      <c r="BH307" s="12"/>
      <c r="BI307" s="12"/>
      <c r="BJ307" s="12"/>
      <c r="BK307" s="174"/>
      <c r="BL307" s="12" t="str">
        <f t="shared" si="45"/>
        <v>NY Submit</v>
      </c>
      <c r="BM307" s="12" t="str">
        <f t="shared" si="46"/>
        <v>NY Submit</v>
      </c>
      <c r="BN307" s="12"/>
      <c r="BO307" s="12"/>
      <c r="BP307" s="155" t="s">
        <v>2011</v>
      </c>
      <c r="BQ307" s="12" t="s">
        <v>2526</v>
      </c>
      <c r="BR307" s="12"/>
      <c r="BS307" s="143" t="str">
        <f t="shared" ca="1" si="49"/>
        <v>Drop</v>
      </c>
      <c r="BT307" s="176"/>
      <c r="BU307" s="12"/>
      <c r="BV307" s="143" t="str">
        <f t="shared" ca="1" si="50"/>
        <v>Drop</v>
      </c>
      <c r="BW307" s="12"/>
      <c r="BX307" s="12"/>
      <c r="BY307" s="143"/>
      <c r="BZ307" s="13"/>
      <c r="CA307" s="13"/>
      <c r="CB307" s="13"/>
      <c r="CC307" s="13"/>
      <c r="CD307" s="13"/>
      <c r="CE307" s="198"/>
      <c r="CF307" s="198"/>
      <c r="CG307" s="272"/>
      <c r="CH307" s="272"/>
      <c r="CI307" s="198"/>
      <c r="CJ307" s="198"/>
      <c r="CK307" s="198"/>
      <c r="CL307" s="198"/>
    </row>
    <row r="308" spans="1:90">
      <c r="A308" s="187">
        <v>303</v>
      </c>
      <c r="B308" s="190" t="s">
        <v>2486</v>
      </c>
      <c r="C308" s="190" t="s">
        <v>2487</v>
      </c>
      <c r="D308" s="190" t="s">
        <v>135</v>
      </c>
      <c r="E308" s="8" t="e">
        <f ca="1">+_xlfn.CONCAT(G308,"-",B308,"_",C308,"_",_xlfn.XLOOKUP(BP308,Account!M:M,Account!N:N))</f>
        <v>#NAME?</v>
      </c>
      <c r="F308" s="12">
        <v>46034</v>
      </c>
      <c r="G308" s="190" t="s">
        <v>3960</v>
      </c>
      <c r="H308" s="10"/>
      <c r="I308" s="10" t="s">
        <v>3962</v>
      </c>
      <c r="J308" s="190">
        <v>11</v>
      </c>
      <c r="K308" s="190" t="s">
        <v>2486</v>
      </c>
      <c r="L308" s="190" t="s">
        <v>1263</v>
      </c>
      <c r="M308" s="190" t="s">
        <v>2514</v>
      </c>
      <c r="N308" s="10"/>
      <c r="O308" s="178" t="s">
        <v>3963</v>
      </c>
      <c r="P308" s="178" t="s">
        <v>3964</v>
      </c>
      <c r="Q308" s="327">
        <v>218.15</v>
      </c>
      <c r="R308" s="190">
        <v>6</v>
      </c>
      <c r="S308" s="190"/>
      <c r="T308" s="190" t="s">
        <v>2518</v>
      </c>
      <c r="U308" s="190" t="s">
        <v>2565</v>
      </c>
      <c r="V308" s="8" t="s">
        <v>1768</v>
      </c>
      <c r="W308" s="10"/>
      <c r="X308" s="9"/>
      <c r="Y308" s="172"/>
      <c r="Z308" s="172"/>
      <c r="AA308" s="172"/>
      <c r="AB308" s="143" t="str">
        <f t="shared" ca="1" si="42"/>
        <v>NY Submit</v>
      </c>
      <c r="AC308" s="13"/>
      <c r="AD308" s="12">
        <v>46127</v>
      </c>
      <c r="AE308" s="12"/>
      <c r="AF308" s="12" t="s">
        <v>3628</v>
      </c>
      <c r="AG308" s="12"/>
      <c r="AH308" s="11"/>
      <c r="AI308" s="11"/>
      <c r="AJ308" s="11"/>
      <c r="AK308" s="11"/>
      <c r="AL308" s="11"/>
      <c r="AM308" s="11"/>
      <c r="AN308" s="11"/>
      <c r="AO308" s="11" t="str">
        <f>+IF(AM308&lt;&gt;"","ATP App MS",IF(AL308&lt;&gt;"","OA/RFS",IF(AK308&lt;&gt;"","Install",IF(AH308&lt;&gt;"","Dismantle Perangkat",IF(AF308="Drop","Drop",IF(AE308&lt;&gt;"","Survey Report",IF(AD308&lt;&gt;"","Survey","NY Survey")))))))</f>
        <v>Drop</v>
      </c>
      <c r="AP308" s="173"/>
      <c r="AQ308" s="12">
        <v>46129</v>
      </c>
      <c r="AR308" s="12"/>
      <c r="AS308" s="12">
        <v>46133</v>
      </c>
      <c r="AT308" s="12"/>
      <c r="AU308" s="12"/>
      <c r="AV308" s="12"/>
      <c r="AW308" s="11" t="str">
        <f t="shared" si="43"/>
        <v>Engineering Structural Manager App</v>
      </c>
      <c r="AX308" s="12"/>
      <c r="AY308" s="12"/>
      <c r="AZ308" s="12"/>
      <c r="BA308" s="12"/>
      <c r="BB308" s="12"/>
      <c r="BC308" s="12"/>
      <c r="BD308" s="11" t="str">
        <f t="shared" si="44"/>
        <v>NY Submit</v>
      </c>
      <c r="BE308" s="174"/>
      <c r="BF308" s="12"/>
      <c r="BG308" s="12"/>
      <c r="BH308" s="12"/>
      <c r="BI308" s="12"/>
      <c r="BJ308" s="12"/>
      <c r="BK308" s="174"/>
      <c r="BL308" s="12" t="str">
        <f t="shared" si="45"/>
        <v>NY Submit</v>
      </c>
      <c r="BM308" s="12" t="str">
        <f t="shared" si="46"/>
        <v>NY Submit</v>
      </c>
      <c r="BN308" s="12"/>
      <c r="BO308" s="12"/>
      <c r="BP308" s="155" t="s">
        <v>1768</v>
      </c>
      <c r="BQ308" s="12" t="s">
        <v>2526</v>
      </c>
      <c r="BR308" s="12"/>
      <c r="BS308" s="143" t="str">
        <f t="shared" ca="1" si="49"/>
        <v>Drop</v>
      </c>
      <c r="BT308" s="176"/>
      <c r="BU308" s="12"/>
      <c r="BV308" s="143" t="str">
        <f t="shared" ca="1" si="50"/>
        <v>Drop</v>
      </c>
      <c r="BW308" s="12"/>
      <c r="BX308" s="12"/>
      <c r="BY308" s="143"/>
      <c r="BZ308" s="13"/>
      <c r="CA308" s="13"/>
      <c r="CB308" s="13"/>
      <c r="CC308" s="13"/>
      <c r="CD308" s="13"/>
      <c r="CE308" s="198"/>
      <c r="CF308" s="198"/>
      <c r="CG308" s="272"/>
      <c r="CH308" s="272"/>
      <c r="CI308" s="198"/>
      <c r="CJ308" s="198"/>
      <c r="CK308" s="198"/>
      <c r="CL308" s="198"/>
    </row>
    <row r="309" spans="1:90">
      <c r="A309" s="186">
        <v>304</v>
      </c>
      <c r="B309" s="190" t="s">
        <v>2486</v>
      </c>
      <c r="C309" s="190" t="s">
        <v>2487</v>
      </c>
      <c r="D309" s="190" t="s">
        <v>135</v>
      </c>
      <c r="E309" s="8" t="e">
        <f ca="1">+_xlfn.CONCAT(G309,"-",B309,"_",C309,"_",_xlfn.XLOOKUP(BP309,Account!M:M,Account!N:N))</f>
        <v>#NAME?</v>
      </c>
      <c r="F309" s="12">
        <v>46134</v>
      </c>
      <c r="G309" s="157" t="s">
        <v>2307</v>
      </c>
      <c r="H309" s="190" t="s">
        <v>4230</v>
      </c>
      <c r="I309" s="10" t="s">
        <v>2308</v>
      </c>
      <c r="J309" s="190">
        <v>19</v>
      </c>
      <c r="K309" s="190" t="s">
        <v>2038</v>
      </c>
      <c r="L309" s="190" t="s">
        <v>1367</v>
      </c>
      <c r="M309" s="190" t="s">
        <v>4231</v>
      </c>
      <c r="N309" s="10" t="s">
        <v>4232</v>
      </c>
      <c r="O309" s="177" t="s">
        <v>4233</v>
      </c>
      <c r="P309" s="177" t="s">
        <v>4234</v>
      </c>
      <c r="Q309" s="327">
        <v>19172.256000000001</v>
      </c>
      <c r="R309" s="190">
        <v>72</v>
      </c>
      <c r="S309" s="190"/>
      <c r="T309" s="190"/>
      <c r="U309" s="190"/>
      <c r="V309" s="8" t="s">
        <v>1760</v>
      </c>
      <c r="W309" s="10"/>
      <c r="X309" s="9"/>
      <c r="Y309" s="172" t="s">
        <v>2432</v>
      </c>
      <c r="Z309" s="172">
        <v>46144</v>
      </c>
      <c r="AA309" s="172">
        <v>46156</v>
      </c>
      <c r="AB309" s="143" t="str">
        <f t="shared" ca="1" si="42"/>
        <v>Expired</v>
      </c>
      <c r="AC309" s="13"/>
      <c r="AD309" s="12">
        <v>46144</v>
      </c>
      <c r="AE309" s="12">
        <v>46158</v>
      </c>
      <c r="AF309" s="12">
        <v>46222</v>
      </c>
      <c r="AG309" s="12"/>
      <c r="AH309" s="11"/>
      <c r="AI309" s="11"/>
      <c r="AJ309" s="11"/>
      <c r="AK309" s="11"/>
      <c r="AL309" s="11"/>
      <c r="AM309" s="11"/>
      <c r="AN309" s="11"/>
      <c r="AO309" s="11" t="str">
        <f t="shared" ref="AO309:AO314" si="51">+IF(AN309&lt;&gt;"","BAST",IF(AI309&lt;&gt;"","Dismantle",IF(AG309&lt;&gt;"","RFD App",IF(AF309="Drop","Drop",IF(AE309&lt;&gt;"","Survey Report",IF(AD309&lt;&gt;"","Survey","NY Survey"))))))</f>
        <v>Survey Report</v>
      </c>
      <c r="AP309" s="173"/>
      <c r="AQ309" s="12">
        <v>46197</v>
      </c>
      <c r="AR309" s="12">
        <v>46210</v>
      </c>
      <c r="AS309" s="12">
        <v>46206</v>
      </c>
      <c r="AT309" s="12"/>
      <c r="AU309" s="12">
        <v>46210</v>
      </c>
      <c r="AV309" s="12"/>
      <c r="AW309" s="11" t="str">
        <f t="shared" si="43"/>
        <v>Upload 1st BOQ &amp; BAN Isaac</v>
      </c>
      <c r="AX309" s="12"/>
      <c r="AY309" s="12"/>
      <c r="AZ309" s="12"/>
      <c r="BA309" s="12"/>
      <c r="BB309" s="12"/>
      <c r="BC309" s="12"/>
      <c r="BD309" s="11" t="str">
        <f t="shared" si="44"/>
        <v>NY Submit</v>
      </c>
      <c r="BE309" s="174" t="s">
        <v>4235</v>
      </c>
      <c r="BF309" s="12">
        <v>46160</v>
      </c>
      <c r="BG309" s="12">
        <v>46164</v>
      </c>
      <c r="BH309" s="12" t="s">
        <v>4236</v>
      </c>
      <c r="BI309" s="12">
        <v>46160</v>
      </c>
      <c r="BJ309" s="12">
        <v>46160</v>
      </c>
      <c r="BK309" s="174" t="s">
        <v>4237</v>
      </c>
      <c r="BL309" s="12" t="str">
        <f t="shared" si="45"/>
        <v>Approved</v>
      </c>
      <c r="BM309" s="12" t="str">
        <f t="shared" si="46"/>
        <v>Approved</v>
      </c>
      <c r="BN309" s="12"/>
      <c r="BO309" s="12"/>
      <c r="BP309" s="155" t="s">
        <v>1760</v>
      </c>
      <c r="BQ309" s="12" t="s">
        <v>3106</v>
      </c>
      <c r="BR309" s="12"/>
      <c r="BS309" s="143">
        <f t="shared" ca="1" si="49"/>
        <v>0</v>
      </c>
      <c r="BT309" s="176"/>
      <c r="BU309" s="12"/>
      <c r="BV309" s="143">
        <f t="shared" ca="1" si="50"/>
        <v>0</v>
      </c>
      <c r="BW309" s="12"/>
      <c r="BX309" s="12"/>
      <c r="BY309" s="143"/>
      <c r="BZ309" s="13"/>
      <c r="CA309" s="13"/>
      <c r="CB309" s="13"/>
      <c r="CC309" s="13"/>
      <c r="CD309" s="13"/>
      <c r="CE309" s="198"/>
      <c r="CF309" s="198"/>
      <c r="CG309" s="272"/>
      <c r="CH309" s="272"/>
      <c r="CI309" s="198"/>
      <c r="CJ309" s="198"/>
      <c r="CK309" s="198"/>
      <c r="CL309" s="198"/>
    </row>
    <row r="310" spans="1:90">
      <c r="A310" s="190">
        <v>305</v>
      </c>
      <c r="B310" s="190" t="s">
        <v>2486</v>
      </c>
      <c r="C310" s="190" t="s">
        <v>2487</v>
      </c>
      <c r="D310" s="190" t="s">
        <v>135</v>
      </c>
      <c r="E310" s="8" t="e">
        <f ca="1">+_xlfn.CONCAT(G310,"-",B310,"_",C310,"_",_xlfn.XLOOKUP(BP310,Account!M:M,Account!N:N))</f>
        <v>#NAME?</v>
      </c>
      <c r="F310" s="12">
        <v>46134</v>
      </c>
      <c r="G310" s="157" t="s">
        <v>1983</v>
      </c>
      <c r="H310" s="190" t="s">
        <v>4238</v>
      </c>
      <c r="I310" s="10" t="s">
        <v>1984</v>
      </c>
      <c r="J310" s="190">
        <v>2</v>
      </c>
      <c r="K310" s="190" t="s">
        <v>2038</v>
      </c>
      <c r="L310" s="190" t="s">
        <v>2780</v>
      </c>
      <c r="M310" s="190" t="s">
        <v>3014</v>
      </c>
      <c r="N310" s="10" t="s">
        <v>4239</v>
      </c>
      <c r="O310" s="177" t="s">
        <v>4240</v>
      </c>
      <c r="P310" s="177" t="s">
        <v>4241</v>
      </c>
      <c r="Q310" s="327">
        <v>16460.317999999999</v>
      </c>
      <c r="R310" s="190">
        <v>55</v>
      </c>
      <c r="S310" s="190" t="s">
        <v>3635</v>
      </c>
      <c r="T310" s="190" t="s">
        <v>2494</v>
      </c>
      <c r="U310" s="190" t="s">
        <v>2495</v>
      </c>
      <c r="V310" s="8" t="s">
        <v>1760</v>
      </c>
      <c r="W310" s="10"/>
      <c r="X310" s="9"/>
      <c r="Y310" s="172" t="s">
        <v>2432</v>
      </c>
      <c r="Z310" s="172">
        <v>46149</v>
      </c>
      <c r="AA310" s="172">
        <v>46155</v>
      </c>
      <c r="AB310" s="143" t="str">
        <f t="shared" ca="1" si="42"/>
        <v>Expired</v>
      </c>
      <c r="AC310" s="13"/>
      <c r="AD310" s="12">
        <v>46153</v>
      </c>
      <c r="AE310" s="12">
        <v>46162</v>
      </c>
      <c r="AF310" s="12">
        <v>46203</v>
      </c>
      <c r="AG310" s="12"/>
      <c r="AH310" s="11"/>
      <c r="AI310" s="11"/>
      <c r="AJ310" s="11"/>
      <c r="AK310" s="11"/>
      <c r="AL310" s="11"/>
      <c r="AM310" s="11"/>
      <c r="AN310" s="11"/>
      <c r="AO310" s="11" t="str">
        <f t="shared" si="51"/>
        <v>Survey Report</v>
      </c>
      <c r="AP310" s="173"/>
      <c r="AQ310" s="12">
        <v>46163</v>
      </c>
      <c r="AR310" s="12">
        <v>46187</v>
      </c>
      <c r="AS310" s="12">
        <v>46182</v>
      </c>
      <c r="AT310" s="12"/>
      <c r="AU310" s="12">
        <v>46188</v>
      </c>
      <c r="AV310" s="12">
        <v>46190</v>
      </c>
      <c r="AW310" s="11" t="str">
        <f t="shared" si="43"/>
        <v>1st BOQ App on ISAAC</v>
      </c>
      <c r="AX310" s="12"/>
      <c r="AY310" s="12"/>
      <c r="AZ310" s="12"/>
      <c r="BA310" s="12" t="s">
        <v>1754</v>
      </c>
      <c r="BB310" s="12"/>
      <c r="BC310" s="12"/>
      <c r="BD310" s="11" t="str">
        <f t="shared" si="44"/>
        <v>need DRM</v>
      </c>
      <c r="BE310" s="174" t="s">
        <v>4242</v>
      </c>
      <c r="BF310" s="12">
        <v>46167</v>
      </c>
      <c r="BG310" s="12">
        <v>46167</v>
      </c>
      <c r="BH310" s="12" t="s">
        <v>4243</v>
      </c>
      <c r="BI310" s="12">
        <v>46167</v>
      </c>
      <c r="BJ310" s="12">
        <v>46167</v>
      </c>
      <c r="BK310" s="174" t="s">
        <v>4244</v>
      </c>
      <c r="BL310" s="12" t="str">
        <f t="shared" si="45"/>
        <v>Approved</v>
      </c>
      <c r="BM310" s="12" t="str">
        <f t="shared" si="46"/>
        <v>Approved</v>
      </c>
      <c r="BN310" s="12"/>
      <c r="BO310" s="12"/>
      <c r="BP310" s="155" t="s">
        <v>1760</v>
      </c>
      <c r="BQ310" s="12" t="s">
        <v>3106</v>
      </c>
      <c r="BR310" s="12"/>
      <c r="BS310" s="143">
        <f t="shared" ca="1" si="49"/>
        <v>49</v>
      </c>
      <c r="BT310" s="176"/>
      <c r="BU310" s="12"/>
      <c r="BV310" s="143">
        <f t="shared" ca="1" si="50"/>
        <v>0</v>
      </c>
      <c r="BW310" s="12"/>
      <c r="BX310" s="12"/>
      <c r="BY310" s="143"/>
      <c r="BZ310" s="13"/>
      <c r="CA310" s="13"/>
      <c r="CB310" s="13"/>
      <c r="CC310" s="13"/>
      <c r="CD310" s="13"/>
      <c r="CE310" s="198"/>
      <c r="CF310" s="198"/>
      <c r="CG310" s="272"/>
      <c r="CH310" s="272"/>
      <c r="CI310" s="198"/>
      <c r="CJ310" s="198"/>
      <c r="CK310" s="198"/>
      <c r="CL310" s="198"/>
    </row>
    <row r="311" spans="1:90">
      <c r="A311" s="190">
        <v>306</v>
      </c>
      <c r="B311" s="190" t="s">
        <v>2486</v>
      </c>
      <c r="C311" s="190" t="s">
        <v>2487</v>
      </c>
      <c r="D311" s="190" t="s">
        <v>135</v>
      </c>
      <c r="E311" s="8" t="e">
        <f ca="1">+_xlfn.CONCAT(G311,"-",B311,"_",C311,"_",_xlfn.XLOOKUP(BP311,Account!M:M,Account!N:N))</f>
        <v>#NAME?</v>
      </c>
      <c r="F311" s="12">
        <v>46134</v>
      </c>
      <c r="G311" s="157" t="s">
        <v>1976</v>
      </c>
      <c r="H311" s="190" t="s">
        <v>4245</v>
      </c>
      <c r="I311" s="10" t="s">
        <v>1977</v>
      </c>
      <c r="J311" s="190">
        <v>1</v>
      </c>
      <c r="K311" s="190" t="s">
        <v>2038</v>
      </c>
      <c r="L311" s="190" t="s">
        <v>1419</v>
      </c>
      <c r="M311" s="190" t="s">
        <v>2938</v>
      </c>
      <c r="N311" s="10" t="s">
        <v>4246</v>
      </c>
      <c r="O311" s="177" t="s">
        <v>4247</v>
      </c>
      <c r="P311" s="177" t="s">
        <v>4248</v>
      </c>
      <c r="Q311" s="327">
        <v>2819.8530000000001</v>
      </c>
      <c r="R311" s="190">
        <v>20</v>
      </c>
      <c r="S311" s="190"/>
      <c r="T311" s="190"/>
      <c r="U311" s="190"/>
      <c r="V311" s="8" t="s">
        <v>1760</v>
      </c>
      <c r="W311" s="10"/>
      <c r="X311" s="9"/>
      <c r="Y311" s="172"/>
      <c r="Z311" s="172"/>
      <c r="AA311" s="172"/>
      <c r="AB311" s="143" t="str">
        <f t="shared" ca="1" si="42"/>
        <v>NY Submit</v>
      </c>
      <c r="AC311" s="13"/>
      <c r="AD311" s="12">
        <v>46145</v>
      </c>
      <c r="AE311" s="12">
        <v>46145</v>
      </c>
      <c r="AF311" s="12">
        <v>46249</v>
      </c>
      <c r="AG311" s="12"/>
      <c r="AH311" s="11"/>
      <c r="AI311" s="11"/>
      <c r="AJ311" s="11"/>
      <c r="AK311" s="11"/>
      <c r="AL311" s="11"/>
      <c r="AM311" s="11"/>
      <c r="AN311" s="11"/>
      <c r="AO311" s="11" t="str">
        <f t="shared" si="51"/>
        <v>Survey Report</v>
      </c>
      <c r="AP311" s="173"/>
      <c r="AQ311" s="12">
        <v>46160</v>
      </c>
      <c r="AR311" s="12"/>
      <c r="AS311" s="12">
        <v>46162</v>
      </c>
      <c r="AT311" s="12"/>
      <c r="AU311" s="12"/>
      <c r="AV311" s="12"/>
      <c r="AW311" s="11" t="str">
        <f t="shared" si="43"/>
        <v>Engineering Structural Manager App</v>
      </c>
      <c r="AX311" s="12"/>
      <c r="AY311" s="12"/>
      <c r="AZ311" s="12"/>
      <c r="BA311" s="12"/>
      <c r="BB311" s="12"/>
      <c r="BC311" s="12"/>
      <c r="BD311" s="11" t="str">
        <f t="shared" si="44"/>
        <v>NY Submit</v>
      </c>
      <c r="BE311" s="174" t="s">
        <v>3728</v>
      </c>
      <c r="BF311" s="12">
        <v>46176</v>
      </c>
      <c r="BG311" s="12">
        <v>46177</v>
      </c>
      <c r="BH311" s="12" t="s">
        <v>4249</v>
      </c>
      <c r="BI311" s="12">
        <v>46176</v>
      </c>
      <c r="BJ311" s="12">
        <v>46176</v>
      </c>
      <c r="BK311" s="174" t="s">
        <v>4250</v>
      </c>
      <c r="BL311" s="12" t="str">
        <f t="shared" si="45"/>
        <v>Approved</v>
      </c>
      <c r="BM311" s="12" t="str">
        <f t="shared" si="46"/>
        <v>Approved</v>
      </c>
      <c r="BN311" s="12"/>
      <c r="BO311" s="12"/>
      <c r="BP311" s="155" t="s">
        <v>1760</v>
      </c>
      <c r="BQ311" s="12" t="s">
        <v>3106</v>
      </c>
      <c r="BR311" s="12"/>
      <c r="BS311" s="143">
        <f t="shared" ca="1" si="49"/>
        <v>0</v>
      </c>
      <c r="BT311" s="176"/>
      <c r="BU311" s="12"/>
      <c r="BV311" s="143">
        <f t="shared" ca="1" si="50"/>
        <v>0</v>
      </c>
      <c r="BW311" s="12"/>
      <c r="BX311" s="12"/>
      <c r="BY311" s="143"/>
      <c r="BZ311" s="13"/>
      <c r="CA311" s="13"/>
      <c r="CB311" s="13"/>
      <c r="CC311" s="13"/>
      <c r="CD311" s="13"/>
      <c r="CE311" s="198"/>
      <c r="CF311" s="198"/>
      <c r="CG311" s="272"/>
      <c r="CH311" s="272"/>
      <c r="CI311" s="198"/>
      <c r="CJ311" s="198"/>
      <c r="CK311" s="198"/>
      <c r="CL311" s="198"/>
    </row>
    <row r="312" spans="1:90">
      <c r="A312" s="190">
        <v>307</v>
      </c>
      <c r="B312" s="190" t="s">
        <v>2486</v>
      </c>
      <c r="C312" s="190" t="s">
        <v>2487</v>
      </c>
      <c r="D312" s="190" t="s">
        <v>135</v>
      </c>
      <c r="E312" s="8" t="e">
        <f ca="1">+_xlfn.CONCAT(G312,"-",B312,"_",C312,"_",_xlfn.XLOOKUP(BP312,Account!M:M,Account!N:N))</f>
        <v>#NAME?</v>
      </c>
      <c r="F312" s="12">
        <v>46134</v>
      </c>
      <c r="G312" s="190" t="s">
        <v>4251</v>
      </c>
      <c r="H312" s="190" t="s">
        <v>4252</v>
      </c>
      <c r="I312" s="10" t="s">
        <v>4253</v>
      </c>
      <c r="J312" s="190">
        <v>1</v>
      </c>
      <c r="K312" s="190" t="s">
        <v>2486</v>
      </c>
      <c r="L312" s="190" t="s">
        <v>4254</v>
      </c>
      <c r="M312" s="190" t="s">
        <v>4255</v>
      </c>
      <c r="N312" s="10" t="s">
        <v>4256</v>
      </c>
      <c r="O312" s="177" t="s">
        <v>4257</v>
      </c>
      <c r="P312" s="177" t="s">
        <v>4258</v>
      </c>
      <c r="Q312" s="327">
        <v>6159</v>
      </c>
      <c r="R312" s="190">
        <v>42</v>
      </c>
      <c r="S312" s="190"/>
      <c r="T312" s="190"/>
      <c r="U312" s="190"/>
      <c r="V312" s="8" t="s">
        <v>1760</v>
      </c>
      <c r="W312" s="10"/>
      <c r="X312" s="9"/>
      <c r="Y312" s="172"/>
      <c r="Z312" s="172"/>
      <c r="AA312" s="172"/>
      <c r="AB312" s="208" t="str">
        <f t="shared" ca="1" si="42"/>
        <v>NY Submit</v>
      </c>
      <c r="AC312" s="13"/>
      <c r="AD312" s="12"/>
      <c r="AE312" s="12"/>
      <c r="AF312" s="12">
        <v>46388</v>
      </c>
      <c r="AG312" s="12"/>
      <c r="AH312" s="11"/>
      <c r="AI312" s="11"/>
      <c r="AJ312" s="11"/>
      <c r="AK312" s="11"/>
      <c r="AL312" s="11"/>
      <c r="AM312" s="11"/>
      <c r="AN312" s="11"/>
      <c r="AO312" s="11" t="str">
        <f t="shared" si="51"/>
        <v>NY Survey</v>
      </c>
      <c r="AP312" s="173" t="s">
        <v>4259</v>
      </c>
      <c r="AQ312" s="12"/>
      <c r="AR312" s="12"/>
      <c r="AS312" s="12"/>
      <c r="AT312" s="12"/>
      <c r="AU312" s="12"/>
      <c r="AV312" s="12"/>
      <c r="AW312" s="11" t="str">
        <f t="shared" si="43"/>
        <v>NY Submit</v>
      </c>
      <c r="AX312" s="12"/>
      <c r="AY312" s="12"/>
      <c r="AZ312" s="12"/>
      <c r="BA312" s="12"/>
      <c r="BB312" s="12"/>
      <c r="BC312" s="12"/>
      <c r="BD312" s="11" t="str">
        <f t="shared" si="44"/>
        <v>NY Submit</v>
      </c>
      <c r="BE312" s="174"/>
      <c r="BF312" s="12"/>
      <c r="BG312" s="12"/>
      <c r="BH312" s="12"/>
      <c r="BI312" s="12"/>
      <c r="BJ312" s="12"/>
      <c r="BK312" s="174"/>
      <c r="BL312" s="12" t="str">
        <f t="shared" si="45"/>
        <v>NY Submit</v>
      </c>
      <c r="BM312" s="12" t="str">
        <f t="shared" si="46"/>
        <v>NY Submit</v>
      </c>
      <c r="BN312" s="12"/>
      <c r="BO312" s="12"/>
      <c r="BP312" s="155" t="s">
        <v>1760</v>
      </c>
      <c r="BQ312" s="12" t="s">
        <v>3106</v>
      </c>
      <c r="BR312" s="12"/>
      <c r="BS312" s="143">
        <f t="shared" ca="1" si="49"/>
        <v>0</v>
      </c>
      <c r="BT312" s="176"/>
      <c r="BU312" s="12"/>
      <c r="BV312" s="143">
        <f t="shared" ca="1" si="50"/>
        <v>0</v>
      </c>
      <c r="BW312" s="12"/>
      <c r="BX312" s="12"/>
      <c r="BY312" s="143"/>
      <c r="BZ312" s="13"/>
      <c r="CA312" s="13"/>
      <c r="CB312" s="13"/>
      <c r="CC312" s="13"/>
      <c r="CD312" s="13"/>
      <c r="CE312" s="198"/>
      <c r="CF312" s="198"/>
      <c r="CG312" s="272"/>
      <c r="CH312" s="272"/>
      <c r="CI312" s="198"/>
      <c r="CJ312" s="198"/>
      <c r="CK312" s="198"/>
      <c r="CL312" s="198"/>
    </row>
    <row r="313" spans="1:90">
      <c r="A313" s="190">
        <v>308</v>
      </c>
      <c r="B313" s="190" t="s">
        <v>2486</v>
      </c>
      <c r="C313" s="190" t="s">
        <v>2487</v>
      </c>
      <c r="D313" s="190" t="s">
        <v>135</v>
      </c>
      <c r="E313" s="8" t="e">
        <f ca="1">+_xlfn.CONCAT(G313,"-",B313,"_",C313,"_",_xlfn.XLOOKUP(BP313,Account!M:M,Account!N:N))</f>
        <v>#NAME?</v>
      </c>
      <c r="F313" s="12">
        <v>46134</v>
      </c>
      <c r="G313" s="190" t="s">
        <v>4260</v>
      </c>
      <c r="H313" s="190" t="s">
        <v>4261</v>
      </c>
      <c r="I313" s="10" t="s">
        <v>4262</v>
      </c>
      <c r="J313" s="190">
        <v>11</v>
      </c>
      <c r="K313" s="190" t="s">
        <v>2038</v>
      </c>
      <c r="L313" s="190" t="s">
        <v>2855</v>
      </c>
      <c r="M313" s="190" t="s">
        <v>2856</v>
      </c>
      <c r="N313" s="10" t="s">
        <v>4263</v>
      </c>
      <c r="O313" s="177" t="s">
        <v>4264</v>
      </c>
      <c r="P313" s="177" t="s">
        <v>4265</v>
      </c>
      <c r="Q313" s="327">
        <v>9236.0759999999991</v>
      </c>
      <c r="R313" s="190">
        <v>52</v>
      </c>
      <c r="S313" s="190"/>
      <c r="T313" s="190"/>
      <c r="U313" s="190"/>
      <c r="V313" s="8" t="s">
        <v>1760</v>
      </c>
      <c r="W313" s="10" t="s">
        <v>3687</v>
      </c>
      <c r="X313" s="15" t="s">
        <v>3688</v>
      </c>
      <c r="Y313" s="172" t="s">
        <v>2432</v>
      </c>
      <c r="Z313" s="172">
        <v>46155</v>
      </c>
      <c r="AA313" s="172">
        <v>46161</v>
      </c>
      <c r="AB313" s="208" t="str">
        <f t="shared" ca="1" si="42"/>
        <v>Expired</v>
      </c>
      <c r="AC313" s="13"/>
      <c r="AD313" s="12">
        <v>46160</v>
      </c>
      <c r="AE313" s="12">
        <v>46185</v>
      </c>
      <c r="AF313" s="12">
        <v>46477</v>
      </c>
      <c r="AG313" s="12"/>
      <c r="AH313" s="11"/>
      <c r="AI313" s="11"/>
      <c r="AJ313" s="11"/>
      <c r="AK313" s="11"/>
      <c r="AL313" s="11"/>
      <c r="AM313" s="11"/>
      <c r="AN313" s="11"/>
      <c r="AO313" s="11" t="str">
        <f t="shared" si="51"/>
        <v>Survey Report</v>
      </c>
      <c r="AP313" s="173"/>
      <c r="AQ313" s="12">
        <v>46219</v>
      </c>
      <c r="AR313" s="12">
        <v>46225</v>
      </c>
      <c r="AS313" s="12">
        <v>46219</v>
      </c>
      <c r="AT313" s="12"/>
      <c r="AU313" s="12">
        <v>46225</v>
      </c>
      <c r="AV313" s="12"/>
      <c r="AW313" s="11" t="str">
        <f t="shared" si="43"/>
        <v>Upload 1st BOQ &amp; BAN Isaac</v>
      </c>
      <c r="AX313" s="12"/>
      <c r="AY313" s="12"/>
      <c r="AZ313" s="12"/>
      <c r="BA313" s="12"/>
      <c r="BB313" s="12"/>
      <c r="BC313" s="12"/>
      <c r="BD313" s="11" t="str">
        <f t="shared" si="44"/>
        <v>NY Submit</v>
      </c>
      <c r="BE313" s="174"/>
      <c r="BF313" s="12">
        <v>46225</v>
      </c>
      <c r="BG313" s="12">
        <v>46226</v>
      </c>
      <c r="BH313" s="12" t="s">
        <v>4266</v>
      </c>
      <c r="BI313" s="12">
        <v>46225</v>
      </c>
      <c r="BJ313" s="12">
        <v>46226</v>
      </c>
      <c r="BK313" s="174" t="s">
        <v>4267</v>
      </c>
      <c r="BL313" s="12" t="str">
        <f t="shared" si="45"/>
        <v>Approved</v>
      </c>
      <c r="BM313" s="12" t="str">
        <f t="shared" si="46"/>
        <v>Approved</v>
      </c>
      <c r="BN313" s="12"/>
      <c r="BO313" s="12"/>
      <c r="BP313" s="155" t="s">
        <v>1760</v>
      </c>
      <c r="BQ313" s="12" t="s">
        <v>3106</v>
      </c>
      <c r="BR313" s="12"/>
      <c r="BS313" s="143">
        <f t="shared" ca="1" si="49"/>
        <v>0</v>
      </c>
      <c r="BT313" s="176"/>
      <c r="BU313" s="12"/>
      <c r="BV313" s="143">
        <f t="shared" ca="1" si="50"/>
        <v>0</v>
      </c>
      <c r="BW313" s="12"/>
      <c r="BX313" s="12"/>
      <c r="BY313" s="143"/>
      <c r="BZ313" s="13"/>
      <c r="CA313" s="13"/>
      <c r="CB313" s="13"/>
      <c r="CC313" s="13"/>
      <c r="CD313" s="13"/>
      <c r="CE313" s="198"/>
      <c r="CF313" s="198"/>
      <c r="CG313" s="272"/>
      <c r="CH313" s="272"/>
      <c r="CI313" s="198"/>
      <c r="CJ313" s="198"/>
      <c r="CK313" s="198"/>
      <c r="CL313" s="198"/>
    </row>
    <row r="314" spans="1:90">
      <c r="A314" s="186">
        <v>309</v>
      </c>
      <c r="B314" s="190" t="s">
        <v>2486</v>
      </c>
      <c r="C314" s="190" t="s">
        <v>2487</v>
      </c>
      <c r="D314" s="190" t="s">
        <v>135</v>
      </c>
      <c r="E314" s="8" t="e">
        <f ca="1">+_xlfn.CONCAT(G314,"-",B314,"_",C314,"_",_xlfn.XLOOKUP(BP314,Account!M:M,Account!N:N))</f>
        <v>#NAME?</v>
      </c>
      <c r="F314" s="12">
        <v>46135</v>
      </c>
      <c r="G314" s="190" t="s">
        <v>2002</v>
      </c>
      <c r="H314" s="190" t="s">
        <v>4268</v>
      </c>
      <c r="I314" s="10" t="s">
        <v>2003</v>
      </c>
      <c r="J314" s="190">
        <v>10</v>
      </c>
      <c r="K314" s="190" t="s">
        <v>2038</v>
      </c>
      <c r="L314" s="190" t="s">
        <v>3156</v>
      </c>
      <c r="M314" s="190" t="s">
        <v>4269</v>
      </c>
      <c r="N314" s="10" t="s">
        <v>4270</v>
      </c>
      <c r="O314" s="178" t="s">
        <v>4271</v>
      </c>
      <c r="P314" s="178" t="s">
        <v>4272</v>
      </c>
      <c r="Q314" s="327">
        <v>18868.812000000002</v>
      </c>
      <c r="R314" s="190">
        <v>70</v>
      </c>
      <c r="S314" s="190"/>
      <c r="T314" s="190" t="s">
        <v>2494</v>
      </c>
      <c r="U314" s="190" t="s">
        <v>2495</v>
      </c>
      <c r="V314" s="8" t="s">
        <v>1760</v>
      </c>
      <c r="W314" s="10"/>
      <c r="X314" s="9"/>
      <c r="Y314" s="172" t="s">
        <v>2432</v>
      </c>
      <c r="Z314" s="172">
        <v>46153</v>
      </c>
      <c r="AA314" s="172">
        <v>46159</v>
      </c>
      <c r="AB314" s="208" t="str">
        <f t="shared" ca="1" si="42"/>
        <v>Expired</v>
      </c>
      <c r="AC314" s="13"/>
      <c r="AD314" s="12">
        <v>46158</v>
      </c>
      <c r="AE314" s="12">
        <v>46213</v>
      </c>
      <c r="AF314" s="12">
        <v>46254</v>
      </c>
      <c r="AG314" s="12"/>
      <c r="AH314" s="11"/>
      <c r="AI314" s="11"/>
      <c r="AJ314" s="11"/>
      <c r="AK314" s="11"/>
      <c r="AL314" s="11"/>
      <c r="AM314" s="11"/>
      <c r="AN314" s="11"/>
      <c r="AO314" s="11" t="str">
        <f t="shared" si="51"/>
        <v>Survey Report</v>
      </c>
      <c r="AP314" s="173" t="s">
        <v>4259</v>
      </c>
      <c r="AQ314" s="12">
        <v>46219</v>
      </c>
      <c r="AR314" s="12"/>
      <c r="AS314" s="12">
        <v>46219</v>
      </c>
      <c r="AT314" s="12"/>
      <c r="AU314" s="12"/>
      <c r="AV314" s="12"/>
      <c r="AW314" s="11" t="str">
        <f t="shared" si="43"/>
        <v>Engineering Structural Manager App</v>
      </c>
      <c r="AX314" s="12"/>
      <c r="AY314" s="12"/>
      <c r="AZ314" s="12"/>
      <c r="BA314" s="12" t="s">
        <v>1754</v>
      </c>
      <c r="BB314" s="12"/>
      <c r="BC314" s="12"/>
      <c r="BD314" s="11" t="str">
        <f t="shared" si="44"/>
        <v>need DRM</v>
      </c>
      <c r="BE314" s="281" t="s">
        <v>3398</v>
      </c>
      <c r="BF314" s="12">
        <v>46213</v>
      </c>
      <c r="BG314" s="12">
        <v>46226</v>
      </c>
      <c r="BH314" s="12" t="s">
        <v>4273</v>
      </c>
      <c r="BI314" s="12">
        <v>46213</v>
      </c>
      <c r="BJ314" s="12">
        <v>46220</v>
      </c>
      <c r="BK314" s="174" t="s">
        <v>4274</v>
      </c>
      <c r="BL314" s="12" t="str">
        <f t="shared" si="45"/>
        <v>Approved</v>
      </c>
      <c r="BM314" s="12" t="str">
        <f t="shared" si="46"/>
        <v>Approved</v>
      </c>
      <c r="BN314" s="12"/>
      <c r="BO314" s="12"/>
      <c r="BP314" s="155" t="s">
        <v>1760</v>
      </c>
      <c r="BQ314" s="12" t="s">
        <v>3106</v>
      </c>
      <c r="BR314" s="12"/>
      <c r="BS314" s="143">
        <f t="shared" ca="1" si="49"/>
        <v>0</v>
      </c>
      <c r="BT314" s="176"/>
      <c r="BU314" s="12"/>
      <c r="BV314" s="143">
        <f t="shared" ca="1" si="50"/>
        <v>0</v>
      </c>
      <c r="BW314" s="12"/>
      <c r="BX314" s="12"/>
      <c r="BY314" s="143"/>
      <c r="BZ314" s="13"/>
      <c r="CA314" s="13"/>
      <c r="CB314" s="13"/>
      <c r="CC314" s="13"/>
      <c r="CD314" s="13"/>
      <c r="CE314" s="198"/>
      <c r="CF314" s="198"/>
      <c r="CG314" s="272"/>
      <c r="CH314" s="272"/>
      <c r="CI314" s="198"/>
      <c r="CJ314" s="198"/>
      <c r="CK314" s="198"/>
      <c r="CL314" s="198"/>
    </row>
    <row r="315" spans="1:90">
      <c r="A315" s="190">
        <v>310</v>
      </c>
      <c r="B315" s="190" t="s">
        <v>2486</v>
      </c>
      <c r="C315" s="190" t="s">
        <v>2487</v>
      </c>
      <c r="D315" s="190" t="s">
        <v>135</v>
      </c>
      <c r="E315" s="8" t="e">
        <f ca="1">+_xlfn.CONCAT(G315,"-",B315,"_",C315,"_",_xlfn.XLOOKUP(BP315,Account!M:M,Account!N:N))</f>
        <v>#NAME?</v>
      </c>
      <c r="F315" s="12">
        <v>46135</v>
      </c>
      <c r="G315" s="190" t="s">
        <v>2002</v>
      </c>
      <c r="H315" s="190" t="s">
        <v>4268</v>
      </c>
      <c r="I315" s="10" t="s">
        <v>2003</v>
      </c>
      <c r="J315" s="190">
        <v>10</v>
      </c>
      <c r="K315" s="190" t="s">
        <v>2038</v>
      </c>
      <c r="L315" s="190" t="s">
        <v>3156</v>
      </c>
      <c r="M315" s="190" t="s">
        <v>4269</v>
      </c>
      <c r="N315" s="10" t="s">
        <v>4270</v>
      </c>
      <c r="O315" s="178" t="s">
        <v>4271</v>
      </c>
      <c r="P315" s="178" t="s">
        <v>4272</v>
      </c>
      <c r="Q315" s="327">
        <v>18868.812000000002</v>
      </c>
      <c r="R315" s="190">
        <v>70</v>
      </c>
      <c r="S315" s="190"/>
      <c r="T315" s="190" t="s">
        <v>2494</v>
      </c>
      <c r="U315" s="190" t="s">
        <v>2495</v>
      </c>
      <c r="V315" s="8" t="s">
        <v>2011</v>
      </c>
      <c r="W315" s="10"/>
      <c r="X315" s="9"/>
      <c r="Y315" s="172"/>
      <c r="Z315" s="172"/>
      <c r="AA315" s="172"/>
      <c r="AB315" s="143" t="str">
        <f t="shared" ca="1" si="42"/>
        <v>NY Submit</v>
      </c>
      <c r="AC315" s="13"/>
      <c r="AD315" s="12">
        <v>46158</v>
      </c>
      <c r="AE315" s="12">
        <v>46213</v>
      </c>
      <c r="AF315" s="12">
        <v>46254</v>
      </c>
      <c r="AG315" s="12"/>
      <c r="AH315" s="11"/>
      <c r="AI315" s="11"/>
      <c r="AJ315" s="11"/>
      <c r="AK315" s="11"/>
      <c r="AL315" s="11"/>
      <c r="AM315" s="11"/>
      <c r="AN315" s="11"/>
      <c r="AO315" s="11" t="str">
        <f>+IF(AM315&lt;&gt;"","ATP App MS",IF(AJ315&lt;&gt;"","Inbound",IF(AH315&lt;&gt;"","Dismantle Perangkat",IF(AF315="Drop","Drop",IF(AE315&lt;&gt;"","Survey Report",IF(AD315&lt;&gt;"","Survey","NY Survey"))))))</f>
        <v>Survey Report</v>
      </c>
      <c r="AP315" s="173"/>
      <c r="AQ315" s="12">
        <v>46219</v>
      </c>
      <c r="AR315" s="12"/>
      <c r="AS315" s="12">
        <v>46219</v>
      </c>
      <c r="AT315" s="12"/>
      <c r="AU315" s="12"/>
      <c r="AV315" s="12"/>
      <c r="AW315" s="11" t="str">
        <f t="shared" si="43"/>
        <v>Engineering Structural Manager App</v>
      </c>
      <c r="AX315" s="12"/>
      <c r="AY315" s="12"/>
      <c r="AZ315" s="12"/>
      <c r="BA315" s="12" t="s">
        <v>1754</v>
      </c>
      <c r="BB315" s="12"/>
      <c r="BC315" s="12"/>
      <c r="BD315" s="11" t="str">
        <f t="shared" si="44"/>
        <v>need DRM</v>
      </c>
      <c r="BE315" s="281" t="s">
        <v>3398</v>
      </c>
      <c r="BF315" s="12">
        <v>46213</v>
      </c>
      <c r="BG315" s="12">
        <v>46226</v>
      </c>
      <c r="BH315" s="12"/>
      <c r="BI315" s="12">
        <v>46213</v>
      </c>
      <c r="BJ315" s="12">
        <v>46220</v>
      </c>
      <c r="BK315" s="174"/>
      <c r="BL315" s="12" t="str">
        <f t="shared" si="45"/>
        <v>Approved</v>
      </c>
      <c r="BM315" s="12" t="str">
        <f t="shared" si="46"/>
        <v>Approved</v>
      </c>
      <c r="BN315" s="12"/>
      <c r="BO315" s="12"/>
      <c r="BP315" s="155" t="s">
        <v>2011</v>
      </c>
      <c r="BQ315" s="12" t="s">
        <v>3106</v>
      </c>
      <c r="BR315" s="12"/>
      <c r="BS315" s="143">
        <f t="shared" ca="1" si="49"/>
        <v>0</v>
      </c>
      <c r="BT315" s="176"/>
      <c r="BU315" s="12"/>
      <c r="BV315" s="143">
        <f t="shared" ca="1" si="50"/>
        <v>0</v>
      </c>
      <c r="BW315" s="12"/>
      <c r="BX315" s="12"/>
      <c r="BY315" s="143"/>
      <c r="BZ315" s="13"/>
      <c r="CA315" s="13"/>
      <c r="CB315" s="13"/>
      <c r="CC315" s="13"/>
      <c r="CD315" s="13"/>
      <c r="CE315" s="198"/>
      <c r="CF315" s="198"/>
      <c r="CG315" s="272"/>
      <c r="CH315" s="272"/>
      <c r="CI315" s="198"/>
      <c r="CJ315" s="198"/>
      <c r="CK315" s="198"/>
      <c r="CL315" s="198"/>
    </row>
    <row r="316" spans="1:90">
      <c r="A316" s="190">
        <v>311</v>
      </c>
      <c r="B316" s="190" t="s">
        <v>2486</v>
      </c>
      <c r="C316" s="190" t="s">
        <v>2487</v>
      </c>
      <c r="D316" s="190" t="s">
        <v>135</v>
      </c>
      <c r="E316" s="8" t="e">
        <f ca="1">+_xlfn.CONCAT(G316,"-",B316,"_",C316,"_",_xlfn.XLOOKUP(BP316,Account!M:M,Account!N:N))</f>
        <v>#NAME?</v>
      </c>
      <c r="F316" s="12">
        <v>46135</v>
      </c>
      <c r="G316" s="190" t="s">
        <v>2002</v>
      </c>
      <c r="H316" s="190" t="s">
        <v>4268</v>
      </c>
      <c r="I316" s="10" t="s">
        <v>2003</v>
      </c>
      <c r="J316" s="190">
        <v>10</v>
      </c>
      <c r="K316" s="190" t="s">
        <v>2038</v>
      </c>
      <c r="L316" s="190" t="s">
        <v>3156</v>
      </c>
      <c r="M316" s="190" t="s">
        <v>4269</v>
      </c>
      <c r="N316" s="10" t="s">
        <v>4270</v>
      </c>
      <c r="O316" s="178" t="s">
        <v>4271</v>
      </c>
      <c r="P316" s="178" t="s">
        <v>4272</v>
      </c>
      <c r="Q316" s="327">
        <v>18868.812000000002</v>
      </c>
      <c r="R316" s="190">
        <v>70</v>
      </c>
      <c r="S316" s="190"/>
      <c r="T316" s="190" t="s">
        <v>2494</v>
      </c>
      <c r="U316" s="190" t="s">
        <v>2495</v>
      </c>
      <c r="V316" s="8" t="s">
        <v>1768</v>
      </c>
      <c r="W316" s="10"/>
      <c r="X316" s="9"/>
      <c r="Y316" s="172"/>
      <c r="Z316" s="172"/>
      <c r="AA316" s="172"/>
      <c r="AB316" s="143" t="str">
        <f t="shared" ca="1" si="42"/>
        <v>NY Submit</v>
      </c>
      <c r="AC316" s="13"/>
      <c r="AD316" s="12">
        <v>46158</v>
      </c>
      <c r="AE316" s="12">
        <v>46213</v>
      </c>
      <c r="AF316" s="12" t="s">
        <v>2526</v>
      </c>
      <c r="AG316" s="12"/>
      <c r="AH316" s="11"/>
      <c r="AI316" s="11"/>
      <c r="AJ316" s="11"/>
      <c r="AK316" s="11"/>
      <c r="AL316" s="11"/>
      <c r="AM316" s="11"/>
      <c r="AN316" s="11"/>
      <c r="AO316" s="11" t="str">
        <f>+IF(AM316&lt;&gt;"","ATP App MS",IF(AL316&lt;&gt;"","OA/RFS",IF(AK316&lt;&gt;"","Install",IF(AH316&lt;&gt;"","Dismantle Perangkat",IF(AF316="Drop","Drop",IF(AE316&lt;&gt;"","Survey Report",IF(AD316&lt;&gt;"","Survey","NY Survey")))))))</f>
        <v>Drop</v>
      </c>
      <c r="AP316" s="173"/>
      <c r="AQ316" s="12">
        <v>46219</v>
      </c>
      <c r="AR316" s="12"/>
      <c r="AS316" s="12">
        <v>46219</v>
      </c>
      <c r="AT316" s="12"/>
      <c r="AU316" s="12"/>
      <c r="AV316" s="12"/>
      <c r="AW316" s="11" t="str">
        <f t="shared" si="43"/>
        <v>Engineering Structural Manager App</v>
      </c>
      <c r="AX316" s="12"/>
      <c r="AY316" s="12"/>
      <c r="AZ316" s="12"/>
      <c r="BA316" s="12" t="s">
        <v>1754</v>
      </c>
      <c r="BB316" s="12"/>
      <c r="BC316" s="12"/>
      <c r="BD316" s="11" t="str">
        <f t="shared" si="44"/>
        <v>need DRM</v>
      </c>
      <c r="BE316" s="281" t="s">
        <v>3398</v>
      </c>
      <c r="BF316" s="12"/>
      <c r="BG316" s="12"/>
      <c r="BH316" s="12"/>
      <c r="BI316" s="12"/>
      <c r="BJ316" s="12"/>
      <c r="BK316" s="174"/>
      <c r="BL316" s="12" t="str">
        <f t="shared" si="45"/>
        <v>NY Submit</v>
      </c>
      <c r="BM316" s="12" t="str">
        <f t="shared" si="46"/>
        <v>NY Submit</v>
      </c>
      <c r="BN316" s="12"/>
      <c r="BO316" s="12"/>
      <c r="BP316" s="155" t="s">
        <v>1768</v>
      </c>
      <c r="BQ316" s="12" t="s">
        <v>3106</v>
      </c>
      <c r="BR316" s="12"/>
      <c r="BS316" s="143" t="str">
        <f t="shared" ca="1" si="49"/>
        <v>Drop</v>
      </c>
      <c r="BT316" s="176"/>
      <c r="BU316" s="12"/>
      <c r="BV316" s="143" t="str">
        <f t="shared" ca="1" si="50"/>
        <v>Drop</v>
      </c>
      <c r="BW316" s="12"/>
      <c r="BX316" s="12"/>
      <c r="BY316" s="143"/>
      <c r="BZ316" s="13"/>
      <c r="CA316" s="13"/>
      <c r="CB316" s="13"/>
      <c r="CC316" s="13"/>
      <c r="CD316" s="13"/>
      <c r="CE316" s="198"/>
      <c r="CF316" s="198"/>
      <c r="CG316" s="272"/>
      <c r="CH316" s="272"/>
      <c r="CI316" s="198"/>
      <c r="CJ316" s="198"/>
      <c r="CK316" s="198"/>
      <c r="CL316" s="198"/>
    </row>
    <row r="317" spans="1:90" ht="60" customHeight="1">
      <c r="A317" s="181">
        <v>312</v>
      </c>
      <c r="B317" s="190" t="s">
        <v>2486</v>
      </c>
      <c r="C317" s="190" t="s">
        <v>2487</v>
      </c>
      <c r="D317" s="190" t="s">
        <v>135</v>
      </c>
      <c r="E317" s="8" t="e">
        <f ca="1">+_xlfn.CONCAT(G317,"-",B317,"_",C317,"_",_xlfn.XLOOKUP(BP317,Account!M:M,Account!N:N))</f>
        <v>#NAME?</v>
      </c>
      <c r="F317" s="12">
        <v>46142</v>
      </c>
      <c r="G317" s="190" t="s">
        <v>1068</v>
      </c>
      <c r="H317" s="190" t="s">
        <v>4275</v>
      </c>
      <c r="I317" s="10" t="s">
        <v>1069</v>
      </c>
      <c r="J317" s="190">
        <v>2</v>
      </c>
      <c r="K317" s="190" t="s">
        <v>2038</v>
      </c>
      <c r="L317" s="190" t="s">
        <v>2780</v>
      </c>
      <c r="M317" s="190" t="s">
        <v>3014</v>
      </c>
      <c r="N317" s="10" t="s">
        <v>4276</v>
      </c>
      <c r="O317" s="178" t="s">
        <v>4277</v>
      </c>
      <c r="P317" s="178" t="s">
        <v>4278</v>
      </c>
      <c r="Q317" s="327">
        <v>13067.712</v>
      </c>
      <c r="R317" s="190">
        <v>55</v>
      </c>
      <c r="S317" s="190" t="s">
        <v>3635</v>
      </c>
      <c r="T317" s="190" t="s">
        <v>2494</v>
      </c>
      <c r="U317" s="190" t="s">
        <v>2495</v>
      </c>
      <c r="V317" s="8" t="s">
        <v>1760</v>
      </c>
      <c r="W317" s="10"/>
      <c r="X317" s="9"/>
      <c r="Y317" s="172" t="s">
        <v>2432</v>
      </c>
      <c r="Z317" s="172">
        <v>46149</v>
      </c>
      <c r="AA317" s="172">
        <v>46155</v>
      </c>
      <c r="AB317" s="143" t="str">
        <f t="shared" ca="1" si="42"/>
        <v>Expired</v>
      </c>
      <c r="AC317" s="13"/>
      <c r="AD317" s="12">
        <v>46164</v>
      </c>
      <c r="AE317" s="12">
        <v>46165</v>
      </c>
      <c r="AF317" s="12">
        <v>46203</v>
      </c>
      <c r="AG317" s="12">
        <v>46195</v>
      </c>
      <c r="AH317" s="11"/>
      <c r="AI317" s="11"/>
      <c r="AJ317" s="11"/>
      <c r="AK317" s="11"/>
      <c r="AL317" s="11"/>
      <c r="AM317" s="11"/>
      <c r="AN317" s="11"/>
      <c r="AO317" s="11" t="str">
        <f>+IF(AN317&lt;&gt;"","BAST",IF(AI317&lt;&gt;"","Dismantle",IF(AG317&lt;&gt;"","RFD App",IF(AF317="Drop","Drop",IF(AE317&lt;&gt;"","Survey Report",IF(AD317&lt;&gt;"","Survey","NY Survey"))))))</f>
        <v>RFD App</v>
      </c>
      <c r="AP317" s="185"/>
      <c r="AQ317" s="12">
        <v>46170</v>
      </c>
      <c r="AR317" s="12">
        <v>46188</v>
      </c>
      <c r="AS317" s="12">
        <v>46170</v>
      </c>
      <c r="AT317" s="12"/>
      <c r="AU317" s="12">
        <v>46188</v>
      </c>
      <c r="AV317" s="12">
        <v>46188</v>
      </c>
      <c r="AW317" s="11" t="str">
        <f t="shared" si="43"/>
        <v>1st BOQ App on ISAAC</v>
      </c>
      <c r="AX317" s="12"/>
      <c r="AY317" s="12"/>
      <c r="AZ317" s="12"/>
      <c r="BA317" s="12" t="s">
        <v>1754</v>
      </c>
      <c r="BB317" s="12"/>
      <c r="BC317" s="12"/>
      <c r="BD317" s="11" t="str">
        <f t="shared" si="44"/>
        <v>need DRM</v>
      </c>
      <c r="BE317" s="220" t="s">
        <v>4279</v>
      </c>
      <c r="BF317" s="12">
        <v>46167</v>
      </c>
      <c r="BG317" s="12">
        <v>46167</v>
      </c>
      <c r="BH317" s="12" t="s">
        <v>4280</v>
      </c>
      <c r="BI317" s="12">
        <v>46167</v>
      </c>
      <c r="BJ317" s="12">
        <v>46167</v>
      </c>
      <c r="BK317" s="174" t="s">
        <v>4281</v>
      </c>
      <c r="BL317" s="12" t="str">
        <f t="shared" si="45"/>
        <v>Approved</v>
      </c>
      <c r="BM317" s="12" t="str">
        <f t="shared" si="46"/>
        <v>Approved</v>
      </c>
      <c r="BN317" s="12"/>
      <c r="BO317" s="12"/>
      <c r="BP317" s="155" t="s">
        <v>1760</v>
      </c>
      <c r="BQ317" s="12" t="s">
        <v>3106</v>
      </c>
      <c r="BR317" s="12"/>
      <c r="BS317" s="143">
        <f t="shared" ca="1" si="49"/>
        <v>51</v>
      </c>
      <c r="BT317" s="176"/>
      <c r="BU317" s="12"/>
      <c r="BV317" s="143">
        <f t="shared" ca="1" si="50"/>
        <v>0</v>
      </c>
      <c r="BW317" s="12"/>
      <c r="BX317" s="12"/>
      <c r="BY317" s="143"/>
      <c r="BZ317" s="13" t="s">
        <v>4282</v>
      </c>
      <c r="CA317" s="13" t="s">
        <v>2486</v>
      </c>
      <c r="CB317" s="13"/>
      <c r="CC317" s="13"/>
      <c r="CD317" s="13"/>
      <c r="CE317" s="198"/>
      <c r="CF317" s="198"/>
      <c r="CG317" s="272"/>
      <c r="CH317" s="272"/>
      <c r="CI317" s="198"/>
      <c r="CJ317" s="198"/>
      <c r="CK317" s="198"/>
      <c r="CL317" s="198"/>
    </row>
    <row r="318" spans="1:90" ht="60" customHeight="1">
      <c r="A318" s="181">
        <v>313</v>
      </c>
      <c r="B318" s="190" t="s">
        <v>2486</v>
      </c>
      <c r="C318" s="190" t="s">
        <v>2487</v>
      </c>
      <c r="D318" s="190" t="s">
        <v>135</v>
      </c>
      <c r="E318" s="8" t="e">
        <f ca="1">+_xlfn.CONCAT(G318,"-",B318,"_",C318,"_",_xlfn.XLOOKUP(BP318,Account!M:M,Account!N:N))</f>
        <v>#NAME?</v>
      </c>
      <c r="F318" s="12">
        <v>46142</v>
      </c>
      <c r="G318" s="190" t="s">
        <v>1997</v>
      </c>
      <c r="H318" s="190" t="s">
        <v>4283</v>
      </c>
      <c r="I318" s="10" t="s">
        <v>1998</v>
      </c>
      <c r="J318" s="190">
        <v>2</v>
      </c>
      <c r="K318" s="190" t="s">
        <v>2038</v>
      </c>
      <c r="L318" s="190" t="s">
        <v>2780</v>
      </c>
      <c r="M318" s="190" t="s">
        <v>3014</v>
      </c>
      <c r="N318" s="10" t="s">
        <v>2064</v>
      </c>
      <c r="O318" s="178" t="s">
        <v>4284</v>
      </c>
      <c r="P318" s="178" t="s">
        <v>4285</v>
      </c>
      <c r="Q318" s="327">
        <v>8462.0400000000009</v>
      </c>
      <c r="R318" s="190">
        <v>40</v>
      </c>
      <c r="S318" s="190" t="s">
        <v>68</v>
      </c>
      <c r="T318" s="190" t="s">
        <v>2494</v>
      </c>
      <c r="U318" s="190" t="s">
        <v>2495</v>
      </c>
      <c r="V318" s="8" t="s">
        <v>1760</v>
      </c>
      <c r="W318" s="10"/>
      <c r="X318" s="9"/>
      <c r="Y318" s="172" t="s">
        <v>2432</v>
      </c>
      <c r="Z318" s="172">
        <v>46149</v>
      </c>
      <c r="AA318" s="172">
        <v>46155</v>
      </c>
      <c r="AB318" s="143" t="str">
        <f t="shared" ca="1" si="42"/>
        <v>Expired</v>
      </c>
      <c r="AC318" s="13"/>
      <c r="AD318" s="12">
        <v>46161</v>
      </c>
      <c r="AE318" s="12">
        <v>46163</v>
      </c>
      <c r="AF318" s="12">
        <v>46203</v>
      </c>
      <c r="AG318" s="12">
        <v>46177</v>
      </c>
      <c r="AH318" s="11"/>
      <c r="AI318" s="11">
        <v>46224</v>
      </c>
      <c r="AJ318" s="11"/>
      <c r="AK318" s="11"/>
      <c r="AL318" s="11"/>
      <c r="AM318" s="11"/>
      <c r="AN318" s="11">
        <v>46224</v>
      </c>
      <c r="AO318" s="11" t="str">
        <f>+IF(AN318&lt;&gt;"","BAST",IF(AI318&lt;&gt;"","Dismantle",IF(AG318&lt;&gt;"","RFD App",IF(AF318="Drop","Drop",IF(AE318&lt;&gt;"","Survey Report",IF(AD318&lt;&gt;"","Survey","NY Survey"))))))</f>
        <v>BAST</v>
      </c>
      <c r="AP318" s="173"/>
      <c r="AQ318" s="12">
        <v>46163</v>
      </c>
      <c r="AR318" s="12">
        <v>46170</v>
      </c>
      <c r="AS318" s="12">
        <v>46170</v>
      </c>
      <c r="AT318" s="12"/>
      <c r="AU318" s="12">
        <v>46171</v>
      </c>
      <c r="AV318" s="12">
        <v>46171</v>
      </c>
      <c r="AW318" s="11" t="str">
        <f t="shared" si="43"/>
        <v>1st BOQ App on ISAAC</v>
      </c>
      <c r="AX318" s="12"/>
      <c r="AY318" s="12"/>
      <c r="AZ318" s="12"/>
      <c r="BA318" s="12" t="s">
        <v>1754</v>
      </c>
      <c r="BB318" s="12"/>
      <c r="BC318" s="12"/>
      <c r="BD318" s="11" t="str">
        <f t="shared" si="44"/>
        <v>need DRM</v>
      </c>
      <c r="BE318" s="220" t="s">
        <v>4286</v>
      </c>
      <c r="BF318" s="12">
        <v>46167</v>
      </c>
      <c r="BG318" s="12">
        <v>46167</v>
      </c>
      <c r="BH318" s="12" t="s">
        <v>4287</v>
      </c>
      <c r="BI318" s="12">
        <v>46167</v>
      </c>
      <c r="BJ318" s="12">
        <v>46167</v>
      </c>
      <c r="BK318" s="174" t="s">
        <v>4288</v>
      </c>
      <c r="BL318" s="12" t="str">
        <f t="shared" si="45"/>
        <v>Approved</v>
      </c>
      <c r="BM318" s="12" t="str">
        <f t="shared" si="46"/>
        <v>Approved</v>
      </c>
      <c r="BN318" s="12"/>
      <c r="BO318" s="12"/>
      <c r="BP318" s="155" t="s">
        <v>1760</v>
      </c>
      <c r="BQ318" s="12" t="s">
        <v>4289</v>
      </c>
      <c r="BR318" s="12">
        <v>46192</v>
      </c>
      <c r="BS318" s="143">
        <f t="shared" ca="1" si="49"/>
        <v>21</v>
      </c>
      <c r="BT318" s="176"/>
      <c r="BU318" s="12"/>
      <c r="BV318" s="143">
        <f t="shared" ca="1" si="50"/>
        <v>0</v>
      </c>
      <c r="BW318" s="12"/>
      <c r="BX318" s="12"/>
      <c r="BY318" s="143"/>
      <c r="BZ318" s="13"/>
      <c r="CA318" s="13"/>
      <c r="CB318" s="13"/>
      <c r="CC318" s="13"/>
      <c r="CD318" s="13"/>
      <c r="CE318" s="198"/>
      <c r="CF318" s="198"/>
      <c r="CG318" s="272"/>
      <c r="CH318" s="272"/>
      <c r="CI318" s="198"/>
      <c r="CJ318" s="198"/>
      <c r="CK318" s="198"/>
      <c r="CL318" s="198"/>
    </row>
    <row r="319" spans="1:90">
      <c r="A319" s="190">
        <v>314</v>
      </c>
      <c r="B319" s="190" t="s">
        <v>2486</v>
      </c>
      <c r="C319" s="190" t="s">
        <v>2487</v>
      </c>
      <c r="D319" s="190" t="s">
        <v>135</v>
      </c>
      <c r="E319" s="8" t="e">
        <f ca="1">+_xlfn.CONCAT(G319,"-",B319,"_",C319,"_",_xlfn.XLOOKUP(BP319,Account!M:M,Account!N:N))</f>
        <v>#NAME?</v>
      </c>
      <c r="F319" s="12">
        <v>46149</v>
      </c>
      <c r="G319" s="190" t="s">
        <v>4290</v>
      </c>
      <c r="H319" s="190" t="s">
        <v>4291</v>
      </c>
      <c r="I319" s="10" t="s">
        <v>4292</v>
      </c>
      <c r="J319" s="190">
        <v>7</v>
      </c>
      <c r="K319" s="190" t="s">
        <v>2038</v>
      </c>
      <c r="L319" s="190" t="s">
        <v>2894</v>
      </c>
      <c r="M319" s="190" t="s">
        <v>3752</v>
      </c>
      <c r="N319" s="10" t="s">
        <v>4293</v>
      </c>
      <c r="O319" s="178" t="s">
        <v>4294</v>
      </c>
      <c r="P319" s="178" t="s">
        <v>4295</v>
      </c>
      <c r="Q319" s="327">
        <v>9126.83</v>
      </c>
      <c r="R319" s="190">
        <v>70</v>
      </c>
      <c r="S319" s="190"/>
      <c r="T319" s="190" t="s">
        <v>2494</v>
      </c>
      <c r="U319" s="190" t="s">
        <v>2495</v>
      </c>
      <c r="V319" s="8" t="s">
        <v>4296</v>
      </c>
      <c r="W319" s="10"/>
      <c r="X319" s="9"/>
      <c r="Y319" s="172" t="s">
        <v>2432</v>
      </c>
      <c r="Z319" s="172">
        <v>46150</v>
      </c>
      <c r="AA319" s="172">
        <v>46156</v>
      </c>
      <c r="AB319" s="143" t="str">
        <f t="shared" ca="1" si="42"/>
        <v>Expired</v>
      </c>
      <c r="AC319" s="13"/>
      <c r="AD319" s="12">
        <v>46168</v>
      </c>
      <c r="AE319" s="12"/>
      <c r="AF319" s="12"/>
      <c r="AG319" s="12"/>
      <c r="AH319" s="11"/>
      <c r="AI319" s="11"/>
      <c r="AJ319" s="11"/>
      <c r="AK319" s="11"/>
      <c r="AL319" s="11"/>
      <c r="AM319" s="11"/>
      <c r="AN319" s="11"/>
      <c r="AO319" s="11" t="str">
        <f>+IF(AN319&lt;&gt;"","BAST",IF(AI319&lt;&gt;"","Dismantle",IF(AG319&lt;&gt;"","RFD App",IF(AF319="Drop","Drop",IF(AE319&lt;&gt;"","Survey Report",IF(AD319&lt;&gt;"","Survey","NY Survey"))))))</f>
        <v>Survey</v>
      </c>
      <c r="AP319" s="173"/>
      <c r="AQ319" s="12"/>
      <c r="AR319" s="12"/>
      <c r="AS319" s="12"/>
      <c r="AT319" s="12"/>
      <c r="AU319" s="12"/>
      <c r="AV319" s="12"/>
      <c r="AW319" s="11" t="str">
        <f t="shared" si="43"/>
        <v>NY Submit</v>
      </c>
      <c r="AX319" s="12"/>
      <c r="AY319" s="12"/>
      <c r="AZ319" s="12"/>
      <c r="BA319" s="12"/>
      <c r="BB319" s="12"/>
      <c r="BC319" s="12"/>
      <c r="BD319" s="11" t="str">
        <f t="shared" si="44"/>
        <v>NY Submit</v>
      </c>
      <c r="BE319" s="174" t="s">
        <v>4297</v>
      </c>
      <c r="BF319" s="12"/>
      <c r="BG319" s="12"/>
      <c r="BH319" s="12"/>
      <c r="BI319" s="12"/>
      <c r="BJ319" s="12"/>
      <c r="BK319" s="174"/>
      <c r="BL319" s="12" t="str">
        <f t="shared" si="45"/>
        <v>NY Submit</v>
      </c>
      <c r="BM319" s="12" t="str">
        <f t="shared" si="46"/>
        <v>NY Submit</v>
      </c>
      <c r="BN319" s="12"/>
      <c r="BO319" s="12"/>
      <c r="BP319" s="155" t="s">
        <v>1760</v>
      </c>
      <c r="BQ319" s="12" t="s">
        <v>3106</v>
      </c>
      <c r="BR319" s="12"/>
      <c r="BS319" s="143">
        <f t="shared" ca="1" si="49"/>
        <v>0</v>
      </c>
      <c r="BT319" s="176"/>
      <c r="BU319" s="12"/>
      <c r="BV319" s="143">
        <f t="shared" ca="1" si="50"/>
        <v>0</v>
      </c>
      <c r="BW319" s="12"/>
      <c r="BX319" s="12"/>
      <c r="BY319" s="143"/>
      <c r="BZ319" s="13"/>
      <c r="CA319" s="13"/>
      <c r="CB319" s="13"/>
      <c r="CC319" s="13"/>
      <c r="CD319" s="13"/>
      <c r="CE319" s="198"/>
      <c r="CF319" s="198"/>
      <c r="CG319" s="272"/>
      <c r="CH319" s="272"/>
      <c r="CI319" s="198"/>
      <c r="CJ319" s="198"/>
      <c r="CK319" s="198"/>
      <c r="CL319" s="198"/>
    </row>
    <row r="320" spans="1:90" ht="30" customHeight="1">
      <c r="A320" s="181">
        <v>315</v>
      </c>
      <c r="B320" s="190" t="s">
        <v>2486</v>
      </c>
      <c r="C320" s="190" t="s">
        <v>2487</v>
      </c>
      <c r="D320" s="190" t="s">
        <v>135</v>
      </c>
      <c r="E320" s="8" t="e">
        <f ca="1">+_xlfn.CONCAT(G320,"-",B320,"_",C320,"_",_xlfn.XLOOKUP(BP320,Account!M:M,Account!N:N))</f>
        <v>#NAME?</v>
      </c>
      <c r="F320" s="12">
        <v>46013</v>
      </c>
      <c r="G320" s="190" t="s">
        <v>66</v>
      </c>
      <c r="H320" s="190" t="s">
        <v>3911</v>
      </c>
      <c r="I320" s="10" t="s">
        <v>67</v>
      </c>
      <c r="J320" s="190">
        <v>11</v>
      </c>
      <c r="K320" s="190" t="s">
        <v>2486</v>
      </c>
      <c r="L320" s="190" t="s">
        <v>1263</v>
      </c>
      <c r="M320" s="190" t="s">
        <v>3912</v>
      </c>
      <c r="N320" s="10" t="s">
        <v>3913</v>
      </c>
      <c r="O320" s="178" t="s">
        <v>73</v>
      </c>
      <c r="P320" s="178" t="s">
        <v>3914</v>
      </c>
      <c r="Q320" s="327">
        <v>13212.913</v>
      </c>
      <c r="R320" s="190">
        <v>71</v>
      </c>
      <c r="S320" s="190"/>
      <c r="T320" s="190" t="s">
        <v>2494</v>
      </c>
      <c r="U320" s="190" t="s">
        <v>3330</v>
      </c>
      <c r="V320" s="8" t="s">
        <v>1768</v>
      </c>
      <c r="W320" s="10"/>
      <c r="X320" s="9"/>
      <c r="Y320" s="172" t="s">
        <v>2432</v>
      </c>
      <c r="Z320" s="172">
        <v>46018</v>
      </c>
      <c r="AA320" s="172">
        <v>46021</v>
      </c>
      <c r="AB320" s="143" t="str">
        <f t="shared" ca="1" si="42"/>
        <v>Expired</v>
      </c>
      <c r="AC320" s="13"/>
      <c r="AD320" s="12">
        <v>46022</v>
      </c>
      <c r="AE320" s="12"/>
      <c r="AF320" s="12">
        <v>46063</v>
      </c>
      <c r="AG320" s="12"/>
      <c r="AH320" s="11"/>
      <c r="AI320" s="11"/>
      <c r="AJ320" s="11"/>
      <c r="AK320" s="11">
        <v>46200</v>
      </c>
      <c r="AL320" s="11">
        <v>46200</v>
      </c>
      <c r="AM320" s="11"/>
      <c r="AN320" s="11"/>
      <c r="AO320" s="11" t="str">
        <f>+IF(AM320&lt;&gt;"","ATP App MS",IF(AL320&lt;&gt;"","OA/RFS",IF(AK320&lt;&gt;"","Install",IF(AH320&lt;&gt;"","Dismantle Perangkat",IF(AF320="Drop","Drop",IF(AE320&lt;&gt;"","Survey Report",IF(AD320&lt;&gt;"","Survey","NY Survey")))))))</f>
        <v>OA/RFS</v>
      </c>
      <c r="AP320" s="185" t="s">
        <v>4298</v>
      </c>
      <c r="AQ320" s="12">
        <v>46164</v>
      </c>
      <c r="AR320" s="12">
        <v>46171</v>
      </c>
      <c r="AS320" s="12"/>
      <c r="AT320" s="12"/>
      <c r="AU320" s="12">
        <v>46171</v>
      </c>
      <c r="AV320" s="12">
        <v>46173</v>
      </c>
      <c r="AW320" s="11" t="str">
        <f t="shared" si="43"/>
        <v>1st BOQ App on ISAAC</v>
      </c>
      <c r="AX320" s="12"/>
      <c r="AY320" s="12"/>
      <c r="AZ320" s="12"/>
      <c r="BA320" s="12"/>
      <c r="BB320" s="12"/>
      <c r="BC320" s="12"/>
      <c r="BD320" s="11" t="str">
        <f t="shared" si="44"/>
        <v>NY Submit</v>
      </c>
      <c r="BE320" s="174"/>
      <c r="BF320" s="12"/>
      <c r="BG320" s="12"/>
      <c r="BH320" s="12"/>
      <c r="BI320" s="12"/>
      <c r="BJ320" s="12"/>
      <c r="BK320" s="174"/>
      <c r="BL320" s="12" t="str">
        <f t="shared" si="45"/>
        <v>NY Submit</v>
      </c>
      <c r="BM320" s="12" t="str">
        <f t="shared" si="46"/>
        <v>NY Submit</v>
      </c>
      <c r="BN320" s="12"/>
      <c r="BO320" s="12"/>
      <c r="BP320" s="155" t="s">
        <v>1768</v>
      </c>
      <c r="BQ320" s="12" t="s">
        <v>4299</v>
      </c>
      <c r="BR320" s="12">
        <v>46209</v>
      </c>
      <c r="BS320" s="143">
        <f t="shared" ca="1" si="49"/>
        <v>36</v>
      </c>
      <c r="BT320" s="176"/>
      <c r="BU320" s="12"/>
      <c r="BV320" s="143">
        <f t="shared" ca="1" si="50"/>
        <v>0</v>
      </c>
      <c r="BW320" s="12"/>
      <c r="BX320" s="12"/>
      <c r="BY320" s="143"/>
      <c r="BZ320" s="13" t="s">
        <v>3920</v>
      </c>
      <c r="CA320" s="13" t="s">
        <v>2984</v>
      </c>
      <c r="CB320" s="13"/>
      <c r="CC320" s="13"/>
      <c r="CD320" s="13"/>
      <c r="CE320" s="198" t="s">
        <v>71</v>
      </c>
      <c r="CF320" s="198" t="s">
        <v>72</v>
      </c>
      <c r="CG320" s="272" t="s">
        <v>1200</v>
      </c>
      <c r="CH320" s="272" t="s">
        <v>1199</v>
      </c>
      <c r="CI320" s="198" t="s">
        <v>75</v>
      </c>
      <c r="CJ320" s="198"/>
      <c r="CK320" s="198"/>
      <c r="CL320" s="198"/>
    </row>
    <row r="321" spans="1:90">
      <c r="A321" s="190">
        <v>316</v>
      </c>
      <c r="B321" s="190" t="s">
        <v>2486</v>
      </c>
      <c r="C321" s="190" t="s">
        <v>2487</v>
      </c>
      <c r="D321" s="190" t="s">
        <v>135</v>
      </c>
      <c r="E321" s="8" t="e">
        <f ca="1">+_xlfn.CONCAT(G321,"-",B321,"_",C321,"_",_xlfn.XLOOKUP(BP321,Account!M:M,Account!N:N))</f>
        <v>#NAME?</v>
      </c>
      <c r="F321" s="12">
        <v>46167</v>
      </c>
      <c r="G321" s="190" t="s">
        <v>2005</v>
      </c>
      <c r="H321" s="190" t="s">
        <v>4300</v>
      </c>
      <c r="I321" s="10" t="s">
        <v>2006</v>
      </c>
      <c r="J321" s="190">
        <v>11</v>
      </c>
      <c r="K321" s="190" t="s">
        <v>2486</v>
      </c>
      <c r="L321" s="190" t="s">
        <v>1263</v>
      </c>
      <c r="M321" s="190" t="s">
        <v>3394</v>
      </c>
      <c r="N321" s="10" t="s">
        <v>4301</v>
      </c>
      <c r="O321" s="178" t="s">
        <v>4302</v>
      </c>
      <c r="P321" s="178" t="s">
        <v>4303</v>
      </c>
      <c r="Q321" s="327">
        <v>6828.5249999999996</v>
      </c>
      <c r="R321" s="190">
        <v>51</v>
      </c>
      <c r="S321" s="190"/>
      <c r="T321" s="190" t="s">
        <v>2494</v>
      </c>
      <c r="U321" s="190" t="s">
        <v>3330</v>
      </c>
      <c r="V321" s="8" t="s">
        <v>1760</v>
      </c>
      <c r="W321" s="10"/>
      <c r="X321" s="9"/>
      <c r="Y321" s="172"/>
      <c r="Z321" s="172"/>
      <c r="AA321" s="172"/>
      <c r="AB321" s="208" t="str">
        <f t="shared" ca="1" si="42"/>
        <v>NY Submit</v>
      </c>
      <c r="AC321" s="13"/>
      <c r="AD321" s="12">
        <v>46206</v>
      </c>
      <c r="AE321" s="12">
        <v>46209</v>
      </c>
      <c r="AF321" s="12">
        <v>46343</v>
      </c>
      <c r="AG321" s="12"/>
      <c r="AH321" s="11"/>
      <c r="AI321" s="11"/>
      <c r="AJ321" s="11"/>
      <c r="AK321" s="11"/>
      <c r="AL321" s="11"/>
      <c r="AM321" s="11"/>
      <c r="AN321" s="11"/>
      <c r="AO321" s="11" t="str">
        <f>+IF(AN321&lt;&gt;"","BAST",IF(AI321&lt;&gt;"","Dismantle",IF(AG321&lt;&gt;"","RFD App",IF(AF321="Drop","Drop",IF(AE321&lt;&gt;"","Survey Report",IF(AD321&lt;&gt;"","Survey","NY Survey"))))))</f>
        <v>Survey Report</v>
      </c>
      <c r="AP321" s="173" t="s">
        <v>4259</v>
      </c>
      <c r="AQ321" s="12">
        <v>46219</v>
      </c>
      <c r="AR321" s="12">
        <v>46225</v>
      </c>
      <c r="AS321" s="12">
        <v>46219</v>
      </c>
      <c r="AT321" s="12"/>
      <c r="AU321" s="12">
        <v>46227</v>
      </c>
      <c r="AV321" s="12">
        <v>46230</v>
      </c>
      <c r="AW321" s="11" t="str">
        <f t="shared" si="43"/>
        <v>1st BOQ App on ISAAC</v>
      </c>
      <c r="AX321" s="12"/>
      <c r="AY321" s="12"/>
      <c r="AZ321" s="12"/>
      <c r="BA321" s="12" t="s">
        <v>1754</v>
      </c>
      <c r="BB321" s="12"/>
      <c r="BC321" s="12"/>
      <c r="BD321" s="11" t="str">
        <f t="shared" si="44"/>
        <v>need DRM</v>
      </c>
      <c r="BE321" s="281" t="s">
        <v>3398</v>
      </c>
      <c r="BF321" s="12">
        <v>46212</v>
      </c>
      <c r="BG321" s="12">
        <v>46226</v>
      </c>
      <c r="BH321" s="12" t="s">
        <v>4304</v>
      </c>
      <c r="BI321" s="12">
        <v>46212</v>
      </c>
      <c r="BJ321" s="12">
        <v>46218</v>
      </c>
      <c r="BK321" s="174" t="s">
        <v>4305</v>
      </c>
      <c r="BL321" s="12" t="str">
        <f t="shared" si="45"/>
        <v>Approved</v>
      </c>
      <c r="BM321" s="12" t="str">
        <f t="shared" si="46"/>
        <v>Approved</v>
      </c>
      <c r="BN321" s="12"/>
      <c r="BO321" s="12"/>
      <c r="BP321" s="155" t="s">
        <v>1760</v>
      </c>
      <c r="BQ321" s="12" t="s">
        <v>3106</v>
      </c>
      <c r="BR321" s="12"/>
      <c r="BS321" s="143">
        <f t="shared" ca="1" si="49"/>
        <v>9</v>
      </c>
      <c r="BT321" s="176"/>
      <c r="BU321" s="12"/>
      <c r="BV321" s="143">
        <f t="shared" ca="1" si="50"/>
        <v>0</v>
      </c>
      <c r="BW321" s="12"/>
      <c r="BX321" s="12"/>
      <c r="BY321" s="143"/>
      <c r="BZ321" s="13"/>
      <c r="CA321" s="13"/>
      <c r="CB321" s="13"/>
      <c r="CC321" s="13"/>
      <c r="CD321" s="13"/>
      <c r="CE321" s="198"/>
      <c r="CF321" s="198"/>
      <c r="CG321" s="272"/>
      <c r="CH321" s="272"/>
      <c r="CI321" s="198"/>
      <c r="CJ321" s="198"/>
      <c r="CK321" s="198"/>
      <c r="CL321" s="198"/>
    </row>
    <row r="322" spans="1:90">
      <c r="A322" s="190">
        <v>317</v>
      </c>
      <c r="B322" s="190" t="s">
        <v>2486</v>
      </c>
      <c r="C322" s="190" t="s">
        <v>2487</v>
      </c>
      <c r="D322" s="190" t="s">
        <v>135</v>
      </c>
      <c r="E322" s="8" t="e">
        <f ca="1">+_xlfn.CONCAT(G322,"-",B322,"_",C322,"_",_xlfn.XLOOKUP(BP322,Account!M:M,Account!N:N))</f>
        <v>#NAME?</v>
      </c>
      <c r="F322" s="12">
        <v>46167</v>
      </c>
      <c r="G322" s="190" t="s">
        <v>2005</v>
      </c>
      <c r="H322" s="190" t="s">
        <v>4300</v>
      </c>
      <c r="I322" s="10" t="s">
        <v>2006</v>
      </c>
      <c r="J322" s="190">
        <v>11</v>
      </c>
      <c r="K322" s="190" t="s">
        <v>2486</v>
      </c>
      <c r="L322" s="190" t="s">
        <v>1263</v>
      </c>
      <c r="M322" s="190" t="s">
        <v>3394</v>
      </c>
      <c r="N322" s="10" t="s">
        <v>4301</v>
      </c>
      <c r="O322" s="178" t="s">
        <v>4302</v>
      </c>
      <c r="P322" s="178" t="s">
        <v>4303</v>
      </c>
      <c r="Q322" s="327">
        <v>6828.5249999999996</v>
      </c>
      <c r="R322" s="190">
        <v>51</v>
      </c>
      <c r="S322" s="190"/>
      <c r="T322" s="190" t="s">
        <v>2494</v>
      </c>
      <c r="U322" s="190" t="s">
        <v>3330</v>
      </c>
      <c r="V322" s="8" t="s">
        <v>2011</v>
      </c>
      <c r="W322" s="10"/>
      <c r="X322" s="9"/>
      <c r="Y322" s="172"/>
      <c r="Z322" s="172"/>
      <c r="AA322" s="172"/>
      <c r="AB322" s="143" t="str">
        <f t="shared" ca="1" si="42"/>
        <v>NY Submit</v>
      </c>
      <c r="AC322" s="13"/>
      <c r="AD322" s="12">
        <v>46206</v>
      </c>
      <c r="AE322" s="12">
        <v>46209</v>
      </c>
      <c r="AF322" s="12"/>
      <c r="AG322" s="12"/>
      <c r="AH322" s="11"/>
      <c r="AI322" s="11"/>
      <c r="AJ322" s="11"/>
      <c r="AK322" s="11"/>
      <c r="AL322" s="11"/>
      <c r="AM322" s="11"/>
      <c r="AN322" s="11"/>
      <c r="AO322" s="11" t="str">
        <f>+IF(AM322&lt;&gt;"","ATP App MS",IF(AJ322&lt;&gt;"","Inbound",IF(AH322&lt;&gt;"","Dismantle Perangkat",IF(AF322="Drop","Drop",IF(AE322&lt;&gt;"","Survey Report",IF(AD322&lt;&gt;"","Survey","NY Survey"))))))</f>
        <v>Survey Report</v>
      </c>
      <c r="AP322" s="173"/>
      <c r="AQ322" s="12">
        <v>46219</v>
      </c>
      <c r="AR322" s="12">
        <v>46225</v>
      </c>
      <c r="AS322" s="12">
        <v>46219</v>
      </c>
      <c r="AT322" s="12"/>
      <c r="AU322" s="12">
        <v>46227</v>
      </c>
      <c r="AV322" s="12">
        <v>46230</v>
      </c>
      <c r="AW322" s="11" t="str">
        <f t="shared" si="43"/>
        <v>1st BOQ App on ISAAC</v>
      </c>
      <c r="AX322" s="12"/>
      <c r="AY322" s="12"/>
      <c r="AZ322" s="12"/>
      <c r="BA322" s="12" t="s">
        <v>1754</v>
      </c>
      <c r="BB322" s="12"/>
      <c r="BC322" s="12"/>
      <c r="BD322" s="11" t="str">
        <f t="shared" si="44"/>
        <v>need DRM</v>
      </c>
      <c r="BE322" s="281" t="s">
        <v>3398</v>
      </c>
      <c r="BF322" s="12">
        <v>46212</v>
      </c>
      <c r="BG322" s="12">
        <v>46226</v>
      </c>
      <c r="BH322" s="12"/>
      <c r="BI322" s="12">
        <v>46212</v>
      </c>
      <c r="BJ322" s="12">
        <v>46218</v>
      </c>
      <c r="BK322" s="174"/>
      <c r="BL322" s="12" t="str">
        <f t="shared" si="45"/>
        <v>Approved</v>
      </c>
      <c r="BM322" s="12" t="str">
        <f t="shared" si="46"/>
        <v>Approved</v>
      </c>
      <c r="BN322" s="12"/>
      <c r="BO322" s="12"/>
      <c r="BP322" s="155" t="s">
        <v>2011</v>
      </c>
      <c r="BQ322" s="12" t="s">
        <v>3106</v>
      </c>
      <c r="BR322" s="12"/>
      <c r="BS322" s="143">
        <f t="shared" ca="1" si="49"/>
        <v>9</v>
      </c>
      <c r="BT322" s="176"/>
      <c r="BU322" s="12"/>
      <c r="BV322" s="143">
        <f t="shared" ca="1" si="50"/>
        <v>0</v>
      </c>
      <c r="BW322" s="12"/>
      <c r="BX322" s="12"/>
      <c r="BY322" s="143"/>
      <c r="BZ322" s="13"/>
      <c r="CA322" s="13"/>
      <c r="CB322" s="13"/>
      <c r="CC322" s="13"/>
      <c r="CD322" s="13"/>
      <c r="CE322" s="198"/>
      <c r="CF322" s="198"/>
      <c r="CG322" s="272"/>
      <c r="CH322" s="272"/>
      <c r="CI322" s="198"/>
      <c r="CJ322" s="198"/>
      <c r="CK322" s="198"/>
      <c r="CL322" s="198"/>
    </row>
    <row r="323" spans="1:90">
      <c r="A323" s="190">
        <v>318</v>
      </c>
      <c r="B323" s="190" t="s">
        <v>2486</v>
      </c>
      <c r="C323" s="190" t="s">
        <v>2487</v>
      </c>
      <c r="D323" s="190" t="s">
        <v>135</v>
      </c>
      <c r="E323" s="8" t="e">
        <f ca="1">+_xlfn.CONCAT(G323,"-",B323,"_",C323,"_",_xlfn.XLOOKUP(BP323,Account!M:M,Account!N:N))</f>
        <v>#NAME?</v>
      </c>
      <c r="F323" s="12">
        <v>46167</v>
      </c>
      <c r="G323" s="190" t="s">
        <v>2005</v>
      </c>
      <c r="H323" s="190" t="s">
        <v>4300</v>
      </c>
      <c r="I323" s="10" t="s">
        <v>2006</v>
      </c>
      <c r="J323" s="190">
        <v>11</v>
      </c>
      <c r="K323" s="190" t="s">
        <v>2486</v>
      </c>
      <c r="L323" s="190" t="s">
        <v>1263</v>
      </c>
      <c r="M323" s="190" t="s">
        <v>3394</v>
      </c>
      <c r="N323" s="10" t="s">
        <v>4301</v>
      </c>
      <c r="O323" s="178" t="s">
        <v>4302</v>
      </c>
      <c r="P323" s="178" t="s">
        <v>4303</v>
      </c>
      <c r="Q323" s="327">
        <v>6828.5249999999996</v>
      </c>
      <c r="R323" s="190">
        <v>51</v>
      </c>
      <c r="S323" s="190"/>
      <c r="T323" s="190" t="s">
        <v>2494</v>
      </c>
      <c r="U323" s="190" t="s">
        <v>3330</v>
      </c>
      <c r="V323" s="8" t="s">
        <v>1768</v>
      </c>
      <c r="W323" s="10"/>
      <c r="X323" s="9"/>
      <c r="Y323" s="172"/>
      <c r="Z323" s="172"/>
      <c r="AA323" s="172"/>
      <c r="AB323" s="143" t="str">
        <f t="shared" ca="1" si="42"/>
        <v>NY Submit</v>
      </c>
      <c r="AC323" s="13"/>
      <c r="AD323" s="12">
        <v>46206</v>
      </c>
      <c r="AE323" s="12">
        <v>46209</v>
      </c>
      <c r="AF323" s="12"/>
      <c r="AG323" s="12"/>
      <c r="AH323" s="11"/>
      <c r="AI323" s="11"/>
      <c r="AJ323" s="11"/>
      <c r="AK323" s="11"/>
      <c r="AL323" s="11"/>
      <c r="AM323" s="11"/>
      <c r="AN323" s="11"/>
      <c r="AO323" s="11" t="str">
        <f>+IF(AM323&lt;&gt;"","ATP App MS",IF(AL323&lt;&gt;"","OA/RFS",IF(AK323&lt;&gt;"","Install",IF(AH323&lt;&gt;"","Dismantle Perangkat",IF(AF323="Drop","Drop",IF(AE323&lt;&gt;"","Survey Report",IF(AD323&lt;&gt;"","Survey","NY Survey")))))))</f>
        <v>Survey Report</v>
      </c>
      <c r="AP323" s="173"/>
      <c r="AQ323" s="12">
        <v>46219</v>
      </c>
      <c r="AR323" s="12">
        <v>46225</v>
      </c>
      <c r="AS323" s="12">
        <v>46219</v>
      </c>
      <c r="AT323" s="12"/>
      <c r="AU323" s="12">
        <v>46227</v>
      </c>
      <c r="AV323" s="12">
        <v>46230</v>
      </c>
      <c r="AW323" s="11" t="str">
        <f t="shared" si="43"/>
        <v>1st BOQ App on ISAAC</v>
      </c>
      <c r="AX323" s="12"/>
      <c r="AY323" s="12"/>
      <c r="AZ323" s="12"/>
      <c r="BA323" s="12" t="s">
        <v>1754</v>
      </c>
      <c r="BB323" s="12"/>
      <c r="BC323" s="12"/>
      <c r="BD323" s="11" t="str">
        <f t="shared" si="44"/>
        <v>need DRM</v>
      </c>
      <c r="BE323" s="281" t="s">
        <v>3398</v>
      </c>
      <c r="BF323" s="12"/>
      <c r="BG323" s="12"/>
      <c r="BH323" s="12"/>
      <c r="BI323" s="12"/>
      <c r="BJ323" s="12"/>
      <c r="BK323" s="174"/>
      <c r="BL323" s="12" t="str">
        <f t="shared" si="45"/>
        <v>NY Submit</v>
      </c>
      <c r="BM323" s="12" t="str">
        <f t="shared" si="46"/>
        <v>NY Submit</v>
      </c>
      <c r="BN323" s="12"/>
      <c r="BO323" s="12"/>
      <c r="BP323" s="155" t="s">
        <v>1768</v>
      </c>
      <c r="BQ323" s="12" t="s">
        <v>3106</v>
      </c>
      <c r="BR323" s="12"/>
      <c r="BS323" s="143">
        <f t="shared" ca="1" si="49"/>
        <v>9</v>
      </c>
      <c r="BT323" s="176"/>
      <c r="BU323" s="12"/>
      <c r="BV323" s="143">
        <f t="shared" ca="1" si="50"/>
        <v>0</v>
      </c>
      <c r="BW323" s="12"/>
      <c r="BX323" s="12"/>
      <c r="BY323" s="143"/>
      <c r="BZ323" s="13"/>
      <c r="CA323" s="13"/>
      <c r="CB323" s="13"/>
      <c r="CC323" s="13"/>
      <c r="CD323" s="13"/>
      <c r="CE323" s="198"/>
      <c r="CF323" s="198"/>
      <c r="CG323" s="272"/>
      <c r="CH323" s="272"/>
      <c r="CI323" s="198"/>
      <c r="CJ323" s="198"/>
      <c r="CK323" s="198"/>
      <c r="CL323" s="198"/>
    </row>
    <row r="324" spans="1:90">
      <c r="A324" s="187">
        <v>319</v>
      </c>
      <c r="B324" s="190" t="s">
        <v>2486</v>
      </c>
      <c r="C324" s="190" t="s">
        <v>2487</v>
      </c>
      <c r="D324" s="190" t="s">
        <v>135</v>
      </c>
      <c r="E324" s="8" t="e">
        <f ca="1">+_xlfn.CONCAT(G324,"-",B324,"_",C324,"_",_xlfn.XLOOKUP(BP324,Account!M:M,Account!N:N))</f>
        <v>#NAME?</v>
      </c>
      <c r="F324" s="12">
        <v>46013</v>
      </c>
      <c r="G324" s="190" t="s">
        <v>66</v>
      </c>
      <c r="H324" s="190" t="s">
        <v>3911</v>
      </c>
      <c r="I324" s="10" t="s">
        <v>67</v>
      </c>
      <c r="J324" s="190">
        <v>11</v>
      </c>
      <c r="K324" s="190" t="s">
        <v>2486</v>
      </c>
      <c r="L324" s="190" t="s">
        <v>1263</v>
      </c>
      <c r="M324" s="190" t="s">
        <v>3912</v>
      </c>
      <c r="N324" s="10" t="s">
        <v>3913</v>
      </c>
      <c r="O324" s="178" t="s">
        <v>73</v>
      </c>
      <c r="P324" s="178" t="s">
        <v>3914</v>
      </c>
      <c r="Q324" s="327">
        <v>13212.913</v>
      </c>
      <c r="R324" s="190">
        <v>71</v>
      </c>
      <c r="S324" s="190"/>
      <c r="T324" s="190" t="s">
        <v>2494</v>
      </c>
      <c r="U324" s="190" t="s">
        <v>3330</v>
      </c>
      <c r="V324" s="8" t="s">
        <v>4306</v>
      </c>
      <c r="W324" s="10"/>
      <c r="X324" s="9"/>
      <c r="Y324" s="172"/>
      <c r="Z324" s="172"/>
      <c r="AA324" s="172"/>
      <c r="AB324" s="143" t="str">
        <f t="shared" ca="1" si="42"/>
        <v>NY Submit</v>
      </c>
      <c r="AC324" s="13"/>
      <c r="AD324" s="12">
        <v>46167</v>
      </c>
      <c r="AE324" s="12">
        <v>46167</v>
      </c>
      <c r="AF324" s="12"/>
      <c r="AG324" s="12"/>
      <c r="AH324" s="11"/>
      <c r="AI324" s="11"/>
      <c r="AJ324" s="11"/>
      <c r="AK324" s="11"/>
      <c r="AL324" s="11"/>
      <c r="AM324" s="12">
        <v>46167</v>
      </c>
      <c r="AN324" s="11"/>
      <c r="AO324" s="11" t="str">
        <f>+IF(AM324&lt;&gt;"","Survey LOS App",IF(AF324="Drop","Drop",IF(AE324&lt;&gt;"","Survey Report",IF(AD324&lt;&gt;"","Survey","NY Survey"))))</f>
        <v>Survey LOS App</v>
      </c>
      <c r="AP324" s="173"/>
      <c r="AQ324" s="12"/>
      <c r="AR324" s="12"/>
      <c r="AS324" s="12"/>
      <c r="AT324" s="12"/>
      <c r="AU324" s="12"/>
      <c r="AV324" s="12"/>
      <c r="AW324" s="11" t="str">
        <f t="shared" si="43"/>
        <v>NY Submit</v>
      </c>
      <c r="AX324" s="12"/>
      <c r="AY324" s="12"/>
      <c r="AZ324" s="12"/>
      <c r="BA324" s="12"/>
      <c r="BB324" s="12"/>
      <c r="BC324" s="12"/>
      <c r="BD324" s="11" t="str">
        <f t="shared" si="44"/>
        <v>NY Submit</v>
      </c>
      <c r="BE324" s="174"/>
      <c r="BF324" s="12"/>
      <c r="BG324" s="12"/>
      <c r="BH324" s="12"/>
      <c r="BI324" s="12"/>
      <c r="BJ324" s="12"/>
      <c r="BK324" s="174"/>
      <c r="BL324" s="12" t="str">
        <f t="shared" si="45"/>
        <v>NY Submit</v>
      </c>
      <c r="BM324" s="12" t="str">
        <f t="shared" si="46"/>
        <v>NY Submit</v>
      </c>
      <c r="BN324" s="12"/>
      <c r="BO324" s="12"/>
      <c r="BP324" s="155" t="s">
        <v>2507</v>
      </c>
      <c r="BQ324" s="12" t="s">
        <v>4307</v>
      </c>
      <c r="BR324" s="12">
        <v>46210</v>
      </c>
      <c r="BS324" s="143">
        <f t="shared" ca="1" si="49"/>
        <v>0</v>
      </c>
      <c r="BT324" s="176"/>
      <c r="BU324" s="12"/>
      <c r="BV324" s="143">
        <f t="shared" ca="1" si="50"/>
        <v>0</v>
      </c>
      <c r="BW324" s="12"/>
      <c r="BX324" s="12"/>
      <c r="BY324" s="143"/>
      <c r="BZ324" s="13" t="s">
        <v>2500</v>
      </c>
      <c r="CA324" s="13" t="s">
        <v>2555</v>
      </c>
      <c r="CB324" s="13"/>
      <c r="CC324" s="13"/>
      <c r="CD324" s="13"/>
      <c r="CE324" s="198"/>
      <c r="CF324" s="198"/>
      <c r="CG324" s="272"/>
      <c r="CH324" s="272"/>
      <c r="CI324" s="198"/>
      <c r="CJ324" s="198"/>
      <c r="CK324" s="198"/>
      <c r="CL324" s="198"/>
    </row>
    <row r="325" spans="1:90">
      <c r="A325" s="181">
        <v>320</v>
      </c>
      <c r="B325" s="190" t="s">
        <v>2486</v>
      </c>
      <c r="C325" s="190" t="s">
        <v>2487</v>
      </c>
      <c r="D325" s="190" t="s">
        <v>135</v>
      </c>
      <c r="E325" s="8" t="e">
        <f ca="1">+_xlfn.CONCAT(G325,"-",B325,"_",C325,"_",_xlfn.XLOOKUP(BP325,Account!M:M,Account!N:N))</f>
        <v>#NAME?</v>
      </c>
      <c r="F325" s="12">
        <v>46170</v>
      </c>
      <c r="G325" s="190" t="s">
        <v>1990</v>
      </c>
      <c r="H325" s="190" t="s">
        <v>4308</v>
      </c>
      <c r="I325" s="10" t="s">
        <v>1991</v>
      </c>
      <c r="J325" s="190">
        <v>16</v>
      </c>
      <c r="K325" s="190" t="s">
        <v>2486</v>
      </c>
      <c r="L325" s="190" t="s">
        <v>1230</v>
      </c>
      <c r="M325" s="190" t="s">
        <v>2666</v>
      </c>
      <c r="N325" s="10" t="s">
        <v>4309</v>
      </c>
      <c r="O325" s="178" t="s">
        <v>4310</v>
      </c>
      <c r="P325" s="178" t="s">
        <v>4311</v>
      </c>
      <c r="Q325" s="327">
        <v>1039.5385000000001</v>
      </c>
      <c r="R325" s="190">
        <v>9</v>
      </c>
      <c r="S325" s="190"/>
      <c r="T325" s="190" t="s">
        <v>2518</v>
      </c>
      <c r="U325" s="190" t="s">
        <v>2565</v>
      </c>
      <c r="V325" s="8" t="s">
        <v>1760</v>
      </c>
      <c r="W325" s="10"/>
      <c r="X325" s="9"/>
      <c r="Y325" s="172"/>
      <c r="Z325" s="172"/>
      <c r="AA325" s="172"/>
      <c r="AB325" s="208" t="str">
        <f t="shared" ca="1" si="42"/>
        <v>NY Submit</v>
      </c>
      <c r="AC325" s="13"/>
      <c r="AD325" s="12">
        <v>46183</v>
      </c>
      <c r="AE325" s="12">
        <v>46185</v>
      </c>
      <c r="AF325" s="12">
        <v>46218</v>
      </c>
      <c r="AG325" s="12"/>
      <c r="AH325" s="11"/>
      <c r="AI325" s="11"/>
      <c r="AJ325" s="11"/>
      <c r="AK325" s="11"/>
      <c r="AL325" s="11"/>
      <c r="AM325" s="11"/>
      <c r="AN325" s="11"/>
      <c r="AO325" s="11" t="str">
        <f>+IF(AN325&lt;&gt;"","BAST",IF(AI325&lt;&gt;"","Dismantle",IF(AG325&lt;&gt;"","RFD App",IF(AF325="Drop","Drop",IF(AE325&lt;&gt;"","Survey Report",IF(AD325&lt;&gt;"","Survey","NY Survey"))))))</f>
        <v>Survey Report</v>
      </c>
      <c r="AP325" s="173" t="s">
        <v>4312</v>
      </c>
      <c r="AQ325" s="12">
        <v>46196</v>
      </c>
      <c r="AR325" s="12">
        <v>46204</v>
      </c>
      <c r="AS325" s="12">
        <v>46197</v>
      </c>
      <c r="AT325" s="12"/>
      <c r="AU325" s="12">
        <v>46204</v>
      </c>
      <c r="AV325" s="12"/>
      <c r="AW325" s="11" t="str">
        <f t="shared" si="43"/>
        <v>Upload 1st BOQ &amp; BAN Isaac</v>
      </c>
      <c r="AX325" s="12"/>
      <c r="AY325" s="12"/>
      <c r="AZ325" s="12"/>
      <c r="BA325" s="12"/>
      <c r="BB325" s="12"/>
      <c r="BC325" s="12"/>
      <c r="BD325" s="11" t="str">
        <f t="shared" si="44"/>
        <v>NY Submit</v>
      </c>
      <c r="BE325" s="174"/>
      <c r="BF325" s="12">
        <v>46185</v>
      </c>
      <c r="BG325" s="12">
        <v>46186</v>
      </c>
      <c r="BH325" s="12" t="s">
        <v>4313</v>
      </c>
      <c r="BI325" s="12">
        <v>46185</v>
      </c>
      <c r="BJ325" s="12">
        <v>46191</v>
      </c>
      <c r="BK325" s="174" t="s">
        <v>4314</v>
      </c>
      <c r="BL325" s="12" t="str">
        <f t="shared" si="45"/>
        <v>Approved</v>
      </c>
      <c r="BM325" s="12" t="str">
        <f t="shared" si="46"/>
        <v>Approved</v>
      </c>
      <c r="BN325" s="12">
        <v>46227</v>
      </c>
      <c r="BO325" s="12"/>
      <c r="BP325" s="155" t="s">
        <v>1760</v>
      </c>
      <c r="BQ325" s="12" t="s">
        <v>3106</v>
      </c>
      <c r="BR325" s="12"/>
      <c r="BS325" s="143">
        <f t="shared" ca="1" si="49"/>
        <v>0</v>
      </c>
      <c r="BT325" s="176"/>
      <c r="BU325" s="12"/>
      <c r="BV325" s="143">
        <f t="shared" ca="1" si="50"/>
        <v>0</v>
      </c>
      <c r="BW325" s="12"/>
      <c r="BX325" s="12"/>
      <c r="BY325" s="143"/>
      <c r="BZ325" s="13" t="s">
        <v>4315</v>
      </c>
      <c r="CA325" s="13"/>
      <c r="CB325" s="13"/>
      <c r="CC325" s="13"/>
      <c r="CD325" s="13"/>
      <c r="CE325" s="198"/>
      <c r="CF325" s="198"/>
      <c r="CG325" s="272"/>
      <c r="CH325" s="272"/>
      <c r="CI325" s="198"/>
      <c r="CJ325" s="198"/>
      <c r="CK325" s="198"/>
      <c r="CL325" s="198"/>
    </row>
    <row r="326" spans="1:90" ht="30" customHeight="1">
      <c r="A326" s="280">
        <v>321</v>
      </c>
      <c r="B326" s="190" t="s">
        <v>2486</v>
      </c>
      <c r="C326" s="190" t="s">
        <v>2487</v>
      </c>
      <c r="D326" s="190" t="s">
        <v>135</v>
      </c>
      <c r="E326" s="8" t="e">
        <f ca="1">+_xlfn.CONCAT(G326,"-",B326,"_",C326,"_",_xlfn.XLOOKUP(BP326,Account!M:M,Account!N:N))</f>
        <v>#NAME?</v>
      </c>
      <c r="F326" s="12">
        <v>46170</v>
      </c>
      <c r="G326" s="190" t="s">
        <v>4316</v>
      </c>
      <c r="H326" s="190" t="s">
        <v>4317</v>
      </c>
      <c r="I326" s="10" t="s">
        <v>4318</v>
      </c>
      <c r="J326" s="190">
        <v>15</v>
      </c>
      <c r="K326" s="190" t="s">
        <v>2038</v>
      </c>
      <c r="L326" s="190" t="s">
        <v>1279</v>
      </c>
      <c r="M326" s="190" t="s">
        <v>2884</v>
      </c>
      <c r="N326" s="198" t="s">
        <v>4319</v>
      </c>
      <c r="O326" s="178" t="s">
        <v>4320</v>
      </c>
      <c r="P326" s="178" t="s">
        <v>4321</v>
      </c>
      <c r="Q326" s="327">
        <v>567.70299999999997</v>
      </c>
      <c r="R326" s="190">
        <v>12</v>
      </c>
      <c r="S326" s="190"/>
      <c r="T326" s="190" t="s">
        <v>2518</v>
      </c>
      <c r="U326" s="190" t="s">
        <v>2565</v>
      </c>
      <c r="V326" s="8" t="s">
        <v>1760</v>
      </c>
      <c r="W326" s="10"/>
      <c r="X326" s="9"/>
      <c r="Y326" s="172" t="s">
        <v>2432</v>
      </c>
      <c r="Z326" s="172">
        <v>46224</v>
      </c>
      <c r="AA326" s="172">
        <v>46230</v>
      </c>
      <c r="AB326" s="208" t="str">
        <f t="shared" ref="AB326:AB389" ca="1" si="52">IF(AA326="ds","Submit",IF(AA326="","NY Submit",IF(AA326&lt;TODAY(),"Expired",IFERROR(DATEDIF(TODAY(),AA326,"d"),""))))</f>
        <v>Expired</v>
      </c>
      <c r="AC326" s="13"/>
      <c r="AD326" s="12">
        <v>46224</v>
      </c>
      <c r="AE326" s="12">
        <v>46224</v>
      </c>
      <c r="AF326" s="12">
        <v>46236</v>
      </c>
      <c r="AG326" s="12"/>
      <c r="AH326" s="11"/>
      <c r="AI326" s="11"/>
      <c r="AJ326" s="11"/>
      <c r="AK326" s="11"/>
      <c r="AL326" s="11"/>
      <c r="AM326" s="11"/>
      <c r="AN326" s="11"/>
      <c r="AO326" s="11" t="str">
        <f>+IF(AN326&lt;&gt;"","BAST",IF(AI326&lt;&gt;"","Dismantle",IF(AG326&lt;&gt;"","RFD App",IF(AF326="Drop","Drop",IF(AE326&lt;&gt;"","Survey Report",IF(AD326&lt;&gt;"","Survey","NY Survey"))))))</f>
        <v>Survey Report</v>
      </c>
      <c r="AP326" s="173" t="s">
        <v>4322</v>
      </c>
      <c r="AQ326" s="12">
        <v>46226</v>
      </c>
      <c r="AR326" s="12">
        <v>46237</v>
      </c>
      <c r="AS326" s="12">
        <v>46226</v>
      </c>
      <c r="AT326" s="12"/>
      <c r="AU326" s="12">
        <v>46237</v>
      </c>
      <c r="AV326" s="12"/>
      <c r="AW326" s="11" t="str">
        <f t="shared" ref="AW326:AW389" si="53">+IF(AV326&lt;&gt;"","1st BOQ App on ISAAC",IF(AU326&lt;&gt;"","Upload 1st BOQ &amp; BAN Isaac",IF(AT326="DRM","need DRM",IF(AT326&lt;&gt;"","BAN App",IF(AR326&lt;&gt;"","1st BOQ Pass TI",IF(AS326&lt;&gt;"","Engineering Structural Manager App",IF(AQ326&lt;&gt;"","1st BOQ Submit","NY Submit")))))))</f>
        <v>Upload 1st BOQ &amp; BAN Isaac</v>
      </c>
      <c r="AX326" s="12"/>
      <c r="AY326" s="12"/>
      <c r="AZ326" s="12"/>
      <c r="BA326" s="12"/>
      <c r="BB326" s="12"/>
      <c r="BC326" s="12"/>
      <c r="BD326" s="11" t="str">
        <f t="shared" ref="BD326:BD389" si="54">+IF(BC326&lt;&gt;"","2nd BOQ App on ISAAC",IF(BB326&lt;&gt;"","Upload 2nd BOQ &amp; BAN Isaac",IF(BA326="DRM","need DRM",IF(BA326&lt;&gt;"","BAN App",IF(AZ326&lt;&gt;"","Engineering Structural Manager App",IF(AY326&lt;&gt;"","2nd BOQ Pass TI",IF(AX326&lt;&gt;"","2nd BOQ Submit","NY Submit")))))))</f>
        <v>NY Submit</v>
      </c>
      <c r="BE326" s="174"/>
      <c r="BF326" s="12">
        <v>46225</v>
      </c>
      <c r="BG326" s="12">
        <v>46226</v>
      </c>
      <c r="BH326" s="12" t="s">
        <v>4323</v>
      </c>
      <c r="BI326" s="12">
        <v>46225</v>
      </c>
      <c r="BJ326" s="12">
        <v>46226</v>
      </c>
      <c r="BK326" s="174" t="s">
        <v>4324</v>
      </c>
      <c r="BL326" s="12" t="str">
        <f t="shared" ref="BL326:BL343" si="55">+IF(BG326&lt;&gt;"","Approved",IF(BF326&lt;&gt;"","Submit","NY Submit"))</f>
        <v>Approved</v>
      </c>
      <c r="BM326" s="12" t="str">
        <f t="shared" ref="BM326:BM343" si="56">+IF(BJ326&lt;&gt;"","Approved",IF(BI326&lt;&gt;"","Submit","NY Submit"))</f>
        <v>Approved</v>
      </c>
      <c r="BN326" s="12"/>
      <c r="BO326" s="12"/>
      <c r="BP326" s="155" t="s">
        <v>1760</v>
      </c>
      <c r="BQ326" s="12" t="s">
        <v>3106</v>
      </c>
      <c r="BR326" s="12"/>
      <c r="BS326" s="143">
        <f ca="1">IF(AO326="Drop",
    "Drop",
    IF(ISBLANK(AV326),
        0,
        IF(ISBLANK(BR326),
            DATEDIF(AV326,TODAY(),"d"),
            DATEDIF(AV326,BR326,"d")
        )
    )
)</f>
        <v>0</v>
      </c>
      <c r="BT326" s="176"/>
      <c r="BU326" s="12"/>
      <c r="BV326" s="143">
        <f ca="1">IF(AO326="Drop",
    "Drop",
    IF(ISBLANK(BC326),
        0,
        IF(ISBLANK(BU326),
            DATEDIF(BC326,TODAY(),"d"),
            DATEDIF(BC326,BU326,"d")
        )
    )
)</f>
        <v>0</v>
      </c>
      <c r="BW326" s="12"/>
      <c r="BX326" s="12"/>
      <c r="BY326" s="143"/>
      <c r="BZ326" s="13" t="s">
        <v>4325</v>
      </c>
      <c r="CA326" s="13"/>
      <c r="CB326" s="13"/>
      <c r="CC326" s="13"/>
      <c r="CD326" s="13"/>
      <c r="CE326" s="198"/>
      <c r="CF326" s="198"/>
      <c r="CG326" s="272"/>
      <c r="CH326" s="272"/>
      <c r="CI326" s="198"/>
      <c r="CJ326" s="198"/>
      <c r="CK326" s="198"/>
      <c r="CL326" s="198"/>
    </row>
    <row r="327" spans="1:90">
      <c r="A327" s="190">
        <v>322</v>
      </c>
      <c r="B327" s="190" t="s">
        <v>2486</v>
      </c>
      <c r="C327" s="190" t="s">
        <v>2487</v>
      </c>
      <c r="D327" s="190" t="s">
        <v>135</v>
      </c>
      <c r="E327" s="8" t="e">
        <f ca="1">+_xlfn.CONCAT(G327,"-",B327,"_",C327,"_",_xlfn.XLOOKUP(BP327,Account!M:M,Account!N:N))</f>
        <v>#NAME?</v>
      </c>
      <c r="F327" s="12">
        <v>46170</v>
      </c>
      <c r="G327" s="190" t="s">
        <v>4326</v>
      </c>
      <c r="H327" s="190" t="s">
        <v>4327</v>
      </c>
      <c r="I327" s="10" t="s">
        <v>4328</v>
      </c>
      <c r="J327" s="190">
        <v>10</v>
      </c>
      <c r="K327" s="190" t="s">
        <v>2486</v>
      </c>
      <c r="L327" s="190" t="s">
        <v>3156</v>
      </c>
      <c r="M327" s="190" t="s">
        <v>4329</v>
      </c>
      <c r="N327" s="10" t="s">
        <v>4330</v>
      </c>
      <c r="O327" s="178" t="s">
        <v>4331</v>
      </c>
      <c r="P327" s="178" t="s">
        <v>4332</v>
      </c>
      <c r="Q327" s="327">
        <v>872.6</v>
      </c>
      <c r="R327" s="190">
        <v>6</v>
      </c>
      <c r="S327" s="190"/>
      <c r="T327" s="190" t="s">
        <v>2518</v>
      </c>
      <c r="U327" s="190" t="s">
        <v>2565</v>
      </c>
      <c r="V327" s="8" t="s">
        <v>1760</v>
      </c>
      <c r="W327" s="10"/>
      <c r="X327" s="9"/>
      <c r="Y327" s="172"/>
      <c r="Z327" s="172"/>
      <c r="AA327" s="172"/>
      <c r="AB327" s="143" t="str">
        <f t="shared" ca="1" si="52"/>
        <v>NY Submit</v>
      </c>
      <c r="AC327" s="13"/>
      <c r="AD327" s="12"/>
      <c r="AE327" s="12"/>
      <c r="AF327" s="12"/>
      <c r="AG327" s="12"/>
      <c r="AH327" s="11"/>
      <c r="AI327" s="11"/>
      <c r="AJ327" s="11"/>
      <c r="AK327" s="11"/>
      <c r="AL327" s="11"/>
      <c r="AM327" s="11"/>
      <c r="AN327" s="11"/>
      <c r="AO327" s="11" t="str">
        <f>+IF(AN327&lt;&gt;"","BAST",IF(AI327&lt;&gt;"","Dismantle",IF(AG327&lt;&gt;"","RFD App",IF(AF327="Drop","Drop",IF(AE327&lt;&gt;"","Survey Report",IF(AD327&lt;&gt;"","Survey","NY Survey"))))))</f>
        <v>NY Survey</v>
      </c>
      <c r="AP327" s="173"/>
      <c r="AQ327" s="12"/>
      <c r="AR327" s="12"/>
      <c r="AS327" s="12"/>
      <c r="AT327" s="12"/>
      <c r="AU327" s="12"/>
      <c r="AV327" s="12"/>
      <c r="AW327" s="11" t="str">
        <f t="shared" si="53"/>
        <v>NY Submit</v>
      </c>
      <c r="AX327" s="12"/>
      <c r="AY327" s="12"/>
      <c r="AZ327" s="12"/>
      <c r="BA327" s="12"/>
      <c r="BB327" s="12"/>
      <c r="BC327" s="12"/>
      <c r="BD327" s="11" t="str">
        <f t="shared" si="54"/>
        <v>NY Submit</v>
      </c>
      <c r="BE327" s="174"/>
      <c r="BF327" s="12"/>
      <c r="BG327" s="12"/>
      <c r="BH327" s="12"/>
      <c r="BI327" s="12"/>
      <c r="BJ327" s="12"/>
      <c r="BK327" s="174"/>
      <c r="BL327" s="12" t="str">
        <f t="shared" si="55"/>
        <v>NY Submit</v>
      </c>
      <c r="BM327" s="12" t="str">
        <f t="shared" si="56"/>
        <v>NY Submit</v>
      </c>
      <c r="BN327" s="12"/>
      <c r="BO327" s="12"/>
      <c r="BP327" s="155" t="s">
        <v>1760</v>
      </c>
      <c r="BQ327" s="12" t="s">
        <v>3106</v>
      </c>
      <c r="BR327" s="12"/>
      <c r="BS327" s="143">
        <f t="shared" ref="BS327:BS343" ca="1" si="57">IF(AO327="Drop",
"Drop",
IF(ISBLANK(AV327),
0,
IF(ISBLANK(BR327),
DATEDIF(AV327,TODAY(),"d"),
DATEDIF(AV327,BR327,"d")
)
)
)</f>
        <v>0</v>
      </c>
      <c r="BT327" s="176"/>
      <c r="BU327" s="12"/>
      <c r="BV327" s="143">
        <f t="shared" ref="BV327:BV343" ca="1" si="58">IF(AO327="Drop",
"Drop",
IF(ISBLANK(BC327),
0,
IF(ISBLANK(BU327),
DATEDIF(BC327,TODAY(),"d"),
DATEDIF(BC327,BU327,"d")
)
)
)</f>
        <v>0</v>
      </c>
      <c r="BW327" s="12"/>
      <c r="BX327" s="12"/>
      <c r="BY327" s="143"/>
      <c r="BZ327" s="13"/>
      <c r="CA327" s="13"/>
      <c r="CB327" s="13"/>
      <c r="CC327" s="13"/>
      <c r="CD327" s="13"/>
      <c r="CE327" s="198"/>
      <c r="CF327" s="198"/>
      <c r="CG327" s="272"/>
      <c r="CH327" s="272"/>
      <c r="CI327" s="198"/>
      <c r="CJ327" s="198"/>
      <c r="CK327" s="198"/>
      <c r="CL327" s="198"/>
    </row>
    <row r="328" spans="1:90" ht="30" customHeight="1">
      <c r="A328" s="187">
        <v>323</v>
      </c>
      <c r="B328" s="190" t="s">
        <v>2486</v>
      </c>
      <c r="C328" s="190" t="s">
        <v>2487</v>
      </c>
      <c r="D328" s="190" t="s">
        <v>135</v>
      </c>
      <c r="E328" s="8" t="e">
        <f ca="1">+_xlfn.CONCAT(G328,"-",B328,"_",C328,"_",_xlfn.XLOOKUP(BP328,Account!M:M,Account!N:N))</f>
        <v>#NAME?</v>
      </c>
      <c r="F328" s="12">
        <v>46171</v>
      </c>
      <c r="G328" s="190" t="s">
        <v>2335</v>
      </c>
      <c r="H328" s="190" t="s">
        <v>4333</v>
      </c>
      <c r="I328" s="10" t="s">
        <v>2336</v>
      </c>
      <c r="J328" s="190">
        <v>19</v>
      </c>
      <c r="K328" s="190" t="s">
        <v>2486</v>
      </c>
      <c r="L328" s="190" t="s">
        <v>1367</v>
      </c>
      <c r="M328" s="190" t="s">
        <v>3700</v>
      </c>
      <c r="N328" s="10" t="s">
        <v>4334</v>
      </c>
      <c r="O328" s="178" t="s">
        <v>4335</v>
      </c>
      <c r="P328" s="178" t="s">
        <v>4336</v>
      </c>
      <c r="Q328" s="327">
        <v>2339.384</v>
      </c>
      <c r="R328" s="190">
        <v>20</v>
      </c>
      <c r="S328" s="190"/>
      <c r="T328" s="190" t="s">
        <v>2494</v>
      </c>
      <c r="U328" s="190" t="s">
        <v>2931</v>
      </c>
      <c r="V328" s="8" t="s">
        <v>1760</v>
      </c>
      <c r="W328" s="10"/>
      <c r="X328" s="9"/>
      <c r="Y328" s="172"/>
      <c r="Z328" s="172"/>
      <c r="AA328" s="172"/>
      <c r="AB328" s="208" t="str">
        <f t="shared" ca="1" si="52"/>
        <v>NY Submit</v>
      </c>
      <c r="AC328" s="13"/>
      <c r="AD328" s="12">
        <v>46175</v>
      </c>
      <c r="AE328" s="12">
        <v>46175</v>
      </c>
      <c r="AF328" s="12">
        <v>46187</v>
      </c>
      <c r="AG328" s="12"/>
      <c r="AH328" s="11">
        <v>46177</v>
      </c>
      <c r="AI328" s="11">
        <v>46181</v>
      </c>
      <c r="AJ328" s="11"/>
      <c r="AK328" s="11"/>
      <c r="AL328" s="11"/>
      <c r="AM328" s="11"/>
      <c r="AN328" s="11">
        <v>46184</v>
      </c>
      <c r="AO328" s="11" t="str">
        <f>+IF(AN328&lt;&gt;"","BAST",IF(AI328&lt;&gt;"","Dismantle",IF(AG328&lt;&gt;"","RFD App",IF(AF328="Drop","Drop",IF(AE328&lt;&gt;"","Survey Report",IF(AD328&lt;&gt;"","Survey","NY Survey"))))))</f>
        <v>BAST</v>
      </c>
      <c r="AP328" s="185" t="s">
        <v>4337</v>
      </c>
      <c r="AQ328" s="12">
        <v>46176</v>
      </c>
      <c r="AR328" s="12">
        <v>46176</v>
      </c>
      <c r="AS328" s="12">
        <v>46177</v>
      </c>
      <c r="AT328" s="12"/>
      <c r="AU328" s="12">
        <v>46177</v>
      </c>
      <c r="AV328" s="12">
        <v>46177</v>
      </c>
      <c r="AW328" s="11" t="str">
        <f t="shared" si="53"/>
        <v>1st BOQ App on ISAAC</v>
      </c>
      <c r="AX328" s="12">
        <v>46204</v>
      </c>
      <c r="AY328" s="12"/>
      <c r="AZ328" s="12"/>
      <c r="BA328" s="12"/>
      <c r="BB328" s="12"/>
      <c r="BC328" s="12"/>
      <c r="BD328" s="11" t="str">
        <f t="shared" si="54"/>
        <v>2nd BOQ Submit</v>
      </c>
      <c r="BE328" s="174" t="s">
        <v>3728</v>
      </c>
      <c r="BF328" s="12">
        <v>46175</v>
      </c>
      <c r="BG328" s="12">
        <v>46177</v>
      </c>
      <c r="BH328" s="12" t="s">
        <v>4338</v>
      </c>
      <c r="BI328" s="12">
        <v>46175</v>
      </c>
      <c r="BJ328" s="12">
        <v>46177</v>
      </c>
      <c r="BK328" s="174" t="s">
        <v>4339</v>
      </c>
      <c r="BL328" s="12" t="str">
        <f t="shared" si="55"/>
        <v>Approved</v>
      </c>
      <c r="BM328" s="12" t="str">
        <f t="shared" si="56"/>
        <v>Approved</v>
      </c>
      <c r="BN328" s="12"/>
      <c r="BO328" s="12"/>
      <c r="BP328" s="155" t="s">
        <v>1760</v>
      </c>
      <c r="BQ328" s="12" t="s">
        <v>4016</v>
      </c>
      <c r="BR328" s="12">
        <v>46192</v>
      </c>
      <c r="BS328" s="143">
        <f t="shared" ca="1" si="57"/>
        <v>15</v>
      </c>
      <c r="BT328" s="176"/>
      <c r="BU328" s="12"/>
      <c r="BV328" s="143">
        <f t="shared" ca="1" si="58"/>
        <v>0</v>
      </c>
      <c r="BW328" s="12"/>
      <c r="BX328" s="12"/>
      <c r="BY328" s="143"/>
      <c r="BZ328" s="13" t="s">
        <v>2500</v>
      </c>
      <c r="CA328" s="13"/>
      <c r="CB328" s="13"/>
      <c r="CC328" s="13"/>
      <c r="CD328" s="13"/>
      <c r="CE328" s="198"/>
      <c r="CF328" s="198"/>
      <c r="CG328" s="272"/>
      <c r="CH328" s="272"/>
      <c r="CI328" s="198"/>
      <c r="CJ328" s="198"/>
      <c r="CK328" s="198"/>
      <c r="CL328" s="198"/>
    </row>
    <row r="329" spans="1:90">
      <c r="A329" s="187">
        <v>324</v>
      </c>
      <c r="B329" s="190" t="s">
        <v>2486</v>
      </c>
      <c r="C329" s="190" t="s">
        <v>2487</v>
      </c>
      <c r="D329" s="190" t="s">
        <v>135</v>
      </c>
      <c r="E329" s="8" t="e">
        <f ca="1">+_xlfn.CONCAT(G329,"-",B329,"_",C329,"_",_xlfn.XLOOKUP(BP329,Account!M:M,Account!N:N))</f>
        <v>#NAME?</v>
      </c>
      <c r="F329" s="12">
        <v>38836</v>
      </c>
      <c r="G329" s="190" t="s">
        <v>1189</v>
      </c>
      <c r="H329" s="190" t="s">
        <v>4133</v>
      </c>
      <c r="I329" s="10" t="s">
        <v>1190</v>
      </c>
      <c r="J329" s="190">
        <v>15</v>
      </c>
      <c r="K329" s="190" t="s">
        <v>2038</v>
      </c>
      <c r="L329" s="190" t="s">
        <v>1279</v>
      </c>
      <c r="M329" s="190" t="s">
        <v>4134</v>
      </c>
      <c r="N329" s="10" t="s">
        <v>4135</v>
      </c>
      <c r="O329" s="178" t="s">
        <v>4136</v>
      </c>
      <c r="P329" s="178" t="s">
        <v>4137</v>
      </c>
      <c r="Q329" s="327">
        <v>16015.06</v>
      </c>
      <c r="R329" s="190">
        <v>55</v>
      </c>
      <c r="S329" s="190" t="s">
        <v>4122</v>
      </c>
      <c r="T329" s="190" t="s">
        <v>2494</v>
      </c>
      <c r="U329" s="190" t="s">
        <v>2495</v>
      </c>
      <c r="V329" s="8" t="s">
        <v>4340</v>
      </c>
      <c r="W329" s="10"/>
      <c r="X329" s="9"/>
      <c r="Y329" s="172"/>
      <c r="Z329" s="172"/>
      <c r="AA329" s="172"/>
      <c r="AB329" s="143" t="str">
        <f t="shared" ca="1" si="52"/>
        <v>NY Submit</v>
      </c>
      <c r="AC329" s="13"/>
      <c r="AD329" s="12">
        <v>46175</v>
      </c>
      <c r="AE329" s="12">
        <v>46181</v>
      </c>
      <c r="AF329" s="12"/>
      <c r="AG329" s="12"/>
      <c r="AH329" s="11"/>
      <c r="AI329" s="11"/>
      <c r="AJ329" s="11"/>
      <c r="AK329" s="11"/>
      <c r="AL329" s="11"/>
      <c r="AM329" s="11"/>
      <c r="AN329" s="11"/>
      <c r="AO329" s="11" t="str">
        <f>+IF(AM329&lt;&gt;"","Survey LOS App",IF(AF329="Drop","Drop",IF(AE329&lt;&gt;"","Survey Report",IF(AD329&lt;&gt;"","Survey","NY Survey"))))</f>
        <v>Survey Report</v>
      </c>
      <c r="AP329" s="173"/>
      <c r="AQ329" s="12"/>
      <c r="AR329" s="12"/>
      <c r="AS329" s="12"/>
      <c r="AT329" s="12"/>
      <c r="AU329" s="12"/>
      <c r="AV329" s="12"/>
      <c r="AW329" s="11" t="str">
        <f t="shared" si="53"/>
        <v>NY Submit</v>
      </c>
      <c r="AX329" s="12"/>
      <c r="AY329" s="12"/>
      <c r="AZ329" s="12"/>
      <c r="BA329" s="12"/>
      <c r="BB329" s="12"/>
      <c r="BC329" s="12"/>
      <c r="BD329" s="11" t="str">
        <f t="shared" si="54"/>
        <v>NY Submit</v>
      </c>
      <c r="BE329" s="174"/>
      <c r="BF329" s="12"/>
      <c r="BG329" s="12"/>
      <c r="BH329" s="12"/>
      <c r="BI329" s="12"/>
      <c r="BJ329" s="12"/>
      <c r="BK329" s="174"/>
      <c r="BL329" s="12" t="str">
        <f t="shared" si="55"/>
        <v>NY Submit</v>
      </c>
      <c r="BM329" s="12" t="str">
        <f t="shared" si="56"/>
        <v>NY Submit</v>
      </c>
      <c r="BN329" s="12"/>
      <c r="BO329" s="12"/>
      <c r="BP329" s="155" t="s">
        <v>2507</v>
      </c>
      <c r="BQ329" s="12" t="s">
        <v>4341</v>
      </c>
      <c r="BR329" s="12">
        <v>46210</v>
      </c>
      <c r="BS329" s="143">
        <f t="shared" ca="1" si="57"/>
        <v>0</v>
      </c>
      <c r="BT329" s="176"/>
      <c r="BU329" s="12"/>
      <c r="BV329" s="143">
        <f t="shared" ca="1" si="58"/>
        <v>0</v>
      </c>
      <c r="BW329" s="12"/>
      <c r="BX329" s="12"/>
      <c r="BY329" s="143"/>
      <c r="BZ329" s="13" t="s">
        <v>2500</v>
      </c>
      <c r="CA329" s="13" t="s">
        <v>2555</v>
      </c>
      <c r="CB329" s="13"/>
      <c r="CC329" s="13"/>
      <c r="CD329" s="13"/>
      <c r="CE329" s="198" t="s">
        <v>4342</v>
      </c>
      <c r="CF329" s="198" t="s">
        <v>4343</v>
      </c>
      <c r="CG329" s="272" t="s">
        <v>1193</v>
      </c>
      <c r="CH329" s="272" t="s">
        <v>1192</v>
      </c>
      <c r="CI329" s="198"/>
      <c r="CJ329" s="198"/>
      <c r="CK329" s="198"/>
      <c r="CL329" s="198"/>
    </row>
    <row r="330" spans="1:90">
      <c r="A330" s="190">
        <v>325</v>
      </c>
      <c r="B330" s="190" t="s">
        <v>2486</v>
      </c>
      <c r="C330" s="190" t="s">
        <v>2487</v>
      </c>
      <c r="D330" s="190" t="s">
        <v>135</v>
      </c>
      <c r="E330" s="8" t="e">
        <f ca="1">+_xlfn.CONCAT(G330,"-",B330,"_",C330,"_",_xlfn.XLOOKUP(BP330,Account!M:M,Account!N:N))</f>
        <v>#NAME?</v>
      </c>
      <c r="F330" s="12">
        <v>46182</v>
      </c>
      <c r="G330" s="190" t="s">
        <v>4344</v>
      </c>
      <c r="H330" s="190" t="s">
        <v>4345</v>
      </c>
      <c r="I330" s="10" t="s">
        <v>4346</v>
      </c>
      <c r="J330" s="190">
        <v>20</v>
      </c>
      <c r="K330" s="190" t="s">
        <v>2038</v>
      </c>
      <c r="L330" s="190" t="s">
        <v>4347</v>
      </c>
      <c r="M330" s="190" t="s">
        <v>4348</v>
      </c>
      <c r="N330" s="10" t="s">
        <v>4349</v>
      </c>
      <c r="O330" s="178" t="s">
        <v>4350</v>
      </c>
      <c r="P330" s="178" t="s">
        <v>4351</v>
      </c>
      <c r="Q330" s="327">
        <v>22120.78</v>
      </c>
      <c r="R330" s="190">
        <v>70</v>
      </c>
      <c r="S330" s="190"/>
      <c r="T330" s="190" t="s">
        <v>2494</v>
      </c>
      <c r="U330" s="190" t="s">
        <v>2495</v>
      </c>
      <c r="V330" s="8" t="s">
        <v>1760</v>
      </c>
      <c r="W330" s="10"/>
      <c r="X330" s="9"/>
      <c r="Y330" s="172"/>
      <c r="Z330" s="172"/>
      <c r="AA330" s="172"/>
      <c r="AB330" s="143" t="str">
        <f t="shared" ca="1" si="52"/>
        <v>NY Submit</v>
      </c>
      <c r="AC330" s="13"/>
      <c r="AD330" s="12"/>
      <c r="AE330" s="12"/>
      <c r="AF330" s="12">
        <v>46387</v>
      </c>
      <c r="AG330" s="12"/>
      <c r="AH330" s="11"/>
      <c r="AI330" s="11"/>
      <c r="AJ330" s="11"/>
      <c r="AK330" s="11"/>
      <c r="AL330" s="11"/>
      <c r="AM330" s="11"/>
      <c r="AN330" s="11"/>
      <c r="AO330" s="11" t="str">
        <f>+IF(AN330&lt;&gt;"","BAST",IF(AI330&lt;&gt;"","Dismantle",IF(AG330&lt;&gt;"","RFD App",IF(AF330="Drop","Drop",IF(AE330&lt;&gt;"","Survey Report",IF(AD330&lt;&gt;"","Survey","NY Survey"))))))</f>
        <v>NY Survey</v>
      </c>
      <c r="AP330" s="173"/>
      <c r="AQ330" s="12"/>
      <c r="AR330" s="12"/>
      <c r="AS330" s="12"/>
      <c r="AT330" s="12"/>
      <c r="AU330" s="12"/>
      <c r="AV330" s="12"/>
      <c r="AW330" s="11" t="str">
        <f t="shared" si="53"/>
        <v>NY Submit</v>
      </c>
      <c r="AX330" s="12"/>
      <c r="AY330" s="12"/>
      <c r="AZ330" s="12"/>
      <c r="BA330" s="12"/>
      <c r="BB330" s="12"/>
      <c r="BC330" s="12"/>
      <c r="BD330" s="11" t="str">
        <f t="shared" si="54"/>
        <v>NY Submit</v>
      </c>
      <c r="BE330" s="174"/>
      <c r="BF330" s="12"/>
      <c r="BG330" s="12"/>
      <c r="BH330" s="12"/>
      <c r="BI330" s="12"/>
      <c r="BJ330" s="12"/>
      <c r="BK330" s="174"/>
      <c r="BL330" s="12" t="str">
        <f t="shared" si="55"/>
        <v>NY Submit</v>
      </c>
      <c r="BM330" s="12" t="str">
        <f t="shared" si="56"/>
        <v>NY Submit</v>
      </c>
      <c r="BN330" s="12"/>
      <c r="BO330" s="12"/>
      <c r="BP330" s="155" t="s">
        <v>1760</v>
      </c>
      <c r="BQ330" s="12" t="s">
        <v>3106</v>
      </c>
      <c r="BR330" s="12"/>
      <c r="BS330" s="143">
        <f t="shared" ca="1" si="57"/>
        <v>0</v>
      </c>
      <c r="BT330" s="176"/>
      <c r="BU330" s="12"/>
      <c r="BV330" s="143">
        <f t="shared" ca="1" si="58"/>
        <v>0</v>
      </c>
      <c r="BW330" s="12"/>
      <c r="BX330" s="12"/>
      <c r="BY330" s="143"/>
      <c r="BZ330" s="13"/>
      <c r="CA330" s="13"/>
      <c r="CB330" s="13"/>
      <c r="CC330" s="13"/>
      <c r="CD330" s="13"/>
      <c r="CE330" s="10"/>
      <c r="CF330" s="10"/>
      <c r="CG330" s="175"/>
      <c r="CH330" s="175"/>
      <c r="CI330" s="10"/>
      <c r="CJ330" s="10"/>
      <c r="CK330" s="10"/>
      <c r="CL330" s="10"/>
    </row>
    <row r="331" spans="1:90" ht="45" customHeight="1">
      <c r="A331" s="190">
        <v>326</v>
      </c>
      <c r="B331" s="190" t="s">
        <v>2486</v>
      </c>
      <c r="C331" s="190" t="s">
        <v>2487</v>
      </c>
      <c r="D331" s="190" t="s">
        <v>135</v>
      </c>
      <c r="E331" s="8" t="e">
        <f ca="1">+_xlfn.CONCAT(G331,"-",B331,"_",C331,"_",_xlfn.XLOOKUP(BP331,Account!M:M,Account!N:N))</f>
        <v>#NAME?</v>
      </c>
      <c r="F331" s="12">
        <v>46182</v>
      </c>
      <c r="G331" s="190" t="s">
        <v>4352</v>
      </c>
      <c r="H331" s="190" t="s">
        <v>4353</v>
      </c>
      <c r="I331" s="10" t="s">
        <v>4354</v>
      </c>
      <c r="J331" s="190">
        <v>19</v>
      </c>
      <c r="K331" s="190" t="s">
        <v>2038</v>
      </c>
      <c r="L331" s="190" t="s">
        <v>1367</v>
      </c>
      <c r="M331" s="190" t="s">
        <v>3700</v>
      </c>
      <c r="N331" s="10" t="s">
        <v>4355</v>
      </c>
      <c r="O331" s="178" t="s">
        <v>4356</v>
      </c>
      <c r="P331" s="178" t="s">
        <v>4357</v>
      </c>
      <c r="Q331" s="327">
        <v>1576.09</v>
      </c>
      <c r="R331" s="190">
        <v>6</v>
      </c>
      <c r="S331" s="190"/>
      <c r="T331" s="190" t="s">
        <v>2518</v>
      </c>
      <c r="U331" s="190" t="s">
        <v>2565</v>
      </c>
      <c r="V331" s="8" t="s">
        <v>1760</v>
      </c>
      <c r="W331" s="10"/>
      <c r="X331" s="9"/>
      <c r="Y331" s="172"/>
      <c r="Z331" s="172"/>
      <c r="AA331" s="172"/>
      <c r="AB331" s="143" t="str">
        <f t="shared" ca="1" si="52"/>
        <v>NY Submit</v>
      </c>
      <c r="AC331" s="13"/>
      <c r="AD331" s="12">
        <v>37468</v>
      </c>
      <c r="AE331" s="12"/>
      <c r="AF331" s="12">
        <v>46387</v>
      </c>
      <c r="AG331" s="12"/>
      <c r="AH331" s="11"/>
      <c r="AI331" s="11"/>
      <c r="AJ331" s="11"/>
      <c r="AK331" s="11"/>
      <c r="AL331" s="11"/>
      <c r="AM331" s="11"/>
      <c r="AN331" s="11"/>
      <c r="AO331" s="11" t="str">
        <f>+IF(AN331&lt;&gt;"","BAST",IF(AI331&lt;&gt;"","Dismantle",IF(AG331&lt;&gt;"","RFD App",IF(AF331="Drop","Drop",IF(AE331&lt;&gt;"","Survey Report",IF(AD331&lt;&gt;"","Survey","NY Survey"))))))</f>
        <v>Survey</v>
      </c>
      <c r="AP331" s="185" t="s">
        <v>4358</v>
      </c>
      <c r="AQ331" s="12"/>
      <c r="AR331" s="12"/>
      <c r="AS331" s="12"/>
      <c r="AT331" s="12"/>
      <c r="AU331" s="12"/>
      <c r="AV331" s="12"/>
      <c r="AW331" s="11" t="str">
        <f t="shared" si="53"/>
        <v>NY Submit</v>
      </c>
      <c r="AX331" s="12"/>
      <c r="AY331" s="12"/>
      <c r="AZ331" s="12"/>
      <c r="BA331" s="12"/>
      <c r="BB331" s="12"/>
      <c r="BC331" s="12"/>
      <c r="BD331" s="11" t="str">
        <f t="shared" si="54"/>
        <v>NY Submit</v>
      </c>
      <c r="BE331" s="174"/>
      <c r="BF331" s="12"/>
      <c r="BG331" s="12"/>
      <c r="BH331" s="12"/>
      <c r="BI331" s="12"/>
      <c r="BJ331" s="12"/>
      <c r="BK331" s="174"/>
      <c r="BL331" s="12" t="str">
        <f t="shared" si="55"/>
        <v>NY Submit</v>
      </c>
      <c r="BM331" s="12" t="str">
        <f t="shared" si="56"/>
        <v>NY Submit</v>
      </c>
      <c r="BN331" s="12"/>
      <c r="BO331" s="12"/>
      <c r="BP331" s="155" t="s">
        <v>1760</v>
      </c>
      <c r="BQ331" s="12" t="s">
        <v>3106</v>
      </c>
      <c r="BR331" s="12"/>
      <c r="BS331" s="143">
        <f t="shared" ca="1" si="57"/>
        <v>0</v>
      </c>
      <c r="BT331" s="176"/>
      <c r="BU331" s="12"/>
      <c r="BV331" s="143">
        <f t="shared" ca="1" si="58"/>
        <v>0</v>
      </c>
      <c r="BW331" s="12"/>
      <c r="BX331" s="12"/>
      <c r="BY331" s="143"/>
      <c r="BZ331" s="13"/>
      <c r="CA331" s="13"/>
      <c r="CB331" s="13"/>
      <c r="CC331" s="13"/>
      <c r="CD331" s="13"/>
      <c r="CE331" s="10"/>
      <c r="CF331" s="10"/>
      <c r="CG331" s="175"/>
      <c r="CH331" s="175"/>
      <c r="CI331" s="10"/>
      <c r="CJ331" s="10"/>
      <c r="CK331" s="10"/>
      <c r="CL331" s="10"/>
    </row>
    <row r="332" spans="1:90">
      <c r="A332" s="190">
        <v>327</v>
      </c>
      <c r="B332" s="190" t="s">
        <v>2486</v>
      </c>
      <c r="C332" s="190" t="s">
        <v>2487</v>
      </c>
      <c r="D332" s="190" t="s">
        <v>135</v>
      </c>
      <c r="E332" s="8" t="e">
        <f ca="1">+_xlfn.CONCAT(G332,"-",B332,"_",C332,"_",_xlfn.XLOOKUP(BP332,Account!M:M,Account!N:N))</f>
        <v>#NAME?</v>
      </c>
      <c r="F332" s="12">
        <v>46190</v>
      </c>
      <c r="G332" s="190" t="s">
        <v>1920</v>
      </c>
      <c r="H332" s="190"/>
      <c r="I332" s="10" t="s">
        <v>1921</v>
      </c>
      <c r="J332" s="190">
        <v>18</v>
      </c>
      <c r="K332" s="190" t="s">
        <v>2038</v>
      </c>
      <c r="L332" s="190" t="s">
        <v>1293</v>
      </c>
      <c r="M332" s="190" t="s">
        <v>2996</v>
      </c>
      <c r="N332" s="10" t="s">
        <v>4224</v>
      </c>
      <c r="O332" s="178" t="s">
        <v>4225</v>
      </c>
      <c r="P332" s="178" t="s">
        <v>4226</v>
      </c>
      <c r="Q332" s="327"/>
      <c r="R332" s="190"/>
      <c r="S332" s="190"/>
      <c r="T332" s="190" t="s">
        <v>2494</v>
      </c>
      <c r="U332" s="190" t="s">
        <v>2495</v>
      </c>
      <c r="V332" s="8" t="s">
        <v>4359</v>
      </c>
      <c r="W332" s="10"/>
      <c r="X332" s="9"/>
      <c r="Y332" s="172"/>
      <c r="Z332" s="172"/>
      <c r="AA332" s="172"/>
      <c r="AB332" s="143" t="str">
        <f t="shared" ca="1" si="52"/>
        <v>NY Submit</v>
      </c>
      <c r="AC332" s="13"/>
      <c r="AD332" s="12"/>
      <c r="AE332" s="12"/>
      <c r="AF332" s="12"/>
      <c r="AG332" s="12"/>
      <c r="AH332" s="11"/>
      <c r="AI332" s="11"/>
      <c r="AJ332" s="11"/>
      <c r="AK332" s="11"/>
      <c r="AL332" s="11"/>
      <c r="AM332" s="11"/>
      <c r="AN332" s="11"/>
      <c r="AO332" s="11" t="str">
        <f>+IF(AN332&lt;&gt;"","BAST",IF(AI332&lt;&gt;"","Dismantle",IF(AG332&lt;&gt;"","RFD App",IF(AF332="Drop","Drop",IF(AE332&lt;&gt;"","Survey Report",IF(AD332&lt;&gt;"","Survey","NY Survey"))))))</f>
        <v>NY Survey</v>
      </c>
      <c r="AP332" s="173"/>
      <c r="AQ332" s="12"/>
      <c r="AR332" s="12"/>
      <c r="AS332" s="12"/>
      <c r="AT332" s="12"/>
      <c r="AU332" s="12"/>
      <c r="AV332" s="12"/>
      <c r="AW332" s="11" t="str">
        <f t="shared" si="53"/>
        <v>NY Submit</v>
      </c>
      <c r="AX332" s="12"/>
      <c r="AY332" s="12"/>
      <c r="AZ332" s="12"/>
      <c r="BA332" s="12"/>
      <c r="BB332" s="12"/>
      <c r="BC332" s="12"/>
      <c r="BD332" s="11" t="str">
        <f t="shared" si="54"/>
        <v>NY Submit</v>
      </c>
      <c r="BE332" s="174"/>
      <c r="BF332" s="12"/>
      <c r="BG332" s="12"/>
      <c r="BH332" s="12"/>
      <c r="BI332" s="12"/>
      <c r="BJ332" s="12"/>
      <c r="BK332" s="174"/>
      <c r="BL332" s="12" t="str">
        <f t="shared" si="55"/>
        <v>NY Submit</v>
      </c>
      <c r="BM332" s="12" t="str">
        <f t="shared" si="56"/>
        <v>NY Submit</v>
      </c>
      <c r="BN332" s="12"/>
      <c r="BO332" s="12"/>
      <c r="BP332" s="155" t="s">
        <v>1760</v>
      </c>
      <c r="BQ332" s="12" t="s">
        <v>3106</v>
      </c>
      <c r="BR332" s="12"/>
      <c r="BS332" s="143">
        <f t="shared" ca="1" si="57"/>
        <v>0</v>
      </c>
      <c r="BT332" s="176"/>
      <c r="BU332" s="12"/>
      <c r="BV332" s="143">
        <f t="shared" ca="1" si="58"/>
        <v>0</v>
      </c>
      <c r="BW332" s="12"/>
      <c r="BX332" s="12"/>
      <c r="BY332" s="143"/>
      <c r="BZ332" s="13"/>
      <c r="CA332" s="13"/>
      <c r="CB332" s="13"/>
      <c r="CC332" s="13"/>
      <c r="CD332" s="13"/>
      <c r="CE332" s="10"/>
      <c r="CF332" s="10"/>
      <c r="CG332" s="175"/>
      <c r="CH332" s="175"/>
      <c r="CI332" s="10"/>
      <c r="CJ332" s="10"/>
      <c r="CK332" s="10"/>
      <c r="CL332" s="10"/>
    </row>
    <row r="333" spans="1:90">
      <c r="A333" s="187">
        <v>328</v>
      </c>
      <c r="B333" s="190" t="s">
        <v>2486</v>
      </c>
      <c r="C333" s="190" t="s">
        <v>2487</v>
      </c>
      <c r="D333" s="190" t="s">
        <v>135</v>
      </c>
      <c r="E333" s="8" t="e">
        <f ca="1">+_xlfn.CONCAT(G333,"-",B333,"_",C333,"_",_xlfn.XLOOKUP(BP333,Account!M:M,Account!N:N))</f>
        <v>#NAME?</v>
      </c>
      <c r="F333" s="12">
        <v>46002</v>
      </c>
      <c r="G333" s="190" t="s">
        <v>53</v>
      </c>
      <c r="H333" s="190" t="s">
        <v>3842</v>
      </c>
      <c r="I333" s="10" t="s">
        <v>54</v>
      </c>
      <c r="J333" s="190">
        <v>1</v>
      </c>
      <c r="K333" s="190" t="s">
        <v>2486</v>
      </c>
      <c r="L333" s="190" t="s">
        <v>1419</v>
      </c>
      <c r="M333" s="190" t="s">
        <v>3843</v>
      </c>
      <c r="N333" s="10" t="s">
        <v>3844</v>
      </c>
      <c r="O333" s="178" t="s">
        <v>3845</v>
      </c>
      <c r="P333" s="178" t="s">
        <v>3846</v>
      </c>
      <c r="Q333" s="327">
        <v>13212.913</v>
      </c>
      <c r="R333" s="190">
        <v>71</v>
      </c>
      <c r="S333" s="190" t="s">
        <v>404</v>
      </c>
      <c r="T333" s="190" t="s">
        <v>2494</v>
      </c>
      <c r="U333" s="190" t="s">
        <v>3330</v>
      </c>
      <c r="V333" s="8" t="s">
        <v>4360</v>
      </c>
      <c r="W333" s="10"/>
      <c r="X333" s="9"/>
      <c r="Y333" s="172"/>
      <c r="Z333" s="172"/>
      <c r="AA333" s="172"/>
      <c r="AB333" s="143" t="str">
        <f t="shared" ca="1" si="52"/>
        <v>NY Submit</v>
      </c>
      <c r="AC333" s="13"/>
      <c r="AD333" s="12">
        <v>46152</v>
      </c>
      <c r="AE333" s="12">
        <v>46154</v>
      </c>
      <c r="AF333" s="12"/>
      <c r="AG333" s="12"/>
      <c r="AH333" s="11"/>
      <c r="AI333" s="11"/>
      <c r="AJ333" s="11"/>
      <c r="AK333" s="11"/>
      <c r="AL333" s="11"/>
      <c r="AM333" s="12">
        <v>46154</v>
      </c>
      <c r="AN333" s="11"/>
      <c r="AO333" s="11" t="str">
        <f>+IF(AM333&lt;&gt;"","Survey LOS App",IF(AF333="Drop","Drop",IF(AE333&lt;&gt;"","Survey Report",IF(AD333&lt;&gt;"","Survey","NY Survey"))))</f>
        <v>Survey LOS App</v>
      </c>
      <c r="AP333" s="173"/>
      <c r="AQ333" s="12"/>
      <c r="AR333" s="12"/>
      <c r="AS333" s="12"/>
      <c r="AT333" s="12"/>
      <c r="AU333" s="12"/>
      <c r="AV333" s="12"/>
      <c r="AW333" s="11" t="str">
        <f t="shared" si="53"/>
        <v>NY Submit</v>
      </c>
      <c r="AX333" s="12"/>
      <c r="AY333" s="12"/>
      <c r="AZ333" s="12"/>
      <c r="BA333" s="12"/>
      <c r="BB333" s="12"/>
      <c r="BC333" s="12"/>
      <c r="BD333" s="11" t="str">
        <f t="shared" si="54"/>
        <v>NY Submit</v>
      </c>
      <c r="BE333" s="174"/>
      <c r="BF333" s="12"/>
      <c r="BG333" s="12"/>
      <c r="BH333" s="12"/>
      <c r="BI333" s="12"/>
      <c r="BJ333" s="12"/>
      <c r="BK333" s="174"/>
      <c r="BL333" s="12" t="str">
        <f t="shared" si="55"/>
        <v>NY Submit</v>
      </c>
      <c r="BM333" s="12" t="str">
        <f t="shared" si="56"/>
        <v>NY Submit</v>
      </c>
      <c r="BN333" s="12"/>
      <c r="BO333" s="12"/>
      <c r="BP333" s="155" t="s">
        <v>2507</v>
      </c>
      <c r="BQ333" s="12" t="s">
        <v>4361</v>
      </c>
      <c r="BR333" s="12">
        <v>46206</v>
      </c>
      <c r="BS333" s="143">
        <f t="shared" ca="1" si="57"/>
        <v>0</v>
      </c>
      <c r="BT333" s="176"/>
      <c r="BU333" s="12"/>
      <c r="BV333" s="143">
        <f t="shared" ca="1" si="58"/>
        <v>0</v>
      </c>
      <c r="BW333" s="12"/>
      <c r="BX333" s="12"/>
      <c r="BY333" s="143"/>
      <c r="BZ333" s="13" t="s">
        <v>2500</v>
      </c>
      <c r="CA333" s="13" t="s">
        <v>2555</v>
      </c>
      <c r="CB333" s="13"/>
      <c r="CC333" s="13"/>
      <c r="CD333" s="13"/>
      <c r="CE333" s="10"/>
      <c r="CF333" s="10"/>
      <c r="CG333" s="175"/>
      <c r="CH333" s="175"/>
      <c r="CI333" s="10"/>
      <c r="CJ333" s="10"/>
      <c r="CK333" s="10"/>
      <c r="CL333" s="10"/>
    </row>
    <row r="334" spans="1:90">
      <c r="A334" s="190">
        <v>329</v>
      </c>
      <c r="B334" s="190" t="s">
        <v>2486</v>
      </c>
      <c r="C334" s="190" t="s">
        <v>2487</v>
      </c>
      <c r="D334" s="190" t="s">
        <v>135</v>
      </c>
      <c r="E334" s="8" t="e">
        <f ca="1">+_xlfn.CONCAT(G334,"-",B334,"_",C334,"_",_xlfn.XLOOKUP(BP334,Account!M:M,Account!N:N))</f>
        <v>#NAME?</v>
      </c>
      <c r="F334" s="12">
        <v>46202</v>
      </c>
      <c r="G334" s="190" t="s">
        <v>4362</v>
      </c>
      <c r="H334" s="190" t="s">
        <v>4363</v>
      </c>
      <c r="I334" s="10" t="s">
        <v>4364</v>
      </c>
      <c r="J334" s="190">
        <v>4</v>
      </c>
      <c r="K334" s="190" t="s">
        <v>2038</v>
      </c>
      <c r="L334" s="190" t="s">
        <v>3630</v>
      </c>
      <c r="M334" s="190" t="s">
        <v>4365</v>
      </c>
      <c r="N334" s="10" t="s">
        <v>4366</v>
      </c>
      <c r="O334" s="178" t="s">
        <v>4367</v>
      </c>
      <c r="P334" s="178" t="s">
        <v>4368</v>
      </c>
      <c r="Q334" s="327">
        <v>5874.02</v>
      </c>
      <c r="R334" s="190">
        <v>25</v>
      </c>
      <c r="S334" s="190"/>
      <c r="T334" s="190" t="s">
        <v>2518</v>
      </c>
      <c r="U334" s="190" t="s">
        <v>2519</v>
      </c>
      <c r="V334" s="8" t="s">
        <v>1760</v>
      </c>
      <c r="W334" s="10"/>
      <c r="X334" s="9"/>
      <c r="Y334" s="172"/>
      <c r="Z334" s="172"/>
      <c r="AA334" s="172"/>
      <c r="AB334" s="143" t="str">
        <f t="shared" ca="1" si="52"/>
        <v>NY Submit</v>
      </c>
      <c r="AC334" s="13"/>
      <c r="AD334" s="12">
        <v>46203</v>
      </c>
      <c r="AE334" s="12">
        <v>46223</v>
      </c>
      <c r="AF334" s="12"/>
      <c r="AG334" s="12"/>
      <c r="AH334" s="11"/>
      <c r="AI334" s="11"/>
      <c r="AJ334" s="11"/>
      <c r="AK334" s="11"/>
      <c r="AL334" s="11"/>
      <c r="AM334" s="11"/>
      <c r="AN334" s="11"/>
      <c r="AO334" s="11" t="str">
        <f>+IF(AN334&lt;&gt;"","BAST",IF(AI334&lt;&gt;"","Dismantle",IF(AG334&lt;&gt;"","RFD App",IF(AF334="Drop","Drop",IF(AE334&lt;&gt;"","Survey Report",IF(AD334&lt;&gt;"","Survey","NY Survey"))))))</f>
        <v>Survey Report</v>
      </c>
      <c r="AP334" s="173"/>
      <c r="AQ334" s="12">
        <v>46226</v>
      </c>
      <c r="AR334" s="12">
        <v>46227</v>
      </c>
      <c r="AS334" s="12">
        <v>46226</v>
      </c>
      <c r="AT334" s="12"/>
      <c r="AU334" s="12">
        <v>46227</v>
      </c>
      <c r="AV334" s="12">
        <v>46230</v>
      </c>
      <c r="AW334" s="11" t="str">
        <f t="shared" si="53"/>
        <v>1st BOQ App on ISAAC</v>
      </c>
      <c r="AX334" s="12"/>
      <c r="AY334" s="12"/>
      <c r="AZ334" s="12"/>
      <c r="BA334" s="12"/>
      <c r="BB334" s="12"/>
      <c r="BC334" s="12"/>
      <c r="BD334" s="11" t="str">
        <f t="shared" si="54"/>
        <v>NY Submit</v>
      </c>
      <c r="BE334" s="174"/>
      <c r="BF334" s="12">
        <v>46227</v>
      </c>
      <c r="BG334" s="12">
        <v>46234</v>
      </c>
      <c r="BH334" s="12" t="s">
        <v>4369</v>
      </c>
      <c r="BI334" s="12">
        <v>46227</v>
      </c>
      <c r="BJ334" s="12"/>
      <c r="BK334" s="174" t="s">
        <v>4370</v>
      </c>
      <c r="BL334" s="12" t="str">
        <f t="shared" si="55"/>
        <v>Approved</v>
      </c>
      <c r="BM334" s="12" t="str">
        <f t="shared" si="56"/>
        <v>Submit</v>
      </c>
      <c r="BN334" s="12"/>
      <c r="BO334" s="12"/>
      <c r="BP334" s="155" t="s">
        <v>1760</v>
      </c>
      <c r="BQ334" s="12" t="s">
        <v>3106</v>
      </c>
      <c r="BR334" s="12"/>
      <c r="BS334" s="143">
        <f t="shared" ca="1" si="57"/>
        <v>9</v>
      </c>
      <c r="BT334" s="176"/>
      <c r="BU334" s="12"/>
      <c r="BV334" s="143">
        <f t="shared" ca="1" si="58"/>
        <v>0</v>
      </c>
      <c r="BW334" s="12"/>
      <c r="BX334" s="12"/>
      <c r="BY334" s="143"/>
      <c r="BZ334" s="13"/>
      <c r="CA334" s="13"/>
      <c r="CB334" s="13"/>
      <c r="CC334" s="13"/>
      <c r="CD334" s="13"/>
      <c r="CE334" s="10"/>
      <c r="CF334" s="10"/>
      <c r="CG334" s="175"/>
      <c r="CH334" s="175"/>
      <c r="CI334" s="10"/>
      <c r="CJ334" s="10"/>
      <c r="CK334" s="10"/>
      <c r="CL334" s="10"/>
    </row>
    <row r="335" spans="1:90">
      <c r="A335" s="190">
        <v>330</v>
      </c>
      <c r="B335" s="190" t="s">
        <v>2486</v>
      </c>
      <c r="C335" s="190" t="s">
        <v>2487</v>
      </c>
      <c r="D335" s="190" t="s">
        <v>135</v>
      </c>
      <c r="E335" s="8" t="e">
        <f ca="1">+_xlfn.CONCAT(G335,"-",B335,"_",C335,"_",_xlfn.XLOOKUP(BP335,Account!M:M,Account!N:N))</f>
        <v>#NAME?</v>
      </c>
      <c r="F335" s="12">
        <v>46202</v>
      </c>
      <c r="G335" s="190" t="s">
        <v>4371</v>
      </c>
      <c r="H335" s="190" t="s">
        <v>4372</v>
      </c>
      <c r="I335" s="10" t="s">
        <v>4373</v>
      </c>
      <c r="J335" s="190">
        <v>15</v>
      </c>
      <c r="K335" s="190" t="s">
        <v>2038</v>
      </c>
      <c r="L335" s="190" t="s">
        <v>1279</v>
      </c>
      <c r="M335" s="190" t="s">
        <v>3072</v>
      </c>
      <c r="N335" s="10" t="s">
        <v>4374</v>
      </c>
      <c r="O335" s="178" t="s">
        <v>4375</v>
      </c>
      <c r="P335" s="178" t="s">
        <v>4376</v>
      </c>
      <c r="Q335" s="327">
        <v>11752.763999999999</v>
      </c>
      <c r="R335" s="190">
        <v>40</v>
      </c>
      <c r="S335" s="190" t="s">
        <v>3686</v>
      </c>
      <c r="T335" s="190" t="s">
        <v>2494</v>
      </c>
      <c r="U335" s="190" t="s">
        <v>2495</v>
      </c>
      <c r="V335" s="8" t="s">
        <v>1760</v>
      </c>
      <c r="W335" s="10"/>
      <c r="X335" s="9"/>
      <c r="Y335" s="172"/>
      <c r="Z335" s="172"/>
      <c r="AA335" s="172"/>
      <c r="AB335" s="143" t="str">
        <f t="shared" ca="1" si="52"/>
        <v>NY Submit</v>
      </c>
      <c r="AC335" s="13"/>
      <c r="AD335" s="12"/>
      <c r="AE335" s="12"/>
      <c r="AF335" s="12">
        <v>46306</v>
      </c>
      <c r="AG335" s="12"/>
      <c r="AH335" s="11"/>
      <c r="AI335" s="11"/>
      <c r="AJ335" s="11"/>
      <c r="AK335" s="11"/>
      <c r="AL335" s="11"/>
      <c r="AM335" s="11"/>
      <c r="AN335" s="11"/>
      <c r="AO335" s="11" t="str">
        <f>+IF(AN335&lt;&gt;"","BAST",IF(AI335&lt;&gt;"","Dismantle",IF(AG335&lt;&gt;"","RFD App",IF(AF335="Drop","Drop",IF(AE335&lt;&gt;"","Survey Report",IF(AD335&lt;&gt;"","Survey","NY Survey"))))))</f>
        <v>NY Survey</v>
      </c>
      <c r="AP335" s="173" t="s">
        <v>4377</v>
      </c>
      <c r="AQ335" s="12"/>
      <c r="AR335" s="12"/>
      <c r="AS335" s="12"/>
      <c r="AT335" s="12"/>
      <c r="AU335" s="12"/>
      <c r="AV335" s="12"/>
      <c r="AW335" s="11" t="str">
        <f t="shared" si="53"/>
        <v>NY Submit</v>
      </c>
      <c r="AX335" s="12"/>
      <c r="AY335" s="12"/>
      <c r="AZ335" s="12"/>
      <c r="BA335" s="12"/>
      <c r="BB335" s="12"/>
      <c r="BC335" s="12"/>
      <c r="BD335" s="11" t="str">
        <f t="shared" si="54"/>
        <v>NY Submit</v>
      </c>
      <c r="BE335" s="174"/>
      <c r="BF335" s="12"/>
      <c r="BG335" s="12"/>
      <c r="BH335" s="12"/>
      <c r="BI335" s="12"/>
      <c r="BJ335" s="12"/>
      <c r="BK335" s="174"/>
      <c r="BL335" s="12" t="str">
        <f t="shared" si="55"/>
        <v>NY Submit</v>
      </c>
      <c r="BM335" s="12" t="str">
        <f t="shared" si="56"/>
        <v>NY Submit</v>
      </c>
      <c r="BN335" s="12"/>
      <c r="BO335" s="12"/>
      <c r="BP335" s="155" t="s">
        <v>1760</v>
      </c>
      <c r="BQ335" s="12" t="s">
        <v>3106</v>
      </c>
      <c r="BR335" s="12"/>
      <c r="BS335" s="143">
        <f t="shared" ca="1" si="57"/>
        <v>0</v>
      </c>
      <c r="BT335" s="176"/>
      <c r="BU335" s="12"/>
      <c r="BV335" s="143">
        <f t="shared" ca="1" si="58"/>
        <v>0</v>
      </c>
      <c r="BW335" s="12"/>
      <c r="BX335" s="12"/>
      <c r="BY335" s="143"/>
      <c r="BZ335" s="13"/>
      <c r="CA335" s="13"/>
      <c r="CB335" s="13"/>
      <c r="CC335" s="13"/>
      <c r="CD335" s="13"/>
      <c r="CE335" s="10"/>
      <c r="CF335" s="10"/>
      <c r="CG335" s="175"/>
      <c r="CH335" s="175"/>
      <c r="CI335" s="10"/>
      <c r="CJ335" s="10"/>
      <c r="CK335" s="10"/>
      <c r="CL335" s="10"/>
    </row>
    <row r="336" spans="1:90">
      <c r="A336" s="190">
        <v>331</v>
      </c>
      <c r="B336" s="190" t="s">
        <v>2486</v>
      </c>
      <c r="C336" s="190" t="s">
        <v>2487</v>
      </c>
      <c r="D336" s="190" t="s">
        <v>135</v>
      </c>
      <c r="E336" s="8" t="e">
        <f ca="1">+_xlfn.CONCAT(G336,"-",B336,"_",C336,"_",_xlfn.XLOOKUP(BP336,Account!M:M,Account!N:N))</f>
        <v>#NAME?</v>
      </c>
      <c r="F336" s="12">
        <v>46202</v>
      </c>
      <c r="G336" s="190" t="s">
        <v>4371</v>
      </c>
      <c r="H336" s="190" t="s">
        <v>4372</v>
      </c>
      <c r="I336" s="10" t="s">
        <v>4373</v>
      </c>
      <c r="J336" s="190">
        <v>15</v>
      </c>
      <c r="K336" s="190" t="s">
        <v>2038</v>
      </c>
      <c r="L336" s="190" t="s">
        <v>1279</v>
      </c>
      <c r="M336" s="190" t="s">
        <v>3072</v>
      </c>
      <c r="N336" s="10" t="s">
        <v>4374</v>
      </c>
      <c r="O336" s="178" t="s">
        <v>4375</v>
      </c>
      <c r="P336" s="178" t="s">
        <v>4376</v>
      </c>
      <c r="Q336" s="327">
        <v>11752.763999999999</v>
      </c>
      <c r="R336" s="190">
        <v>40</v>
      </c>
      <c r="S336" s="190" t="s">
        <v>3686</v>
      </c>
      <c r="T336" s="190" t="s">
        <v>2494</v>
      </c>
      <c r="U336" s="190" t="s">
        <v>2495</v>
      </c>
      <c r="V336" s="8" t="s">
        <v>2011</v>
      </c>
      <c r="W336" s="10"/>
      <c r="X336" s="9"/>
      <c r="Y336" s="172"/>
      <c r="Z336" s="172"/>
      <c r="AA336" s="172"/>
      <c r="AB336" s="143" t="str">
        <f t="shared" ca="1" si="52"/>
        <v>NY Submit</v>
      </c>
      <c r="AC336" s="13"/>
      <c r="AD336" s="12"/>
      <c r="AE336" s="12"/>
      <c r="AF336" s="12">
        <v>46306</v>
      </c>
      <c r="AG336" s="12"/>
      <c r="AH336" s="11"/>
      <c r="AI336" s="11"/>
      <c r="AJ336" s="11"/>
      <c r="AK336" s="11"/>
      <c r="AL336" s="11"/>
      <c r="AM336" s="11"/>
      <c r="AN336" s="11"/>
      <c r="AO336" s="11" t="str">
        <f>+IF(AM336&lt;&gt;"","ATP App MS",IF(AJ336&lt;&gt;"","Inbound",IF(AH336&lt;&gt;"","Dismantle Perangkat",IF(AF336="Drop","Drop",IF(AE336&lt;&gt;"","Survey Report",IF(AD336&lt;&gt;"","Survey","NY Survey"))))))</f>
        <v>NY Survey</v>
      </c>
      <c r="AP336" s="173" t="s">
        <v>4377</v>
      </c>
      <c r="AQ336" s="12"/>
      <c r="AR336" s="12"/>
      <c r="AS336" s="12"/>
      <c r="AT336" s="12"/>
      <c r="AU336" s="12"/>
      <c r="AV336" s="12"/>
      <c r="AW336" s="11" t="str">
        <f t="shared" si="53"/>
        <v>NY Submit</v>
      </c>
      <c r="AX336" s="12"/>
      <c r="AY336" s="12"/>
      <c r="AZ336" s="12"/>
      <c r="BA336" s="12"/>
      <c r="BB336" s="12"/>
      <c r="BC336" s="12"/>
      <c r="BD336" s="11" t="str">
        <f t="shared" si="54"/>
        <v>NY Submit</v>
      </c>
      <c r="BE336" s="174"/>
      <c r="BF336" s="12"/>
      <c r="BG336" s="12"/>
      <c r="BH336" s="12"/>
      <c r="BI336" s="12"/>
      <c r="BJ336" s="12"/>
      <c r="BK336" s="174"/>
      <c r="BL336" s="12" t="str">
        <f t="shared" si="55"/>
        <v>NY Submit</v>
      </c>
      <c r="BM336" s="12" t="str">
        <f t="shared" si="56"/>
        <v>NY Submit</v>
      </c>
      <c r="BN336" s="12"/>
      <c r="BO336" s="12"/>
      <c r="BP336" s="155" t="s">
        <v>2011</v>
      </c>
      <c r="BQ336" s="12" t="s">
        <v>3106</v>
      </c>
      <c r="BR336" s="12"/>
      <c r="BS336" s="143">
        <f t="shared" ca="1" si="57"/>
        <v>0</v>
      </c>
      <c r="BT336" s="176"/>
      <c r="BU336" s="12"/>
      <c r="BV336" s="143">
        <f t="shared" ca="1" si="58"/>
        <v>0</v>
      </c>
      <c r="BW336" s="12"/>
      <c r="BX336" s="12"/>
      <c r="BY336" s="143"/>
      <c r="BZ336" s="13"/>
      <c r="CA336" s="13"/>
      <c r="CB336" s="13"/>
      <c r="CC336" s="13"/>
      <c r="CD336" s="13"/>
      <c r="CE336" s="10"/>
      <c r="CF336" s="10"/>
      <c r="CG336" s="175"/>
      <c r="CH336" s="175"/>
      <c r="CI336" s="10"/>
      <c r="CJ336" s="10"/>
      <c r="CK336" s="10"/>
      <c r="CL336" s="10"/>
    </row>
    <row r="337" spans="1:90">
      <c r="A337" s="190">
        <v>332</v>
      </c>
      <c r="B337" s="190" t="s">
        <v>2486</v>
      </c>
      <c r="C337" s="190" t="s">
        <v>2487</v>
      </c>
      <c r="D337" s="190" t="s">
        <v>135</v>
      </c>
      <c r="E337" s="8" t="e">
        <f ca="1">+_xlfn.CONCAT(G337,"-",B337,"_",C337,"_",_xlfn.XLOOKUP(BP337,Account!M:M,Account!N:N))</f>
        <v>#NAME?</v>
      </c>
      <c r="F337" s="12">
        <v>46203</v>
      </c>
      <c r="G337" s="190" t="s">
        <v>2374</v>
      </c>
      <c r="H337" s="190" t="s">
        <v>4378</v>
      </c>
      <c r="I337" s="10" t="s">
        <v>2375</v>
      </c>
      <c r="J337" s="190">
        <v>11</v>
      </c>
      <c r="K337" s="190" t="s">
        <v>2038</v>
      </c>
      <c r="L337" s="190" t="s">
        <v>1263</v>
      </c>
      <c r="M337" s="190" t="s">
        <v>2577</v>
      </c>
      <c r="N337" s="10" t="s">
        <v>4379</v>
      </c>
      <c r="O337" s="178" t="s">
        <v>4380</v>
      </c>
      <c r="P337" s="178" t="s">
        <v>4381</v>
      </c>
      <c r="Q337" s="327">
        <v>7279.0540000000001</v>
      </c>
      <c r="R337" s="190">
        <v>42</v>
      </c>
      <c r="S337" s="190"/>
      <c r="T337" s="190" t="s">
        <v>2494</v>
      </c>
      <c r="U337" s="190" t="s">
        <v>2495</v>
      </c>
      <c r="V337" s="8" t="s">
        <v>1760</v>
      </c>
      <c r="W337" s="10"/>
      <c r="X337" s="9"/>
      <c r="Y337" s="172"/>
      <c r="Z337" s="172"/>
      <c r="AA337" s="172"/>
      <c r="AB337" s="143" t="str">
        <f t="shared" ca="1" si="52"/>
        <v>NY Submit</v>
      </c>
      <c r="AC337" s="13"/>
      <c r="AD337" s="12">
        <v>46206</v>
      </c>
      <c r="AE337" s="12">
        <v>46209</v>
      </c>
      <c r="AF337" s="12"/>
      <c r="AG337" s="12"/>
      <c r="AH337" s="11"/>
      <c r="AI337" s="11"/>
      <c r="AJ337" s="11"/>
      <c r="AK337" s="11"/>
      <c r="AL337" s="11"/>
      <c r="AM337" s="11"/>
      <c r="AN337" s="11"/>
      <c r="AO337" s="11" t="str">
        <f>+IF(AN337&lt;&gt;"","BAST",IF(AI337&lt;&gt;"","Dismantle",IF(AG337&lt;&gt;"","RFD App",IF(AF337="Drop","Drop",IF(AE337&lt;&gt;"","Survey Report",IF(AD337&lt;&gt;"","Survey","NY Survey"))))))</f>
        <v>Survey Report</v>
      </c>
      <c r="AP337" s="173"/>
      <c r="AQ337" s="12">
        <v>46230</v>
      </c>
      <c r="AR337" s="12">
        <v>46237</v>
      </c>
      <c r="AS337" s="12">
        <v>46230</v>
      </c>
      <c r="AT337" s="12"/>
      <c r="AU337" s="12">
        <v>46237</v>
      </c>
      <c r="AV337" s="12"/>
      <c r="AW337" s="11" t="str">
        <f t="shared" si="53"/>
        <v>Upload 1st BOQ &amp; BAN Isaac</v>
      </c>
      <c r="AX337" s="12"/>
      <c r="AY337" s="12"/>
      <c r="AZ337" s="12"/>
      <c r="BA337" s="12"/>
      <c r="BB337" s="12"/>
      <c r="BC337" s="12"/>
      <c r="BD337" s="11" t="str">
        <f t="shared" si="54"/>
        <v>NY Submit</v>
      </c>
      <c r="BE337" s="174"/>
      <c r="BF337" s="12">
        <v>46227</v>
      </c>
      <c r="BG337" s="12">
        <v>46232</v>
      </c>
      <c r="BH337" s="12" t="s">
        <v>4382</v>
      </c>
      <c r="BI337" s="12">
        <v>46227</v>
      </c>
      <c r="BJ337" s="12">
        <v>46230</v>
      </c>
      <c r="BK337" s="174" t="s">
        <v>4383</v>
      </c>
      <c r="BL337" s="12" t="str">
        <f t="shared" si="55"/>
        <v>Approved</v>
      </c>
      <c r="BM337" s="12" t="str">
        <f t="shared" si="56"/>
        <v>Approved</v>
      </c>
      <c r="BN337" s="12"/>
      <c r="BO337" s="12"/>
      <c r="BP337" s="155" t="s">
        <v>1760</v>
      </c>
      <c r="BQ337" s="12" t="s">
        <v>3106</v>
      </c>
      <c r="BR337" s="12"/>
      <c r="BS337" s="143">
        <f t="shared" ca="1" si="57"/>
        <v>0</v>
      </c>
      <c r="BT337" s="176"/>
      <c r="BU337" s="12"/>
      <c r="BV337" s="143">
        <f t="shared" ca="1" si="58"/>
        <v>0</v>
      </c>
      <c r="BW337" s="12"/>
      <c r="BX337" s="12"/>
      <c r="BY337" s="143"/>
      <c r="BZ337" s="13"/>
      <c r="CA337" s="13"/>
      <c r="CB337" s="13"/>
      <c r="CC337" s="13"/>
      <c r="CD337" s="13"/>
      <c r="CE337" s="10"/>
      <c r="CF337" s="10"/>
      <c r="CG337" s="175"/>
      <c r="CH337" s="175"/>
      <c r="CI337" s="10"/>
      <c r="CJ337" s="10"/>
      <c r="CK337" s="10"/>
      <c r="CL337" s="10"/>
    </row>
    <row r="338" spans="1:90">
      <c r="A338" s="253">
        <v>333</v>
      </c>
      <c r="B338" s="190" t="s">
        <v>2486</v>
      </c>
      <c r="C338" s="190" t="s">
        <v>2487</v>
      </c>
      <c r="D338" s="190" t="s">
        <v>135</v>
      </c>
      <c r="E338" s="8" t="e">
        <f ca="1">+_xlfn.CONCAT(G338,"-",B338,"_",C338,"_",_xlfn.XLOOKUP(BP338,Account!M:M,Account!N:N))</f>
        <v>#NAME?</v>
      </c>
      <c r="F338" s="12">
        <v>46203</v>
      </c>
      <c r="G338" s="190" t="s">
        <v>4384</v>
      </c>
      <c r="H338" s="190" t="s">
        <v>4385</v>
      </c>
      <c r="I338" s="10" t="s">
        <v>4386</v>
      </c>
      <c r="J338" s="190">
        <v>10</v>
      </c>
      <c r="K338" s="190" t="s">
        <v>2486</v>
      </c>
      <c r="L338" s="190" t="s">
        <v>3156</v>
      </c>
      <c r="M338" s="190" t="s">
        <v>3326</v>
      </c>
      <c r="N338" s="10" t="s">
        <v>4387</v>
      </c>
      <c r="O338" s="178" t="s">
        <v>4388</v>
      </c>
      <c r="P338" s="178" t="s">
        <v>4389</v>
      </c>
      <c r="Q338" s="327">
        <v>6828.5249999999996</v>
      </c>
      <c r="R338" s="190">
        <v>51</v>
      </c>
      <c r="S338" s="190" t="s">
        <v>55</v>
      </c>
      <c r="T338" s="190" t="s">
        <v>2494</v>
      </c>
      <c r="U338" s="190" t="s">
        <v>3330</v>
      </c>
      <c r="V338" s="8" t="s">
        <v>1760</v>
      </c>
      <c r="W338" s="10"/>
      <c r="X338" s="9"/>
      <c r="Y338" s="172"/>
      <c r="Z338" s="172"/>
      <c r="AA338" s="172"/>
      <c r="AB338" s="143" t="str">
        <f t="shared" ca="1" si="52"/>
        <v>NY Submit</v>
      </c>
      <c r="AC338" s="13"/>
      <c r="AD338" s="12">
        <v>46211</v>
      </c>
      <c r="AE338" s="12">
        <v>46218</v>
      </c>
      <c r="AF338" s="12">
        <v>46295</v>
      </c>
      <c r="AG338" s="12"/>
      <c r="AH338" s="11"/>
      <c r="AI338" s="11"/>
      <c r="AJ338" s="11"/>
      <c r="AK338" s="11"/>
      <c r="AL338" s="11"/>
      <c r="AM338" s="11"/>
      <c r="AN338" s="11"/>
      <c r="AO338" s="11" t="str">
        <f>+IF(AN338&lt;&gt;"","BAST",IF(AI338&lt;&gt;"","Dismantle",IF(AG338&lt;&gt;"","RFD App",IF(AF338="Drop","Drop",IF(AE338&lt;&gt;"","Survey Report",IF(AD338&lt;&gt;"","Survey","NY Survey"))))))</f>
        <v>Survey Report</v>
      </c>
      <c r="AP338" s="173"/>
      <c r="AQ338" s="12">
        <v>46230</v>
      </c>
      <c r="AR338" s="12"/>
      <c r="AS338" s="12">
        <v>46231</v>
      </c>
      <c r="AT338" s="12"/>
      <c r="AU338" s="12"/>
      <c r="AV338" s="12"/>
      <c r="AW338" s="11" t="str">
        <f t="shared" si="53"/>
        <v>Engineering Structural Manager App</v>
      </c>
      <c r="AX338" s="12"/>
      <c r="AY338" s="12"/>
      <c r="AZ338" s="12"/>
      <c r="BA338" s="12"/>
      <c r="BB338" s="12"/>
      <c r="BC338" s="12"/>
      <c r="BD338" s="11" t="str">
        <f t="shared" si="54"/>
        <v>NY Submit</v>
      </c>
      <c r="BE338" s="174"/>
      <c r="BF338" s="12">
        <v>46231</v>
      </c>
      <c r="BG338" s="12"/>
      <c r="BH338" s="12" t="s">
        <v>4390</v>
      </c>
      <c r="BI338" s="12">
        <v>46231</v>
      </c>
      <c r="BJ338" s="12"/>
      <c r="BK338" s="174" t="s">
        <v>4391</v>
      </c>
      <c r="BL338" s="12" t="str">
        <f t="shared" si="55"/>
        <v>Submit</v>
      </c>
      <c r="BM338" s="12" t="str">
        <f t="shared" si="56"/>
        <v>Submit</v>
      </c>
      <c r="BN338" s="12"/>
      <c r="BO338" s="12"/>
      <c r="BP338" s="155" t="s">
        <v>1760</v>
      </c>
      <c r="BQ338" s="12" t="s">
        <v>3106</v>
      </c>
      <c r="BR338" s="12"/>
      <c r="BS338" s="143">
        <f t="shared" ca="1" si="57"/>
        <v>0</v>
      </c>
      <c r="BT338" s="176"/>
      <c r="BU338" s="12"/>
      <c r="BV338" s="143">
        <f t="shared" ca="1" si="58"/>
        <v>0</v>
      </c>
      <c r="BW338" s="12"/>
      <c r="BX338" s="12"/>
      <c r="BY338" s="143"/>
      <c r="BZ338" s="13"/>
      <c r="CA338" s="13"/>
      <c r="CB338" s="13"/>
      <c r="CC338" s="13"/>
      <c r="CD338" s="13"/>
      <c r="CE338" s="10"/>
      <c r="CF338" s="10"/>
      <c r="CG338" s="175"/>
      <c r="CH338" s="175"/>
      <c r="CI338" s="10"/>
      <c r="CJ338" s="10"/>
      <c r="CK338" s="10"/>
      <c r="CL338" s="10"/>
    </row>
    <row r="339" spans="1:90" ht="45" customHeight="1">
      <c r="A339" s="181">
        <v>334</v>
      </c>
      <c r="B339" s="190" t="s">
        <v>2486</v>
      </c>
      <c r="C339" s="190" t="s">
        <v>2487</v>
      </c>
      <c r="D339" s="190" t="s">
        <v>135</v>
      </c>
      <c r="E339" s="8" t="e">
        <f ca="1">+_xlfn.CONCAT(G339,"-",B339,"_",C339,"_",_xlfn.XLOOKUP(BP339,Account!M:M,Account!N:N))</f>
        <v>#NAME?</v>
      </c>
      <c r="F339" s="12">
        <v>46142</v>
      </c>
      <c r="G339" s="190" t="s">
        <v>1068</v>
      </c>
      <c r="H339" s="190" t="s">
        <v>4275</v>
      </c>
      <c r="I339" s="10" t="s">
        <v>1069</v>
      </c>
      <c r="J339" s="190">
        <v>2</v>
      </c>
      <c r="K339" s="190" t="s">
        <v>2038</v>
      </c>
      <c r="L339" s="190" t="s">
        <v>2780</v>
      </c>
      <c r="M339" s="190" t="s">
        <v>3014</v>
      </c>
      <c r="N339" s="10" t="s">
        <v>4276</v>
      </c>
      <c r="O339" s="178" t="s">
        <v>4277</v>
      </c>
      <c r="P339" s="178" t="s">
        <v>4278</v>
      </c>
      <c r="Q339" s="327">
        <v>13067.712</v>
      </c>
      <c r="R339" s="190">
        <v>55</v>
      </c>
      <c r="S339" s="190" t="s">
        <v>3635</v>
      </c>
      <c r="T339" s="190" t="s">
        <v>2494</v>
      </c>
      <c r="U339" s="190" t="s">
        <v>2495</v>
      </c>
      <c r="V339" s="8" t="s">
        <v>2011</v>
      </c>
      <c r="W339" s="10"/>
      <c r="X339" s="9"/>
      <c r="Y339" s="172"/>
      <c r="Z339" s="172"/>
      <c r="AA339" s="172"/>
      <c r="AB339" s="143" t="str">
        <f t="shared" ca="1" si="52"/>
        <v>NY Submit</v>
      </c>
      <c r="AC339" s="13"/>
      <c r="AD339" s="12">
        <v>46164</v>
      </c>
      <c r="AE339" s="12">
        <v>46165</v>
      </c>
      <c r="AF339" s="12">
        <v>46203</v>
      </c>
      <c r="AG339" s="12"/>
      <c r="AH339" s="11">
        <v>46202</v>
      </c>
      <c r="AI339" s="11"/>
      <c r="AJ339" s="11">
        <v>46203</v>
      </c>
      <c r="AK339" s="11"/>
      <c r="AL339" s="11"/>
      <c r="AM339" s="11"/>
      <c r="AN339" s="11"/>
      <c r="AO339" s="11" t="str">
        <f>+IF(AM339&lt;&gt;"","ATP App MS",IF(AJ339&lt;&gt;"","Inbound",IF(AH339&lt;&gt;"","Dismantle Perangkat",IF(AF339="Drop","Drop",IF(AE339&lt;&gt;"","Survey Report",IF(AD339&lt;&gt;"","Survey","NY Survey"))))))</f>
        <v>Inbound</v>
      </c>
      <c r="AP339" s="185" t="s">
        <v>4392</v>
      </c>
      <c r="AQ339" s="12">
        <v>46170</v>
      </c>
      <c r="AR339" s="12">
        <v>46188</v>
      </c>
      <c r="AS339" s="12">
        <v>46170</v>
      </c>
      <c r="AT339" s="12"/>
      <c r="AU339" s="12">
        <v>46188</v>
      </c>
      <c r="AV339" s="12">
        <v>46188</v>
      </c>
      <c r="AW339" s="11" t="str">
        <f t="shared" si="53"/>
        <v>1st BOQ App on ISAAC</v>
      </c>
      <c r="AX339" s="12"/>
      <c r="AY339" s="12"/>
      <c r="AZ339" s="12"/>
      <c r="BA339" s="12"/>
      <c r="BB339" s="12"/>
      <c r="BC339" s="12"/>
      <c r="BD339" s="11" t="str">
        <f t="shared" si="54"/>
        <v>NY Submit</v>
      </c>
      <c r="BE339" s="220" t="s">
        <v>4393</v>
      </c>
      <c r="BF339" s="12">
        <v>46167</v>
      </c>
      <c r="BG339" s="12">
        <v>46167</v>
      </c>
      <c r="BH339" s="12" t="s">
        <v>4280</v>
      </c>
      <c r="BI339" s="12">
        <v>46167</v>
      </c>
      <c r="BJ339" s="12">
        <v>46167</v>
      </c>
      <c r="BK339" s="174"/>
      <c r="BL339" s="12" t="str">
        <f t="shared" si="55"/>
        <v>Approved</v>
      </c>
      <c r="BM339" s="12" t="str">
        <f t="shared" si="56"/>
        <v>Approved</v>
      </c>
      <c r="BN339" s="12"/>
      <c r="BO339" s="12"/>
      <c r="BP339" s="155" t="s">
        <v>2011</v>
      </c>
      <c r="BQ339" s="12" t="s">
        <v>3106</v>
      </c>
      <c r="BR339" s="12"/>
      <c r="BS339" s="143">
        <f t="shared" ca="1" si="57"/>
        <v>51</v>
      </c>
      <c r="BT339" s="176"/>
      <c r="BU339" s="12"/>
      <c r="BV339" s="143">
        <f t="shared" ca="1" si="58"/>
        <v>0</v>
      </c>
      <c r="BW339" s="12"/>
      <c r="BX339" s="12"/>
      <c r="BY339" s="143"/>
      <c r="BZ339" s="13"/>
      <c r="CA339" s="13"/>
      <c r="CB339" s="13"/>
      <c r="CC339" s="13"/>
      <c r="CD339" s="13"/>
      <c r="CE339" s="10"/>
      <c r="CF339" s="10"/>
      <c r="CG339" s="175"/>
      <c r="CH339" s="175"/>
      <c r="CI339" s="10"/>
      <c r="CJ339" s="10"/>
      <c r="CK339" s="10"/>
      <c r="CL339" s="10"/>
    </row>
    <row r="340" spans="1:90" ht="60" customHeight="1">
      <c r="A340" s="181">
        <v>335</v>
      </c>
      <c r="B340" s="190" t="s">
        <v>2486</v>
      </c>
      <c r="C340" s="190" t="s">
        <v>2487</v>
      </c>
      <c r="D340" s="190" t="s">
        <v>135</v>
      </c>
      <c r="E340" s="8" t="e">
        <f ca="1">+_xlfn.CONCAT(G340,"-",B340,"_",C340,"_",_xlfn.XLOOKUP(BP340,Account!M:M,Account!N:N))</f>
        <v>#NAME?</v>
      </c>
      <c r="F340" s="12">
        <v>46142</v>
      </c>
      <c r="G340" s="190" t="s">
        <v>1997</v>
      </c>
      <c r="H340" s="190" t="s">
        <v>4283</v>
      </c>
      <c r="I340" s="10" t="s">
        <v>1998</v>
      </c>
      <c r="J340" s="190">
        <v>2</v>
      </c>
      <c r="K340" s="190" t="s">
        <v>2038</v>
      </c>
      <c r="L340" s="190" t="s">
        <v>2780</v>
      </c>
      <c r="M340" s="190" t="s">
        <v>3014</v>
      </c>
      <c r="N340" s="10" t="s">
        <v>2064</v>
      </c>
      <c r="O340" s="178" t="s">
        <v>4284</v>
      </c>
      <c r="P340" s="178" t="s">
        <v>4285</v>
      </c>
      <c r="Q340" s="327">
        <v>8462.0400000000009</v>
      </c>
      <c r="R340" s="190">
        <v>40</v>
      </c>
      <c r="S340" s="190" t="s">
        <v>68</v>
      </c>
      <c r="T340" s="190" t="s">
        <v>2494</v>
      </c>
      <c r="U340" s="190" t="s">
        <v>2495</v>
      </c>
      <c r="V340" s="8" t="s">
        <v>2011</v>
      </c>
      <c r="W340" s="10"/>
      <c r="X340" s="9"/>
      <c r="Y340" s="172"/>
      <c r="Z340" s="172"/>
      <c r="AA340" s="172"/>
      <c r="AB340" s="143" t="str">
        <f t="shared" ca="1" si="52"/>
        <v>NY Submit</v>
      </c>
      <c r="AC340" s="13"/>
      <c r="AD340" s="12">
        <v>46161</v>
      </c>
      <c r="AE340" s="12">
        <v>46163</v>
      </c>
      <c r="AF340" s="12">
        <v>46203</v>
      </c>
      <c r="AG340" s="12"/>
      <c r="AH340" s="11">
        <v>46212</v>
      </c>
      <c r="AI340" s="11"/>
      <c r="AJ340" s="11">
        <v>46215</v>
      </c>
      <c r="AK340" s="11"/>
      <c r="AL340" s="11"/>
      <c r="AM340" s="11"/>
      <c r="AN340" s="11"/>
      <c r="AO340" s="11" t="str">
        <f>+IF(AM340&lt;&gt;"","ATP App MS",IF(AJ340&lt;&gt;"","Inbound",IF(AH340&lt;&gt;"","Dismantle Perangkat",IF(AF340="Drop","Drop",IF(AE340&lt;&gt;"","Survey Report",IF(AD340&lt;&gt;"","Survey","NY Survey"))))))</f>
        <v>Inbound</v>
      </c>
      <c r="AP340" s="185" t="s">
        <v>4394</v>
      </c>
      <c r="AQ340" s="12">
        <v>46163</v>
      </c>
      <c r="AR340" s="12">
        <v>46170</v>
      </c>
      <c r="AS340" s="12">
        <v>46170</v>
      </c>
      <c r="AT340" s="12"/>
      <c r="AU340" s="12">
        <v>46171</v>
      </c>
      <c r="AV340" s="12">
        <v>46171</v>
      </c>
      <c r="AW340" s="11" t="str">
        <f t="shared" si="53"/>
        <v>1st BOQ App on ISAAC</v>
      </c>
      <c r="AX340" s="12"/>
      <c r="AY340" s="12"/>
      <c r="AZ340" s="12"/>
      <c r="BA340" s="12"/>
      <c r="BB340" s="12"/>
      <c r="BC340" s="12"/>
      <c r="BD340" s="11" t="str">
        <f t="shared" si="54"/>
        <v>NY Submit</v>
      </c>
      <c r="BE340" s="220" t="s">
        <v>4286</v>
      </c>
      <c r="BF340" s="12">
        <v>46167</v>
      </c>
      <c r="BG340" s="12">
        <v>46167</v>
      </c>
      <c r="BH340" s="12" t="s">
        <v>4287</v>
      </c>
      <c r="BI340" s="12">
        <v>46167</v>
      </c>
      <c r="BJ340" s="12">
        <v>46167</v>
      </c>
      <c r="BK340" s="174"/>
      <c r="BL340" s="12" t="str">
        <f t="shared" si="55"/>
        <v>Approved</v>
      </c>
      <c r="BM340" s="12" t="str">
        <f t="shared" si="56"/>
        <v>Approved</v>
      </c>
      <c r="BN340" s="12"/>
      <c r="BO340" s="12"/>
      <c r="BP340" s="155" t="s">
        <v>2011</v>
      </c>
      <c r="BQ340" s="12" t="s">
        <v>3106</v>
      </c>
      <c r="BR340" s="12"/>
      <c r="BS340" s="143">
        <f t="shared" ca="1" si="57"/>
        <v>68</v>
      </c>
      <c r="BT340" s="176"/>
      <c r="BU340" s="12"/>
      <c r="BV340" s="143">
        <f t="shared" ca="1" si="58"/>
        <v>0</v>
      </c>
      <c r="BW340" s="12"/>
      <c r="BX340" s="12"/>
      <c r="BY340" s="143"/>
      <c r="BZ340" s="13"/>
      <c r="CA340" s="13"/>
      <c r="CB340" s="13"/>
      <c r="CC340" s="13"/>
      <c r="CD340" s="13"/>
      <c r="CE340" s="10"/>
      <c r="CF340" s="10"/>
      <c r="CG340" s="175"/>
      <c r="CH340" s="175"/>
      <c r="CI340" s="10"/>
      <c r="CJ340" s="10"/>
      <c r="CK340" s="10"/>
      <c r="CL340" s="10"/>
    </row>
    <row r="341" spans="1:90">
      <c r="A341" s="190">
        <v>336</v>
      </c>
      <c r="B341" s="190" t="s">
        <v>2486</v>
      </c>
      <c r="C341" s="190" t="s">
        <v>2487</v>
      </c>
      <c r="D341" s="190" t="s">
        <v>135</v>
      </c>
      <c r="E341" s="8" t="e">
        <f ca="1">+_xlfn.CONCAT(G341,"-",B341,"_",C341,"_",_xlfn.XLOOKUP(BP341,Account!M:M,Account!N:N))</f>
        <v>#NAME?</v>
      </c>
      <c r="F341" s="12">
        <v>46134</v>
      </c>
      <c r="G341" s="157" t="s">
        <v>1983</v>
      </c>
      <c r="H341" s="190" t="s">
        <v>4238</v>
      </c>
      <c r="I341" s="10" t="s">
        <v>1984</v>
      </c>
      <c r="J341" s="190">
        <v>2</v>
      </c>
      <c r="K341" s="190" t="s">
        <v>2038</v>
      </c>
      <c r="L341" s="190" t="s">
        <v>2780</v>
      </c>
      <c r="M341" s="190" t="s">
        <v>3014</v>
      </c>
      <c r="N341" s="10" t="s">
        <v>4239</v>
      </c>
      <c r="O341" s="177" t="s">
        <v>4240</v>
      </c>
      <c r="P341" s="177" t="s">
        <v>4241</v>
      </c>
      <c r="Q341" s="327">
        <v>16460.317999999999</v>
      </c>
      <c r="R341" s="190">
        <v>55</v>
      </c>
      <c r="S341" s="190" t="s">
        <v>3635</v>
      </c>
      <c r="T341" s="190" t="s">
        <v>2494</v>
      </c>
      <c r="U341" s="190" t="s">
        <v>2495</v>
      </c>
      <c r="V341" s="8" t="s">
        <v>2011</v>
      </c>
      <c r="W341" s="10"/>
      <c r="X341" s="9"/>
      <c r="Y341" s="172"/>
      <c r="Z341" s="172"/>
      <c r="AA341" s="172"/>
      <c r="AB341" s="143" t="str">
        <f t="shared" ca="1" si="52"/>
        <v>NY Submit</v>
      </c>
      <c r="AC341" s="13"/>
      <c r="AD341" s="12">
        <v>46153</v>
      </c>
      <c r="AE341" s="12">
        <v>46162</v>
      </c>
      <c r="AF341" s="12">
        <v>46203</v>
      </c>
      <c r="AG341" s="12"/>
      <c r="AH341" s="11"/>
      <c r="AI341" s="11"/>
      <c r="AJ341" s="11"/>
      <c r="AK341" s="11"/>
      <c r="AL341" s="11"/>
      <c r="AM341" s="11"/>
      <c r="AN341" s="11"/>
      <c r="AO341" s="11" t="str">
        <f>+IF(AM341&lt;&gt;"","ATP App MS",IF(AJ341&lt;&gt;"","Inbound",IF(AH341&lt;&gt;"","Dismantle Perangkat",IF(AF341="Drop","Drop",IF(AE341&lt;&gt;"","Survey Report",IF(AD341&lt;&gt;"","Survey","NY Survey"))))))</f>
        <v>Survey Report</v>
      </c>
      <c r="AP341" s="173"/>
      <c r="AQ341" s="12">
        <v>46163</v>
      </c>
      <c r="AR341" s="12">
        <v>46187</v>
      </c>
      <c r="AS341" s="12">
        <v>46182</v>
      </c>
      <c r="AT341" s="12"/>
      <c r="AU341" s="12">
        <v>46188</v>
      </c>
      <c r="AV341" s="12">
        <v>46190</v>
      </c>
      <c r="AW341" s="11" t="str">
        <f t="shared" si="53"/>
        <v>1st BOQ App on ISAAC</v>
      </c>
      <c r="AX341" s="12"/>
      <c r="AY341" s="12"/>
      <c r="AZ341" s="12"/>
      <c r="BA341" s="12"/>
      <c r="BB341" s="12"/>
      <c r="BC341" s="12"/>
      <c r="BD341" s="11" t="str">
        <f t="shared" si="54"/>
        <v>NY Submit</v>
      </c>
      <c r="BE341" s="174" t="s">
        <v>4242</v>
      </c>
      <c r="BF341" s="12">
        <v>46167</v>
      </c>
      <c r="BG341" s="12">
        <v>46167</v>
      </c>
      <c r="BH341" s="12" t="s">
        <v>4243</v>
      </c>
      <c r="BI341" s="12">
        <v>46167</v>
      </c>
      <c r="BJ341" s="12">
        <v>46167</v>
      </c>
      <c r="BK341" s="174"/>
      <c r="BL341" s="12" t="str">
        <f t="shared" si="55"/>
        <v>Approved</v>
      </c>
      <c r="BM341" s="12" t="str">
        <f t="shared" si="56"/>
        <v>Approved</v>
      </c>
      <c r="BN341" s="12"/>
      <c r="BO341" s="12"/>
      <c r="BP341" s="155" t="s">
        <v>2011</v>
      </c>
      <c r="BQ341" s="12" t="s">
        <v>3106</v>
      </c>
      <c r="BR341" s="12"/>
      <c r="BS341" s="143">
        <f t="shared" ca="1" si="57"/>
        <v>49</v>
      </c>
      <c r="BT341" s="176"/>
      <c r="BU341" s="12"/>
      <c r="BV341" s="143">
        <f t="shared" ca="1" si="58"/>
        <v>0</v>
      </c>
      <c r="BW341" s="12"/>
      <c r="BX341" s="12"/>
      <c r="BY341" s="143"/>
      <c r="BZ341" s="13"/>
      <c r="CA341" s="13"/>
      <c r="CB341" s="13"/>
      <c r="CC341" s="13"/>
      <c r="CD341" s="13"/>
      <c r="CE341" s="10"/>
      <c r="CF341" s="10"/>
      <c r="CG341" s="175"/>
      <c r="CH341" s="175"/>
      <c r="CI341" s="10"/>
      <c r="CJ341" s="10"/>
      <c r="CK341" s="10"/>
      <c r="CL341" s="10"/>
    </row>
    <row r="342" spans="1:90">
      <c r="A342" s="190">
        <v>337</v>
      </c>
      <c r="B342" s="190" t="s">
        <v>2486</v>
      </c>
      <c r="C342" s="190" t="s">
        <v>2487</v>
      </c>
      <c r="D342" s="190" t="s">
        <v>135</v>
      </c>
      <c r="E342" s="8" t="e">
        <f ca="1">+_xlfn.CONCAT(G342,"-",B342,"_",C342,"_",_xlfn.XLOOKUP(BP342,Account!M:M,Account!N:N))</f>
        <v>#NAME?</v>
      </c>
      <c r="F342" s="12">
        <v>46210</v>
      </c>
      <c r="G342" s="190" t="s">
        <v>4395</v>
      </c>
      <c r="H342" s="190" t="s">
        <v>4396</v>
      </c>
      <c r="I342" s="10" t="s">
        <v>4397</v>
      </c>
      <c r="J342" s="190">
        <v>11</v>
      </c>
      <c r="K342" s="190" t="s">
        <v>2038</v>
      </c>
      <c r="L342" s="190" t="s">
        <v>2855</v>
      </c>
      <c r="M342" s="190" t="s">
        <v>4398</v>
      </c>
      <c r="N342" s="10" t="s">
        <v>4399</v>
      </c>
      <c r="O342" s="178" t="s">
        <v>4400</v>
      </c>
      <c r="P342" s="178" t="s">
        <v>4401</v>
      </c>
      <c r="Q342" s="327"/>
      <c r="R342" s="190">
        <v>52</v>
      </c>
      <c r="S342" s="190" t="s">
        <v>3112</v>
      </c>
      <c r="T342" s="190" t="s">
        <v>2494</v>
      </c>
      <c r="U342" s="190" t="s">
        <v>2495</v>
      </c>
      <c r="V342" s="8" t="s">
        <v>1760</v>
      </c>
      <c r="W342" s="10"/>
      <c r="X342" s="9"/>
      <c r="Y342" s="172"/>
      <c r="Z342" s="172"/>
      <c r="AA342" s="172"/>
      <c r="AB342" s="143" t="str">
        <f t="shared" ca="1" si="52"/>
        <v>NY Submit</v>
      </c>
      <c r="AC342" s="13"/>
      <c r="AD342" s="12">
        <v>46204</v>
      </c>
      <c r="AE342" s="12"/>
      <c r="AF342" s="12"/>
      <c r="AG342" s="12"/>
      <c r="AH342" s="11"/>
      <c r="AI342" s="11"/>
      <c r="AJ342" s="11"/>
      <c r="AK342" s="11"/>
      <c r="AL342" s="11"/>
      <c r="AM342" s="11"/>
      <c r="AN342" s="11"/>
      <c r="AO342" s="11" t="str">
        <f>+IF(AN342&lt;&gt;"","BAST",IF(AI342&lt;&gt;"","Dismantle",IF(AG342&lt;&gt;"","RFD App",IF(AF342="Drop","Drop",IF(AE342&lt;&gt;"","Survey Report",IF(AD342&lt;&gt;"","Survey","NY Survey"))))))</f>
        <v>Survey</v>
      </c>
      <c r="AP342" s="173"/>
      <c r="AQ342" s="12"/>
      <c r="AR342" s="12"/>
      <c r="AS342" s="12"/>
      <c r="AT342" s="12"/>
      <c r="AU342" s="12"/>
      <c r="AV342" s="12"/>
      <c r="AW342" s="11" t="str">
        <f t="shared" si="53"/>
        <v>NY Submit</v>
      </c>
      <c r="AX342" s="12"/>
      <c r="AY342" s="12"/>
      <c r="AZ342" s="12"/>
      <c r="BA342" s="12"/>
      <c r="BB342" s="12"/>
      <c r="BC342" s="12"/>
      <c r="BD342" s="11" t="str">
        <f t="shared" si="54"/>
        <v>NY Submit</v>
      </c>
      <c r="BE342" s="174"/>
      <c r="BF342" s="12"/>
      <c r="BG342" s="12"/>
      <c r="BH342" s="12"/>
      <c r="BI342" s="12"/>
      <c r="BJ342" s="12"/>
      <c r="BK342" s="174"/>
      <c r="BL342" s="12" t="str">
        <f t="shared" si="55"/>
        <v>NY Submit</v>
      </c>
      <c r="BM342" s="12" t="str">
        <f t="shared" si="56"/>
        <v>NY Submit</v>
      </c>
      <c r="BN342" s="12"/>
      <c r="BO342" s="12"/>
      <c r="BP342" s="155" t="s">
        <v>1760</v>
      </c>
      <c r="BQ342" s="12" t="s">
        <v>3106</v>
      </c>
      <c r="BR342" s="12"/>
      <c r="BS342" s="143">
        <f t="shared" ca="1" si="57"/>
        <v>0</v>
      </c>
      <c r="BT342" s="176"/>
      <c r="BU342" s="12"/>
      <c r="BV342" s="143">
        <f t="shared" ca="1" si="58"/>
        <v>0</v>
      </c>
      <c r="BW342" s="12"/>
      <c r="BX342" s="12"/>
      <c r="BY342" s="143"/>
      <c r="BZ342" s="13"/>
      <c r="CA342" s="13"/>
      <c r="CB342" s="13"/>
      <c r="CC342" s="13"/>
      <c r="CD342" s="13"/>
      <c r="CE342" s="10"/>
      <c r="CF342" s="10"/>
      <c r="CG342" s="175"/>
      <c r="CH342" s="175"/>
      <c r="CI342" s="10"/>
      <c r="CJ342" s="10"/>
      <c r="CK342" s="10"/>
      <c r="CL342" s="10"/>
    </row>
    <row r="343" spans="1:90">
      <c r="A343" s="190">
        <v>338</v>
      </c>
      <c r="B343" s="190" t="s">
        <v>2486</v>
      </c>
      <c r="C343" s="190" t="s">
        <v>2487</v>
      </c>
      <c r="D343" s="190" t="s">
        <v>135</v>
      </c>
      <c r="E343" s="8" t="e">
        <f ca="1">+_xlfn.CONCAT(G343,"-",B343,"_",C343,"_",_xlfn.XLOOKUP(BP343,Account!M:M,Account!N:N))</f>
        <v>#NAME?</v>
      </c>
      <c r="F343" s="12">
        <v>46210</v>
      </c>
      <c r="G343" s="190" t="s">
        <v>4395</v>
      </c>
      <c r="H343" s="190" t="s">
        <v>4396</v>
      </c>
      <c r="I343" s="10" t="s">
        <v>4397</v>
      </c>
      <c r="J343" s="190">
        <v>11</v>
      </c>
      <c r="K343" s="190" t="s">
        <v>2038</v>
      </c>
      <c r="L343" s="190" t="s">
        <v>2855</v>
      </c>
      <c r="M343" s="190" t="s">
        <v>4398</v>
      </c>
      <c r="N343" s="10" t="s">
        <v>4399</v>
      </c>
      <c r="O343" s="178" t="s">
        <v>4400</v>
      </c>
      <c r="P343" s="178" t="s">
        <v>4401</v>
      </c>
      <c r="Q343" s="327"/>
      <c r="R343" s="190">
        <v>52</v>
      </c>
      <c r="S343" s="190" t="s">
        <v>3112</v>
      </c>
      <c r="T343" s="190" t="s">
        <v>2494</v>
      </c>
      <c r="U343" s="190" t="s">
        <v>2495</v>
      </c>
      <c r="V343" s="8" t="s">
        <v>2011</v>
      </c>
      <c r="W343" s="10"/>
      <c r="X343" s="9"/>
      <c r="Y343" s="172"/>
      <c r="Z343" s="172"/>
      <c r="AA343" s="172"/>
      <c r="AB343" s="143" t="str">
        <f t="shared" ca="1" si="52"/>
        <v>NY Submit</v>
      </c>
      <c r="AC343" s="13"/>
      <c r="AD343" s="12">
        <v>46204</v>
      </c>
      <c r="AE343" s="12"/>
      <c r="AF343" s="12"/>
      <c r="AG343" s="12"/>
      <c r="AH343" s="11"/>
      <c r="AI343" s="11"/>
      <c r="AJ343" s="11"/>
      <c r="AK343" s="11"/>
      <c r="AL343" s="11"/>
      <c r="AM343" s="11"/>
      <c r="AN343" s="11"/>
      <c r="AO343" s="11" t="str">
        <f>+IF(AM343&lt;&gt;"","ATP App MS",IF(AJ343&lt;&gt;"","Inbound",IF(AH343&lt;&gt;"","Dismantle Perangkat",IF(AF343="Drop","Drop",IF(AE343&lt;&gt;"","Survey Report",IF(AD343&lt;&gt;"","Survey","NY Survey"))))))</f>
        <v>Survey</v>
      </c>
      <c r="AP343" s="173"/>
      <c r="AQ343" s="12"/>
      <c r="AR343" s="12"/>
      <c r="AS343" s="12"/>
      <c r="AT343" s="12"/>
      <c r="AU343" s="12"/>
      <c r="AV343" s="12"/>
      <c r="AW343" s="11" t="str">
        <f t="shared" si="53"/>
        <v>NY Submit</v>
      </c>
      <c r="AX343" s="12"/>
      <c r="AY343" s="12"/>
      <c r="AZ343" s="12"/>
      <c r="BA343" s="12"/>
      <c r="BB343" s="12"/>
      <c r="BC343" s="12"/>
      <c r="BD343" s="11" t="str">
        <f t="shared" si="54"/>
        <v>NY Submit</v>
      </c>
      <c r="BE343" s="174"/>
      <c r="BF343" s="12"/>
      <c r="BG343" s="12"/>
      <c r="BH343" s="12"/>
      <c r="BI343" s="12"/>
      <c r="BJ343" s="12"/>
      <c r="BK343" s="174"/>
      <c r="BL343" s="12" t="str">
        <f t="shared" si="55"/>
        <v>NY Submit</v>
      </c>
      <c r="BM343" s="12" t="str">
        <f t="shared" si="56"/>
        <v>NY Submit</v>
      </c>
      <c r="BN343" s="12"/>
      <c r="BO343" s="12"/>
      <c r="BP343" s="155" t="s">
        <v>2011</v>
      </c>
      <c r="BQ343" s="12" t="s">
        <v>3106</v>
      </c>
      <c r="BR343" s="12"/>
      <c r="BS343" s="143">
        <f t="shared" ca="1" si="57"/>
        <v>0</v>
      </c>
      <c r="BT343" s="176"/>
      <c r="BU343" s="12"/>
      <c r="BV343" s="143">
        <f t="shared" ca="1" si="58"/>
        <v>0</v>
      </c>
      <c r="BW343" s="12"/>
      <c r="BX343" s="12"/>
      <c r="BY343" s="143"/>
      <c r="BZ343" s="13"/>
      <c r="CA343" s="13"/>
      <c r="CB343" s="13"/>
      <c r="CC343" s="13"/>
      <c r="CD343" s="13"/>
      <c r="CE343" s="10"/>
      <c r="CF343" s="10"/>
      <c r="CG343" s="175"/>
      <c r="CH343" s="175"/>
      <c r="CI343" s="10"/>
      <c r="CJ343" s="10"/>
      <c r="CK343" s="10"/>
      <c r="CL343" s="10"/>
    </row>
    <row r="344" spans="1:90">
      <c r="A344" s="190">
        <v>339</v>
      </c>
      <c r="B344" s="190" t="s">
        <v>2486</v>
      </c>
      <c r="C344" s="190" t="s">
        <v>2487</v>
      </c>
      <c r="D344" s="190" t="s">
        <v>135</v>
      </c>
      <c r="E344" s="8" t="e">
        <f ca="1">+_xlfn.CONCAT(G344,"-",B344,"_",C344,"_",_xlfn.XLOOKUP(BP344,Account!M:M,Account!N:N))</f>
        <v>#NAME?</v>
      </c>
      <c r="F344" s="12">
        <v>46210</v>
      </c>
      <c r="G344" s="190" t="s">
        <v>4395</v>
      </c>
      <c r="H344" s="190" t="s">
        <v>4396</v>
      </c>
      <c r="I344" s="10" t="s">
        <v>4397</v>
      </c>
      <c r="J344" s="190">
        <v>11</v>
      </c>
      <c r="K344" s="190" t="s">
        <v>2038</v>
      </c>
      <c r="L344" s="190" t="s">
        <v>2855</v>
      </c>
      <c r="M344" s="190" t="s">
        <v>4398</v>
      </c>
      <c r="N344" s="10" t="s">
        <v>4399</v>
      </c>
      <c r="O344" s="178" t="s">
        <v>4400</v>
      </c>
      <c r="P344" s="178" t="s">
        <v>4401</v>
      </c>
      <c r="Q344" s="327"/>
      <c r="R344" s="190">
        <v>52</v>
      </c>
      <c r="S344" s="190" t="s">
        <v>3112</v>
      </c>
      <c r="T344" s="190" t="s">
        <v>2494</v>
      </c>
      <c r="U344" s="190" t="s">
        <v>2495</v>
      </c>
      <c r="V344" s="8" t="s">
        <v>1768</v>
      </c>
      <c r="W344" s="10"/>
      <c r="X344" s="9"/>
      <c r="Y344" s="172"/>
      <c r="Z344" s="172"/>
      <c r="AA344" s="172"/>
      <c r="AB344" s="143"/>
      <c r="AC344" s="13"/>
      <c r="AD344" s="12">
        <v>46204</v>
      </c>
      <c r="AE344" s="12"/>
      <c r="AF344" s="12"/>
      <c r="AG344" s="12"/>
      <c r="AH344" s="11"/>
      <c r="AI344" s="11"/>
      <c r="AJ344" s="11"/>
      <c r="AK344" s="11"/>
      <c r="AL344" s="11"/>
      <c r="AM344" s="11"/>
      <c r="AN344" s="11"/>
      <c r="AO344" s="11" t="str">
        <f>+IF(AM344&lt;&gt;"","ATP App MS",IF(AL344&lt;&gt;"","OA/RFS",IF(AK344&lt;&gt;"","Install",IF(AH344&lt;&gt;"","Dismantle Perangkat",IF(AF344="Drop","Drop",IF(AE344&lt;&gt;"","Survey Report",IF(AD344&lt;&gt;"","Survey","NY Survey")))))))</f>
        <v>Survey</v>
      </c>
      <c r="AP344" s="173"/>
      <c r="AQ344" s="12"/>
      <c r="AR344" s="12"/>
      <c r="AS344" s="12"/>
      <c r="AT344" s="12"/>
      <c r="AU344" s="12"/>
      <c r="AV344" s="12"/>
      <c r="AW344" s="11"/>
      <c r="AX344" s="12"/>
      <c r="AY344" s="12"/>
      <c r="AZ344" s="12"/>
      <c r="BA344" s="12"/>
      <c r="BB344" s="12"/>
      <c r="BC344" s="12"/>
      <c r="BD344" s="11"/>
      <c r="BE344" s="174"/>
      <c r="BF344" s="12"/>
      <c r="BG344" s="12"/>
      <c r="BH344" s="12"/>
      <c r="BI344" s="12"/>
      <c r="BJ344" s="12"/>
      <c r="BK344" s="174"/>
      <c r="BL344" s="12"/>
      <c r="BM344" s="12"/>
      <c r="BN344" s="12"/>
      <c r="BO344" s="12"/>
      <c r="BP344" s="155" t="s">
        <v>1768</v>
      </c>
      <c r="BQ344" s="12"/>
      <c r="BR344" s="12"/>
      <c r="BS344" s="143"/>
      <c r="BT344" s="176"/>
      <c r="BU344" s="12"/>
      <c r="BV344" s="143"/>
      <c r="BW344" s="12"/>
      <c r="BX344" s="12"/>
      <c r="BY344" s="143"/>
      <c r="BZ344" s="13"/>
      <c r="CA344" s="13"/>
      <c r="CB344" s="13"/>
      <c r="CC344" s="13"/>
      <c r="CD344" s="13"/>
      <c r="CE344" s="10"/>
      <c r="CF344" s="10"/>
      <c r="CG344" s="175"/>
      <c r="CH344" s="175"/>
      <c r="CI344" s="10"/>
      <c r="CJ344" s="10"/>
      <c r="CK344" s="10"/>
      <c r="CL344" s="10"/>
    </row>
    <row r="345" spans="1:90">
      <c r="A345" s="190">
        <v>340</v>
      </c>
      <c r="B345" s="190" t="s">
        <v>2486</v>
      </c>
      <c r="C345" s="190" t="s">
        <v>2487</v>
      </c>
      <c r="D345" s="190" t="s">
        <v>135</v>
      </c>
      <c r="E345" s="8" t="e">
        <f ca="1">+_xlfn.CONCAT(G345,"-",B345,"_",C345,"_",_xlfn.XLOOKUP(BP345,Account!M:M,Account!N:N))</f>
        <v>#NAME?</v>
      </c>
      <c r="F345" s="12">
        <v>46216</v>
      </c>
      <c r="G345" s="190" t="s">
        <v>101</v>
      </c>
      <c r="H345" s="190" t="s">
        <v>4402</v>
      </c>
      <c r="I345" s="10" t="s">
        <v>102</v>
      </c>
      <c r="J345" s="190">
        <v>10</v>
      </c>
      <c r="K345" s="190" t="s">
        <v>2486</v>
      </c>
      <c r="L345" s="190" t="s">
        <v>3156</v>
      </c>
      <c r="M345" s="190" t="s">
        <v>3168</v>
      </c>
      <c r="N345" s="10" t="s">
        <v>4403</v>
      </c>
      <c r="O345" s="178" t="s">
        <v>4404</v>
      </c>
      <c r="P345" s="178" t="s">
        <v>4405</v>
      </c>
      <c r="Q345" s="327">
        <v>6828.5249999999996</v>
      </c>
      <c r="R345" s="190">
        <v>51</v>
      </c>
      <c r="S345" s="190" t="s">
        <v>55</v>
      </c>
      <c r="T345" s="190" t="s">
        <v>2494</v>
      </c>
      <c r="U345" s="190" t="s">
        <v>2495</v>
      </c>
      <c r="V345" s="8" t="s">
        <v>1760</v>
      </c>
      <c r="W345" s="10"/>
      <c r="X345" s="9"/>
      <c r="Y345" s="172"/>
      <c r="Z345" s="172"/>
      <c r="AA345" s="172"/>
      <c r="AB345" s="143" t="str">
        <f t="shared" ref="AB345:AB366" ca="1" si="59">IF(AA345="ds","Submit",IF(AA345="","NY Submit",IF(AA345&lt;TODAY(),"Expired",IFERROR(DATEDIF(TODAY(),AA345,"d"),""))))</f>
        <v>NY Submit</v>
      </c>
      <c r="AC345" s="13"/>
      <c r="AD345" s="12">
        <v>46217</v>
      </c>
      <c r="AE345" s="12">
        <v>46217</v>
      </c>
      <c r="AF345" s="12">
        <v>46368</v>
      </c>
      <c r="AG345" s="12"/>
      <c r="AH345" s="11"/>
      <c r="AI345" s="11"/>
      <c r="AJ345" s="11"/>
      <c r="AK345" s="11"/>
      <c r="AL345" s="11"/>
      <c r="AM345" s="11"/>
      <c r="AN345" s="11"/>
      <c r="AO345" s="11" t="str">
        <f>+IF(AN345&lt;&gt;"","BAST",IF(AI345&lt;&gt;"","Dismantle",IF(AG345&lt;&gt;"","RFD App",IF(AF345="Drop","Drop",IF(AE345&lt;&gt;"","Survey Report",IF(AD345&lt;&gt;"","Survey","NY Survey"))))))</f>
        <v>Survey Report</v>
      </c>
      <c r="AP345" s="173"/>
      <c r="AQ345" s="12">
        <v>46232</v>
      </c>
      <c r="AR345" s="12">
        <v>46234</v>
      </c>
      <c r="AS345" s="12">
        <v>46232</v>
      </c>
      <c r="AT345" s="12"/>
      <c r="AU345" s="12">
        <v>46234</v>
      </c>
      <c r="AV345" s="12">
        <v>46234</v>
      </c>
      <c r="AW345" s="11" t="str">
        <f t="shared" ref="AW345:AW366" si="60">+IF(AV345&lt;&gt;"","1st BOQ App on ISAAC",IF(AU345&lt;&gt;"","Upload 1st BOQ &amp; BAN Isaac",IF(AT345="DRM","need DRM",IF(AT345&lt;&gt;"","BAN App",IF(AR345&lt;&gt;"","1st BOQ Pass TI",IF(AS345&lt;&gt;"","Engineering Structural Manager App",IF(AQ345&lt;&gt;"","1st BOQ Submit","NY Submit")))))))</f>
        <v>1st BOQ App on ISAAC</v>
      </c>
      <c r="AX345" s="12"/>
      <c r="AY345" s="12"/>
      <c r="AZ345" s="12"/>
      <c r="BA345" s="12"/>
      <c r="BB345" s="12"/>
      <c r="BC345" s="12"/>
      <c r="BD345" s="11" t="str">
        <f t="shared" ref="BD345:BD366" si="61">+IF(BC345&lt;&gt;"","2nd BOQ App on ISAAC",IF(BB345&lt;&gt;"","Upload 2nd BOQ &amp; BAN Isaac",IF(BA345="DRM","need DRM",IF(BA345&lt;&gt;"","BAN App",IF(AZ345&lt;&gt;"","Engineering Structural Manager App",IF(AY345&lt;&gt;"","2nd BOQ Pass TI",IF(AX345&lt;&gt;"","2nd BOQ Submit","NY Submit")))))))</f>
        <v>NY Submit</v>
      </c>
      <c r="BE345" s="174"/>
      <c r="BF345" s="12"/>
      <c r="BG345" s="12"/>
      <c r="BH345" s="12"/>
      <c r="BI345" s="12"/>
      <c r="BJ345" s="12"/>
      <c r="BK345" s="174"/>
      <c r="BL345" s="12" t="str">
        <f t="shared" ref="BL345:BL366" si="62">+IF(BG345&lt;&gt;"","Approved",IF(BF345&lt;&gt;"","Submit","NY Submit"))</f>
        <v>NY Submit</v>
      </c>
      <c r="BM345" s="12" t="str">
        <f t="shared" ref="BM345:BM366" si="63">+IF(BJ345&lt;&gt;"","Approved",IF(BI345&lt;&gt;"","Submit","NY Submit"))</f>
        <v>NY Submit</v>
      </c>
      <c r="BN345" s="12"/>
      <c r="BO345" s="12"/>
      <c r="BP345" s="155" t="s">
        <v>1760</v>
      </c>
      <c r="BQ345" s="12" t="s">
        <v>3106</v>
      </c>
      <c r="BR345" s="12"/>
      <c r="BS345" s="143">
        <f t="shared" ref="BS345:BS352" ca="1" si="64">IF(AO345="Drop",
"Drop",
IF(ISBLANK(AV345),
0,
IF(ISBLANK(BR345),
DATEDIF(AV345,TODAY(),"d"),
DATEDIF(AV345,BR345,"d")
)
)
)</f>
        <v>5</v>
      </c>
      <c r="BT345" s="176"/>
      <c r="BU345" s="12"/>
      <c r="BV345" s="143">
        <f t="shared" ref="BV345:BV352" ca="1" si="65">IF(AO345="Drop",
"Drop",
IF(ISBLANK(BC345),
0,
IF(ISBLANK(BU345),
DATEDIF(BC345,TODAY(),"d"),
DATEDIF(BC345,BU345,"d")
)
)
)</f>
        <v>0</v>
      </c>
      <c r="BW345" s="12"/>
      <c r="BX345" s="12"/>
      <c r="BY345" s="143"/>
      <c r="BZ345" s="13"/>
      <c r="CA345" s="13"/>
      <c r="CB345" s="13"/>
      <c r="CC345" s="13"/>
      <c r="CD345" s="13"/>
      <c r="CE345" s="10"/>
      <c r="CF345" s="10"/>
      <c r="CG345" s="175"/>
      <c r="CH345" s="175"/>
      <c r="CI345" s="10"/>
      <c r="CJ345" s="10"/>
      <c r="CK345" s="10"/>
      <c r="CL345" s="10"/>
    </row>
    <row r="346" spans="1:90">
      <c r="A346" s="190">
        <v>341</v>
      </c>
      <c r="B346" s="190" t="s">
        <v>2486</v>
      </c>
      <c r="C346" s="190" t="s">
        <v>2487</v>
      </c>
      <c r="D346" s="190" t="s">
        <v>135</v>
      </c>
      <c r="E346" s="8" t="e">
        <f ca="1">+_xlfn.CONCAT(G346,"-",B346,"_",C346,"_",_xlfn.XLOOKUP(BP346,Account!M:M,Account!N:N))</f>
        <v>#NAME?</v>
      </c>
      <c r="F346" s="12">
        <v>46216</v>
      </c>
      <c r="G346" s="190" t="s">
        <v>101</v>
      </c>
      <c r="H346" s="190" t="s">
        <v>4402</v>
      </c>
      <c r="I346" s="10" t="s">
        <v>102</v>
      </c>
      <c r="J346" s="190">
        <v>10</v>
      </c>
      <c r="K346" s="190" t="s">
        <v>2486</v>
      </c>
      <c r="L346" s="190" t="s">
        <v>3156</v>
      </c>
      <c r="M346" s="190" t="s">
        <v>3168</v>
      </c>
      <c r="N346" s="10" t="s">
        <v>4403</v>
      </c>
      <c r="O346" s="178" t="s">
        <v>4404</v>
      </c>
      <c r="P346" s="178" t="s">
        <v>4405</v>
      </c>
      <c r="Q346" s="327">
        <v>6828.5249999999996</v>
      </c>
      <c r="R346" s="190">
        <v>51</v>
      </c>
      <c r="S346" s="190" t="s">
        <v>55</v>
      </c>
      <c r="T346" s="190" t="s">
        <v>2494</v>
      </c>
      <c r="U346" s="190" t="s">
        <v>2495</v>
      </c>
      <c r="V346" s="8" t="s">
        <v>2011</v>
      </c>
      <c r="W346" s="10"/>
      <c r="X346" s="9"/>
      <c r="Y346" s="172"/>
      <c r="Z346" s="172"/>
      <c r="AA346" s="172"/>
      <c r="AB346" s="143" t="str">
        <f t="shared" ca="1" si="59"/>
        <v>NY Submit</v>
      </c>
      <c r="AC346" s="13"/>
      <c r="AD346" s="12">
        <v>46217</v>
      </c>
      <c r="AE346" s="12">
        <v>46217</v>
      </c>
      <c r="AF346" s="12">
        <v>46368</v>
      </c>
      <c r="AG346" s="12"/>
      <c r="AH346" s="11"/>
      <c r="AI346" s="11"/>
      <c r="AJ346" s="11"/>
      <c r="AK346" s="11"/>
      <c r="AL346" s="11"/>
      <c r="AM346" s="11"/>
      <c r="AN346" s="11"/>
      <c r="AO346" s="11" t="str">
        <f>+IF(AM346&lt;&gt;"","ATP App MS",IF(AJ346&lt;&gt;"","Inbound",IF(AH346&lt;&gt;"","Dismantle Perangkat",IF(AF346="Drop","Drop",IF(AE346&lt;&gt;"","Survey Report",IF(AD346&lt;&gt;"","Survey","NY Survey"))))))</f>
        <v>Survey Report</v>
      </c>
      <c r="AP346" s="173"/>
      <c r="AQ346" s="12">
        <v>46232</v>
      </c>
      <c r="AR346" s="12">
        <v>46234</v>
      </c>
      <c r="AS346" s="12">
        <v>46232</v>
      </c>
      <c r="AT346" s="12"/>
      <c r="AU346" s="12">
        <v>46234</v>
      </c>
      <c r="AV346" s="12">
        <v>46234</v>
      </c>
      <c r="AW346" s="11" t="str">
        <f t="shared" si="60"/>
        <v>1st BOQ App on ISAAC</v>
      </c>
      <c r="AX346" s="12"/>
      <c r="AY346" s="12"/>
      <c r="AZ346" s="12"/>
      <c r="BA346" s="12"/>
      <c r="BB346" s="12"/>
      <c r="BC346" s="12"/>
      <c r="BD346" s="11" t="str">
        <f t="shared" si="61"/>
        <v>NY Submit</v>
      </c>
      <c r="BE346" s="174"/>
      <c r="BF346" s="12"/>
      <c r="BG346" s="12"/>
      <c r="BH346" s="12"/>
      <c r="BI346" s="12"/>
      <c r="BJ346" s="12"/>
      <c r="BK346" s="174"/>
      <c r="BL346" s="12" t="str">
        <f t="shared" si="62"/>
        <v>NY Submit</v>
      </c>
      <c r="BM346" s="12" t="str">
        <f t="shared" si="63"/>
        <v>NY Submit</v>
      </c>
      <c r="BN346" s="12"/>
      <c r="BO346" s="12"/>
      <c r="BP346" s="155" t="s">
        <v>2011</v>
      </c>
      <c r="BQ346" s="12" t="s">
        <v>3106</v>
      </c>
      <c r="BR346" s="12"/>
      <c r="BS346" s="143">
        <f t="shared" ca="1" si="64"/>
        <v>5</v>
      </c>
      <c r="BT346" s="176"/>
      <c r="BU346" s="12"/>
      <c r="BV346" s="143">
        <f t="shared" ca="1" si="65"/>
        <v>0</v>
      </c>
      <c r="BW346" s="12"/>
      <c r="BX346" s="12"/>
      <c r="BY346" s="143"/>
      <c r="BZ346" s="13"/>
      <c r="CA346" s="13"/>
      <c r="CB346" s="13"/>
      <c r="CC346" s="13"/>
      <c r="CD346" s="13"/>
      <c r="CE346" s="10"/>
      <c r="CF346" s="10"/>
      <c r="CG346" s="175"/>
      <c r="CH346" s="175"/>
      <c r="CI346" s="10"/>
      <c r="CJ346" s="10"/>
      <c r="CK346" s="10"/>
      <c r="CL346" s="10"/>
    </row>
    <row r="347" spans="1:90">
      <c r="A347" s="190">
        <v>342</v>
      </c>
      <c r="B347" s="190" t="s">
        <v>2486</v>
      </c>
      <c r="C347" s="190" t="s">
        <v>2487</v>
      </c>
      <c r="D347" s="190" t="s">
        <v>135</v>
      </c>
      <c r="E347" s="8" t="e">
        <f ca="1">+_xlfn.CONCAT(G347,"-",B347,"_",C347,"_",_xlfn.XLOOKUP(BP347,Account!M:M,Account!N:N))</f>
        <v>#NAME?</v>
      </c>
      <c r="F347" s="12">
        <v>46216</v>
      </c>
      <c r="G347" s="190" t="s">
        <v>101</v>
      </c>
      <c r="H347" s="190" t="s">
        <v>4402</v>
      </c>
      <c r="I347" s="10" t="s">
        <v>102</v>
      </c>
      <c r="J347" s="190">
        <v>10</v>
      </c>
      <c r="K347" s="190" t="s">
        <v>2486</v>
      </c>
      <c r="L347" s="190" t="s">
        <v>3156</v>
      </c>
      <c r="M347" s="190" t="s">
        <v>3168</v>
      </c>
      <c r="N347" s="10" t="s">
        <v>4403</v>
      </c>
      <c r="O347" s="178" t="s">
        <v>4404</v>
      </c>
      <c r="P347" s="178" t="s">
        <v>4405</v>
      </c>
      <c r="Q347" s="327">
        <v>6828.5249999999996</v>
      </c>
      <c r="R347" s="190">
        <v>51</v>
      </c>
      <c r="S347" s="190" t="s">
        <v>55</v>
      </c>
      <c r="T347" s="190" t="s">
        <v>2494</v>
      </c>
      <c r="U347" s="190" t="s">
        <v>2495</v>
      </c>
      <c r="V347" s="8" t="s">
        <v>1768</v>
      </c>
      <c r="W347" s="10"/>
      <c r="X347" s="9"/>
      <c r="Y347" s="172"/>
      <c r="Z347" s="172"/>
      <c r="AA347" s="172"/>
      <c r="AB347" s="143" t="str">
        <f t="shared" ca="1" si="59"/>
        <v>NY Submit</v>
      </c>
      <c r="AC347" s="13"/>
      <c r="AD347" s="12">
        <v>46217</v>
      </c>
      <c r="AE347" s="12">
        <v>46217</v>
      </c>
      <c r="AF347" s="12">
        <v>46368</v>
      </c>
      <c r="AG347" s="12"/>
      <c r="AH347" s="11"/>
      <c r="AI347" s="11"/>
      <c r="AJ347" s="11"/>
      <c r="AK347" s="11"/>
      <c r="AL347" s="11"/>
      <c r="AM347" s="11"/>
      <c r="AN347" s="11"/>
      <c r="AO347" s="11" t="str">
        <f>+IF(AM347&lt;&gt;"","ATP App MS",IF(AL347&lt;&gt;"","OA/RFS",IF(AK347&lt;&gt;"","Install",IF(AH347&lt;&gt;"","Dismantle Perangkat",IF(AF347="Drop","Drop",IF(AE347&lt;&gt;"","Survey Report",IF(AD347&lt;&gt;"","Survey","NY Survey")))))))</f>
        <v>Survey Report</v>
      </c>
      <c r="AP347" s="173"/>
      <c r="AQ347" s="12">
        <v>46232</v>
      </c>
      <c r="AR347" s="12">
        <v>46234</v>
      </c>
      <c r="AS347" s="12">
        <v>46232</v>
      </c>
      <c r="AT347" s="12"/>
      <c r="AU347" s="12">
        <v>46234</v>
      </c>
      <c r="AV347" s="12">
        <v>46234</v>
      </c>
      <c r="AW347" s="11" t="str">
        <f t="shared" si="60"/>
        <v>1st BOQ App on ISAAC</v>
      </c>
      <c r="AX347" s="12"/>
      <c r="AY347" s="12"/>
      <c r="AZ347" s="12"/>
      <c r="BA347" s="12"/>
      <c r="BB347" s="12"/>
      <c r="BC347" s="12"/>
      <c r="BD347" s="11" t="str">
        <f t="shared" si="61"/>
        <v>NY Submit</v>
      </c>
      <c r="BE347" s="174"/>
      <c r="BF347" s="12"/>
      <c r="BG347" s="12"/>
      <c r="BH347" s="12"/>
      <c r="BI347" s="12"/>
      <c r="BJ347" s="12"/>
      <c r="BK347" s="174"/>
      <c r="BL347" s="12" t="str">
        <f t="shared" si="62"/>
        <v>NY Submit</v>
      </c>
      <c r="BM347" s="12" t="str">
        <f t="shared" si="63"/>
        <v>NY Submit</v>
      </c>
      <c r="BN347" s="12"/>
      <c r="BO347" s="12"/>
      <c r="BP347" s="155" t="s">
        <v>1768</v>
      </c>
      <c r="BQ347" s="12" t="s">
        <v>3106</v>
      </c>
      <c r="BR347" s="12"/>
      <c r="BS347" s="143">
        <f t="shared" ca="1" si="64"/>
        <v>5</v>
      </c>
      <c r="BT347" s="176"/>
      <c r="BU347" s="12"/>
      <c r="BV347" s="143">
        <f t="shared" ca="1" si="65"/>
        <v>0</v>
      </c>
      <c r="BW347" s="12"/>
      <c r="BX347" s="12"/>
      <c r="BY347" s="143"/>
      <c r="BZ347" s="13"/>
      <c r="CA347" s="13"/>
      <c r="CB347" s="13"/>
      <c r="CC347" s="13"/>
      <c r="CD347" s="13"/>
      <c r="CE347" s="10"/>
      <c r="CF347" s="10"/>
      <c r="CG347" s="175"/>
      <c r="CH347" s="175"/>
      <c r="CI347" s="10"/>
      <c r="CJ347" s="10"/>
      <c r="CK347" s="10"/>
      <c r="CL347" s="10"/>
    </row>
    <row r="348" spans="1:90">
      <c r="A348" s="190">
        <v>343</v>
      </c>
      <c r="B348" s="190" t="s">
        <v>2486</v>
      </c>
      <c r="C348" s="190" t="s">
        <v>2487</v>
      </c>
      <c r="D348" s="190" t="s">
        <v>135</v>
      </c>
      <c r="E348" s="8" t="e">
        <f ca="1">+_xlfn.CONCAT(G348,"-",B348,"_",C348,"_",_xlfn.XLOOKUP(BP348,Account!M:M,Account!N:N))</f>
        <v>#NAME?</v>
      </c>
      <c r="F348" s="12">
        <v>46216</v>
      </c>
      <c r="G348" s="190" t="s">
        <v>2032</v>
      </c>
      <c r="H348" s="190" t="s">
        <v>4406</v>
      </c>
      <c r="I348" s="10" t="s">
        <v>2033</v>
      </c>
      <c r="J348" s="190">
        <v>18</v>
      </c>
      <c r="K348" s="190" t="s">
        <v>2486</v>
      </c>
      <c r="L348" s="190" t="s">
        <v>4407</v>
      </c>
      <c r="M348" s="190" t="s">
        <v>4408</v>
      </c>
      <c r="N348" s="10" t="s">
        <v>4409</v>
      </c>
      <c r="O348" s="178" t="s">
        <v>4410</v>
      </c>
      <c r="P348" s="178" t="s">
        <v>4411</v>
      </c>
      <c r="Q348" s="327">
        <v>13212.913</v>
      </c>
      <c r="R348" s="190">
        <v>71</v>
      </c>
      <c r="S348" s="190"/>
      <c r="T348" s="190" t="s">
        <v>2494</v>
      </c>
      <c r="U348" s="190" t="s">
        <v>3330</v>
      </c>
      <c r="V348" s="8" t="s">
        <v>1760</v>
      </c>
      <c r="W348" s="10"/>
      <c r="X348" s="9"/>
      <c r="Y348" s="172"/>
      <c r="Z348" s="172"/>
      <c r="AA348" s="172"/>
      <c r="AB348" s="143" t="str">
        <f t="shared" ca="1" si="59"/>
        <v>NY Submit</v>
      </c>
      <c r="AC348" s="13"/>
      <c r="AD348" s="12">
        <v>46228</v>
      </c>
      <c r="AE348" s="12">
        <v>46230</v>
      </c>
      <c r="AF348" s="12"/>
      <c r="AG348" s="12"/>
      <c r="AH348" s="11"/>
      <c r="AI348" s="11"/>
      <c r="AJ348" s="11"/>
      <c r="AK348" s="11"/>
      <c r="AL348" s="11"/>
      <c r="AM348" s="11"/>
      <c r="AN348" s="11"/>
      <c r="AO348" s="11" t="str">
        <f>+IF(AN348&lt;&gt;"","BAST",IF(AI348&lt;&gt;"","Dismantle",IF(AG348&lt;&gt;"","RFD App",IF(AF348="Drop","Drop",IF(AE348&lt;&gt;"","Survey Report",IF(AD348&lt;&gt;"","Survey","NY Survey"))))))</f>
        <v>Survey Report</v>
      </c>
      <c r="AP348" s="173"/>
      <c r="AQ348" s="12">
        <v>46232</v>
      </c>
      <c r="AR348" s="12">
        <v>46234</v>
      </c>
      <c r="AS348" s="12">
        <v>46232</v>
      </c>
      <c r="AT348" s="12"/>
      <c r="AU348" s="12"/>
      <c r="AV348" s="12"/>
      <c r="AW348" s="11" t="str">
        <f t="shared" si="60"/>
        <v>1st BOQ Pass TI</v>
      </c>
      <c r="AX348" s="12"/>
      <c r="AY348" s="12"/>
      <c r="AZ348" s="12"/>
      <c r="BA348" s="12"/>
      <c r="BB348" s="12"/>
      <c r="BC348" s="12"/>
      <c r="BD348" s="11" t="str">
        <f t="shared" si="61"/>
        <v>NY Submit</v>
      </c>
      <c r="BE348" s="281" t="s">
        <v>4412</v>
      </c>
      <c r="BF348" s="12"/>
      <c r="BG348" s="12"/>
      <c r="BH348" s="12"/>
      <c r="BI348" s="12"/>
      <c r="BJ348" s="12"/>
      <c r="BK348" s="174"/>
      <c r="BL348" s="12" t="str">
        <f t="shared" si="62"/>
        <v>NY Submit</v>
      </c>
      <c r="BM348" s="12" t="str">
        <f t="shared" si="63"/>
        <v>NY Submit</v>
      </c>
      <c r="BN348" s="12"/>
      <c r="BO348" s="12"/>
      <c r="BP348" s="155" t="s">
        <v>1760</v>
      </c>
      <c r="BQ348" s="12" t="s">
        <v>3106</v>
      </c>
      <c r="BR348" s="12"/>
      <c r="BS348" s="143">
        <f t="shared" ca="1" si="64"/>
        <v>0</v>
      </c>
      <c r="BT348" s="176"/>
      <c r="BU348" s="12"/>
      <c r="BV348" s="143">
        <f t="shared" ca="1" si="65"/>
        <v>0</v>
      </c>
      <c r="BW348" s="12"/>
      <c r="BX348" s="12"/>
      <c r="BY348" s="143"/>
      <c r="BZ348" s="13"/>
      <c r="CA348" s="13"/>
      <c r="CB348" s="13"/>
      <c r="CC348" s="13"/>
      <c r="CD348" s="13"/>
      <c r="CE348" s="10"/>
      <c r="CF348" s="10"/>
      <c r="CG348" s="175"/>
      <c r="CH348" s="175"/>
      <c r="CI348" s="10"/>
      <c r="CJ348" s="10"/>
      <c r="CK348" s="10"/>
      <c r="CL348" s="10"/>
    </row>
    <row r="349" spans="1:90">
      <c r="A349" s="190">
        <v>344</v>
      </c>
      <c r="B349" s="190" t="s">
        <v>2486</v>
      </c>
      <c r="C349" s="190" t="s">
        <v>2487</v>
      </c>
      <c r="D349" s="190" t="s">
        <v>135</v>
      </c>
      <c r="E349" s="8" t="e">
        <f ca="1">+_xlfn.CONCAT(G349,"-",B349,"_",C349,"_",_xlfn.XLOOKUP(BP349,Account!M:M,Account!N:N))</f>
        <v>#NAME?</v>
      </c>
      <c r="F349" s="12">
        <v>46216</v>
      </c>
      <c r="G349" s="190" t="s">
        <v>2032</v>
      </c>
      <c r="H349" s="190" t="s">
        <v>4406</v>
      </c>
      <c r="I349" s="10" t="s">
        <v>2033</v>
      </c>
      <c r="J349" s="190">
        <v>18</v>
      </c>
      <c r="K349" s="190" t="s">
        <v>2486</v>
      </c>
      <c r="L349" s="190" t="s">
        <v>4407</v>
      </c>
      <c r="M349" s="190" t="s">
        <v>4408</v>
      </c>
      <c r="N349" s="10" t="s">
        <v>4409</v>
      </c>
      <c r="O349" s="178" t="s">
        <v>4410</v>
      </c>
      <c r="P349" s="178" t="s">
        <v>4411</v>
      </c>
      <c r="Q349" s="327">
        <v>13212.913</v>
      </c>
      <c r="R349" s="190">
        <v>71</v>
      </c>
      <c r="S349" s="190"/>
      <c r="T349" s="190" t="s">
        <v>2494</v>
      </c>
      <c r="U349" s="190" t="s">
        <v>3330</v>
      </c>
      <c r="V349" s="8" t="s">
        <v>2011</v>
      </c>
      <c r="W349" s="10"/>
      <c r="X349" s="9"/>
      <c r="Y349" s="172"/>
      <c r="Z349" s="172"/>
      <c r="AA349" s="172"/>
      <c r="AB349" s="143" t="str">
        <f t="shared" ca="1" si="59"/>
        <v>NY Submit</v>
      </c>
      <c r="AC349" s="13"/>
      <c r="AD349" s="12">
        <v>46228</v>
      </c>
      <c r="AE349" s="12">
        <v>46230</v>
      </c>
      <c r="AF349" s="12"/>
      <c r="AG349" s="12"/>
      <c r="AH349" s="11"/>
      <c r="AI349" s="11"/>
      <c r="AJ349" s="11"/>
      <c r="AK349" s="11"/>
      <c r="AL349" s="11"/>
      <c r="AM349" s="11"/>
      <c r="AN349" s="11"/>
      <c r="AO349" s="11" t="str">
        <f>+IF(AM349&lt;&gt;"","ATP App MS",IF(AJ349&lt;&gt;"","Inbound",IF(AH349&lt;&gt;"","Dismantle Perangkat",IF(AF349="Drop","Drop",IF(AE349&lt;&gt;"","Survey Report",IF(AD349&lt;&gt;"","Survey","NY Survey"))))))</f>
        <v>Survey Report</v>
      </c>
      <c r="AP349" s="173"/>
      <c r="AQ349" s="12">
        <v>46232</v>
      </c>
      <c r="AR349" s="12">
        <v>46234</v>
      </c>
      <c r="AS349" s="12">
        <v>46232</v>
      </c>
      <c r="AT349" s="12"/>
      <c r="AU349" s="12"/>
      <c r="AV349" s="12"/>
      <c r="AW349" s="11" t="str">
        <f t="shared" si="60"/>
        <v>1st BOQ Pass TI</v>
      </c>
      <c r="AX349" s="12"/>
      <c r="AY349" s="12"/>
      <c r="AZ349" s="12"/>
      <c r="BA349" s="12"/>
      <c r="BB349" s="12"/>
      <c r="BC349" s="12"/>
      <c r="BD349" s="11" t="str">
        <f t="shared" si="61"/>
        <v>NY Submit</v>
      </c>
      <c r="BE349" s="281" t="s">
        <v>4412</v>
      </c>
      <c r="BF349" s="12"/>
      <c r="BG349" s="12"/>
      <c r="BH349" s="12"/>
      <c r="BI349" s="12"/>
      <c r="BJ349" s="12"/>
      <c r="BK349" s="174"/>
      <c r="BL349" s="12" t="str">
        <f t="shared" si="62"/>
        <v>NY Submit</v>
      </c>
      <c r="BM349" s="12" t="str">
        <f t="shared" si="63"/>
        <v>NY Submit</v>
      </c>
      <c r="BN349" s="12"/>
      <c r="BO349" s="12"/>
      <c r="BP349" s="155" t="s">
        <v>2011</v>
      </c>
      <c r="BQ349" s="12" t="s">
        <v>3106</v>
      </c>
      <c r="BR349" s="12"/>
      <c r="BS349" s="143">
        <f t="shared" ca="1" si="64"/>
        <v>0</v>
      </c>
      <c r="BT349" s="176"/>
      <c r="BU349" s="12"/>
      <c r="BV349" s="143">
        <f t="shared" ca="1" si="65"/>
        <v>0</v>
      </c>
      <c r="BW349" s="12"/>
      <c r="BX349" s="12"/>
      <c r="BY349" s="143"/>
      <c r="BZ349" s="13"/>
      <c r="CA349" s="13"/>
      <c r="CB349" s="13"/>
      <c r="CC349" s="13"/>
      <c r="CD349" s="13"/>
      <c r="CE349" s="10"/>
      <c r="CF349" s="10"/>
      <c r="CG349" s="175"/>
      <c r="CH349" s="175"/>
      <c r="CI349" s="10"/>
      <c r="CJ349" s="10"/>
      <c r="CK349" s="10"/>
      <c r="CL349" s="10"/>
    </row>
    <row r="350" spans="1:90">
      <c r="A350" s="190">
        <v>345</v>
      </c>
      <c r="B350" s="190" t="s">
        <v>2486</v>
      </c>
      <c r="C350" s="190" t="s">
        <v>2487</v>
      </c>
      <c r="D350" s="190" t="s">
        <v>135</v>
      </c>
      <c r="E350" s="8" t="e">
        <f ca="1">+_xlfn.CONCAT(G350,"-",B350,"_",C350,"_",_xlfn.XLOOKUP(BP350,Account!M:M,Account!N:N))</f>
        <v>#NAME?</v>
      </c>
      <c r="F350" s="12">
        <v>46216</v>
      </c>
      <c r="G350" s="190" t="s">
        <v>2032</v>
      </c>
      <c r="H350" s="190" t="s">
        <v>4406</v>
      </c>
      <c r="I350" s="10" t="s">
        <v>2033</v>
      </c>
      <c r="J350" s="190">
        <v>18</v>
      </c>
      <c r="K350" s="190" t="s">
        <v>2486</v>
      </c>
      <c r="L350" s="190" t="s">
        <v>4407</v>
      </c>
      <c r="M350" s="190" t="s">
        <v>4408</v>
      </c>
      <c r="N350" s="10" t="s">
        <v>4409</v>
      </c>
      <c r="O350" s="178" t="s">
        <v>4410</v>
      </c>
      <c r="P350" s="178" t="s">
        <v>4411</v>
      </c>
      <c r="Q350" s="327">
        <v>13212.913</v>
      </c>
      <c r="R350" s="190">
        <v>71</v>
      </c>
      <c r="S350" s="190"/>
      <c r="T350" s="190" t="s">
        <v>2494</v>
      </c>
      <c r="U350" s="190" t="s">
        <v>3330</v>
      </c>
      <c r="V350" s="8" t="s">
        <v>1768</v>
      </c>
      <c r="W350" s="10"/>
      <c r="X350" s="9"/>
      <c r="Y350" s="172" t="s">
        <v>2432</v>
      </c>
      <c r="Z350" s="172">
        <v>46227</v>
      </c>
      <c r="AA350" s="172">
        <v>46233</v>
      </c>
      <c r="AB350" s="143" t="str">
        <f t="shared" ca="1" si="59"/>
        <v>Expired</v>
      </c>
      <c r="AC350" s="13"/>
      <c r="AD350" s="12">
        <v>46228</v>
      </c>
      <c r="AE350" s="12">
        <v>46230</v>
      </c>
      <c r="AF350" s="12"/>
      <c r="AG350" s="12"/>
      <c r="AH350" s="11"/>
      <c r="AI350" s="11"/>
      <c r="AJ350" s="11"/>
      <c r="AK350" s="11"/>
      <c r="AL350" s="11"/>
      <c r="AM350" s="11"/>
      <c r="AN350" s="11"/>
      <c r="AO350" s="11" t="str">
        <f>+IF(AM350&lt;&gt;"","ATP App MS",IF(AL350&lt;&gt;"","OA/RFS",IF(AK350&lt;&gt;"","Install",IF(AH350&lt;&gt;"","Dismantle Perangkat",IF(AF350="Drop","Drop",IF(AE350&lt;&gt;"","Survey Report",IF(AD350&lt;&gt;"","Survey","NY Survey")))))))</f>
        <v>Survey Report</v>
      </c>
      <c r="AP350" s="173"/>
      <c r="AQ350" s="12">
        <v>46232</v>
      </c>
      <c r="AR350" s="12">
        <v>46234</v>
      </c>
      <c r="AS350" s="12">
        <v>46232</v>
      </c>
      <c r="AT350" s="12"/>
      <c r="AU350" s="12"/>
      <c r="AV350" s="12"/>
      <c r="AW350" s="11" t="str">
        <f t="shared" si="60"/>
        <v>1st BOQ Pass TI</v>
      </c>
      <c r="AX350" s="12"/>
      <c r="AY350" s="12"/>
      <c r="AZ350" s="12"/>
      <c r="BA350" s="12"/>
      <c r="BB350" s="12"/>
      <c r="BC350" s="12"/>
      <c r="BD350" s="11" t="str">
        <f t="shared" si="61"/>
        <v>NY Submit</v>
      </c>
      <c r="BE350" s="281" t="s">
        <v>4412</v>
      </c>
      <c r="BF350" s="12"/>
      <c r="BG350" s="12"/>
      <c r="BH350" s="12"/>
      <c r="BI350" s="12"/>
      <c r="BJ350" s="12"/>
      <c r="BK350" s="174"/>
      <c r="BL350" s="12" t="str">
        <f t="shared" si="62"/>
        <v>NY Submit</v>
      </c>
      <c r="BM350" s="12" t="str">
        <f t="shared" si="63"/>
        <v>NY Submit</v>
      </c>
      <c r="BN350" s="12"/>
      <c r="BO350" s="12"/>
      <c r="BP350" s="155" t="s">
        <v>1768</v>
      </c>
      <c r="BQ350" s="12" t="s">
        <v>3106</v>
      </c>
      <c r="BR350" s="12"/>
      <c r="BS350" s="143">
        <f t="shared" ca="1" si="64"/>
        <v>0</v>
      </c>
      <c r="BT350" s="176"/>
      <c r="BU350" s="12"/>
      <c r="BV350" s="143">
        <f t="shared" ca="1" si="65"/>
        <v>0</v>
      </c>
      <c r="BW350" s="12"/>
      <c r="BX350" s="12"/>
      <c r="BY350" s="143"/>
      <c r="BZ350" s="13"/>
      <c r="CA350" s="13"/>
      <c r="CB350" s="13"/>
      <c r="CC350" s="13"/>
      <c r="CD350" s="13"/>
      <c r="CE350" s="10"/>
      <c r="CF350" s="10"/>
      <c r="CG350" s="175"/>
      <c r="CH350" s="175"/>
      <c r="CI350" s="10"/>
      <c r="CJ350" s="10"/>
      <c r="CK350" s="10"/>
      <c r="CL350" s="10"/>
    </row>
    <row r="351" spans="1:90">
      <c r="A351" s="190">
        <v>346</v>
      </c>
      <c r="B351" s="190" t="s">
        <v>2486</v>
      </c>
      <c r="C351" s="190" t="s">
        <v>2487</v>
      </c>
      <c r="D351" s="190" t="s">
        <v>135</v>
      </c>
      <c r="E351" s="8" t="e">
        <f ca="1">+_xlfn.CONCAT(G351,"-",B351,"_",C351,"_",_xlfn.XLOOKUP(BP351,Account!M:M,Account!N:N))</f>
        <v>#NAME?</v>
      </c>
      <c r="F351" s="12">
        <v>46218</v>
      </c>
      <c r="G351" s="190" t="s">
        <v>2017</v>
      </c>
      <c r="H351" s="190" t="s">
        <v>4413</v>
      </c>
      <c r="I351" s="10" t="s">
        <v>2018</v>
      </c>
      <c r="J351" s="190">
        <v>11</v>
      </c>
      <c r="K351" s="190" t="s">
        <v>2486</v>
      </c>
      <c r="L351" s="190" t="s">
        <v>1263</v>
      </c>
      <c r="M351" s="190" t="s">
        <v>3254</v>
      </c>
      <c r="N351" s="10" t="s">
        <v>4414</v>
      </c>
      <c r="O351" s="178" t="s">
        <v>4415</v>
      </c>
      <c r="P351" s="178" t="s">
        <v>4416</v>
      </c>
      <c r="Q351" s="327"/>
      <c r="R351" s="190">
        <v>52</v>
      </c>
      <c r="S351" s="190"/>
      <c r="T351" s="190" t="s">
        <v>2494</v>
      </c>
      <c r="U351" s="190" t="s">
        <v>3330</v>
      </c>
      <c r="V351" s="8" t="s">
        <v>4417</v>
      </c>
      <c r="W351" s="10"/>
      <c r="X351" s="9"/>
      <c r="Y351" s="172"/>
      <c r="Z351" s="172"/>
      <c r="AA351" s="172"/>
      <c r="AB351" s="143" t="str">
        <f t="shared" ca="1" si="59"/>
        <v>NY Submit</v>
      </c>
      <c r="AC351" s="13"/>
      <c r="AD351" s="12">
        <v>46221</v>
      </c>
      <c r="AE351" s="12">
        <v>46228</v>
      </c>
      <c r="AF351" s="12"/>
      <c r="AG351" s="12"/>
      <c r="AH351" s="11"/>
      <c r="AI351" s="11"/>
      <c r="AJ351" s="11"/>
      <c r="AK351" s="11"/>
      <c r="AL351" s="11"/>
      <c r="AM351" s="11"/>
      <c r="AN351" s="11"/>
      <c r="AO351" s="11" t="str">
        <f>+IF(AN351&lt;&gt;"","BAST",IF(AI351&lt;&gt;"","Dismantle",IF(AG351&lt;&gt;"","RFD App",IF(AF351="Drop","Drop",IF(AE351&lt;&gt;"","Survey Report",IF(AD351&lt;&gt;"","Survey","NY Survey"))))))</f>
        <v>Survey Report</v>
      </c>
      <c r="AP351" s="173"/>
      <c r="AQ351" s="12">
        <v>46221</v>
      </c>
      <c r="AR351" s="12"/>
      <c r="AS351" s="12"/>
      <c r="AT351" s="12">
        <v>46225</v>
      </c>
      <c r="AU351" s="12">
        <v>46228</v>
      </c>
      <c r="AV351" s="12"/>
      <c r="AW351" s="11" t="str">
        <f t="shared" si="60"/>
        <v>Upload 1st BOQ &amp; BAN Isaac</v>
      </c>
      <c r="AX351" s="12"/>
      <c r="AY351" s="12"/>
      <c r="AZ351" s="12"/>
      <c r="BA351" s="12"/>
      <c r="BB351" s="12"/>
      <c r="BC351" s="12"/>
      <c r="BD351" s="11" t="str">
        <f t="shared" si="61"/>
        <v>NY Submit</v>
      </c>
      <c r="BE351" s="174"/>
      <c r="BF351" s="12">
        <v>46228</v>
      </c>
      <c r="BG351" s="12">
        <v>46228</v>
      </c>
      <c r="BH351" s="12" t="s">
        <v>4418</v>
      </c>
      <c r="BI351" s="12">
        <v>46228</v>
      </c>
      <c r="BJ351" s="12">
        <v>46228</v>
      </c>
      <c r="BK351" s="174" t="s">
        <v>4419</v>
      </c>
      <c r="BL351" s="12" t="str">
        <f t="shared" si="62"/>
        <v>Approved</v>
      </c>
      <c r="BM351" s="12" t="str">
        <f t="shared" si="63"/>
        <v>Approved</v>
      </c>
      <c r="BN351" s="12"/>
      <c r="BO351" s="12"/>
      <c r="BP351" s="155" t="s">
        <v>1760</v>
      </c>
      <c r="BQ351" s="12" t="s">
        <v>3106</v>
      </c>
      <c r="BR351" s="12"/>
      <c r="BS351" s="143">
        <f t="shared" ca="1" si="64"/>
        <v>0</v>
      </c>
      <c r="BT351" s="176"/>
      <c r="BU351" s="12"/>
      <c r="BV351" s="143">
        <f t="shared" ca="1" si="65"/>
        <v>0</v>
      </c>
      <c r="BW351" s="12"/>
      <c r="BX351" s="12"/>
      <c r="BY351" s="143"/>
      <c r="BZ351" s="13"/>
      <c r="CA351" s="13"/>
      <c r="CB351" s="13"/>
      <c r="CC351" s="13"/>
      <c r="CD351" s="13"/>
      <c r="CE351" s="10"/>
      <c r="CF351" s="10"/>
      <c r="CG351" s="175"/>
      <c r="CH351" s="175"/>
      <c r="CI351" s="10"/>
      <c r="CJ351" s="10"/>
      <c r="CK351" s="10"/>
      <c r="CL351" s="10"/>
    </row>
    <row r="352" spans="1:90">
      <c r="A352" s="190">
        <v>347</v>
      </c>
      <c r="B352" s="190" t="s">
        <v>2486</v>
      </c>
      <c r="C352" s="190" t="s">
        <v>2487</v>
      </c>
      <c r="D352" s="190" t="s">
        <v>135</v>
      </c>
      <c r="E352" s="8" t="e">
        <f ca="1">+_xlfn.CONCAT(G352,"-",B352,"_",C352,"_",_xlfn.XLOOKUP(BP352,Account!M:M,Account!N:N))</f>
        <v>#NAME?</v>
      </c>
      <c r="F352" s="12">
        <v>46219</v>
      </c>
      <c r="G352" s="190" t="s">
        <v>2008</v>
      </c>
      <c r="H352" s="190" t="s">
        <v>4420</v>
      </c>
      <c r="I352" s="10" t="s">
        <v>2009</v>
      </c>
      <c r="J352" s="190">
        <v>1</v>
      </c>
      <c r="K352" s="190" t="s">
        <v>2038</v>
      </c>
      <c r="L352" s="190" t="s">
        <v>1419</v>
      </c>
      <c r="M352" s="190" t="s">
        <v>4421</v>
      </c>
      <c r="N352" s="10" t="s">
        <v>4422</v>
      </c>
      <c r="O352" s="178" t="s">
        <v>4423</v>
      </c>
      <c r="P352" s="178" t="s">
        <v>4424</v>
      </c>
      <c r="Q352" s="327">
        <v>22120.78</v>
      </c>
      <c r="R352" s="190">
        <v>70</v>
      </c>
      <c r="S352" s="190"/>
      <c r="T352" s="190" t="s">
        <v>2494</v>
      </c>
      <c r="U352" s="190" t="s">
        <v>2495</v>
      </c>
      <c r="V352" s="8" t="s">
        <v>2011</v>
      </c>
      <c r="W352" s="10"/>
      <c r="X352" s="9"/>
      <c r="Y352" s="172"/>
      <c r="Z352" s="172"/>
      <c r="AA352" s="172"/>
      <c r="AB352" s="143" t="str">
        <f t="shared" ca="1" si="59"/>
        <v>NY Submit</v>
      </c>
      <c r="AC352" s="13"/>
      <c r="AD352" s="12">
        <v>46223</v>
      </c>
      <c r="AE352" s="12">
        <v>46223</v>
      </c>
      <c r="AF352" s="12"/>
      <c r="AG352" s="12"/>
      <c r="AH352" s="11">
        <v>46226</v>
      </c>
      <c r="AI352" s="11"/>
      <c r="AJ352" s="11"/>
      <c r="AK352" s="11"/>
      <c r="AL352" s="11"/>
      <c r="AM352" s="11"/>
      <c r="AN352" s="11"/>
      <c r="AO352" s="11" t="str">
        <f>+IF(AM352&lt;&gt;"","ATP App MS",IF(AJ352&lt;&gt;"","Inbound",IF(AH352&lt;&gt;"","Dismantle Perangkat",IF(AF352="Drop","Drop",IF(AE352&lt;&gt;"","Survey Report",IF(AD352&lt;&gt;"","Survey","NY Survey"))))))</f>
        <v>Dismantle Perangkat</v>
      </c>
      <c r="AP352" s="173"/>
      <c r="AQ352" s="12">
        <v>46221</v>
      </c>
      <c r="AR352" s="12">
        <v>46221</v>
      </c>
      <c r="AS352" s="12" t="s">
        <v>3207</v>
      </c>
      <c r="AT352" s="12">
        <v>46227</v>
      </c>
      <c r="AU352" s="12"/>
      <c r="AV352" s="12"/>
      <c r="AW352" s="11" t="str">
        <f t="shared" si="60"/>
        <v>BAN App</v>
      </c>
      <c r="AX352" s="12"/>
      <c r="AY352" s="12"/>
      <c r="AZ352" s="12"/>
      <c r="BA352" s="12"/>
      <c r="BB352" s="12"/>
      <c r="BC352" s="12"/>
      <c r="BD352" s="11" t="str">
        <f t="shared" si="61"/>
        <v>NY Submit</v>
      </c>
      <c r="BE352" s="174" t="s">
        <v>4425</v>
      </c>
      <c r="BF352" s="12"/>
      <c r="BG352" s="12"/>
      <c r="BH352" s="12"/>
      <c r="BI352" s="12"/>
      <c r="BJ352" s="12"/>
      <c r="BK352" s="174"/>
      <c r="BL352" s="12" t="str">
        <f t="shared" si="62"/>
        <v>NY Submit</v>
      </c>
      <c r="BM352" s="12" t="str">
        <f t="shared" si="63"/>
        <v>NY Submit</v>
      </c>
      <c r="BN352" s="12"/>
      <c r="BO352" s="12"/>
      <c r="BP352" s="155" t="s">
        <v>2011</v>
      </c>
      <c r="BQ352" s="12" t="s">
        <v>3106</v>
      </c>
      <c r="BR352" s="12"/>
      <c r="BS352" s="143">
        <f t="shared" ca="1" si="64"/>
        <v>0</v>
      </c>
      <c r="BT352" s="176"/>
      <c r="BU352" s="12"/>
      <c r="BV352" s="143">
        <f t="shared" ca="1" si="65"/>
        <v>0</v>
      </c>
      <c r="BW352" s="12"/>
      <c r="BX352" s="12"/>
      <c r="BY352" s="143"/>
      <c r="BZ352" s="13"/>
      <c r="CA352" s="13"/>
      <c r="CB352" s="13"/>
      <c r="CC352" s="13"/>
      <c r="CD352" s="13"/>
      <c r="CE352" s="10"/>
      <c r="CF352" s="10"/>
      <c r="CG352" s="175"/>
      <c r="CH352" s="175"/>
      <c r="CI352" s="10"/>
      <c r="CJ352" s="10"/>
      <c r="CK352" s="10"/>
      <c r="CL352" s="10"/>
    </row>
    <row r="353" spans="1:90" ht="30" customHeight="1">
      <c r="A353" s="181">
        <v>348</v>
      </c>
      <c r="B353" s="190" t="s">
        <v>2486</v>
      </c>
      <c r="C353" s="190" t="s">
        <v>2487</v>
      </c>
      <c r="D353" s="190" t="s">
        <v>135</v>
      </c>
      <c r="E353" s="8" t="e">
        <f ca="1">+_xlfn.CONCAT(G353,"-",B353,"_",C353,"_",_xlfn.XLOOKUP(BP353,Account!M:M,Account!N:N))</f>
        <v>#NAME?</v>
      </c>
      <c r="F353" s="12">
        <v>46219</v>
      </c>
      <c r="G353" s="190" t="s">
        <v>4426</v>
      </c>
      <c r="H353" s="190" t="s">
        <v>4427</v>
      </c>
      <c r="I353" s="10" t="s">
        <v>4428</v>
      </c>
      <c r="J353" s="190">
        <v>15</v>
      </c>
      <c r="K353" s="190" t="s">
        <v>2486</v>
      </c>
      <c r="L353" s="190" t="s">
        <v>1279</v>
      </c>
      <c r="M353" s="190" t="s">
        <v>2884</v>
      </c>
      <c r="N353" s="10" t="s">
        <v>4429</v>
      </c>
      <c r="O353" s="178" t="s">
        <v>4430</v>
      </c>
      <c r="P353" s="178" t="s">
        <v>3514</v>
      </c>
      <c r="Q353" s="327"/>
      <c r="R353" s="190" t="s">
        <v>4431</v>
      </c>
      <c r="S353" s="190"/>
      <c r="T353" s="190" t="s">
        <v>2518</v>
      </c>
      <c r="U353" s="190" t="s">
        <v>2565</v>
      </c>
      <c r="V353" s="8" t="s">
        <v>2011</v>
      </c>
      <c r="W353" s="10"/>
      <c r="X353" s="9"/>
      <c r="Y353" s="172" t="s">
        <v>2432</v>
      </c>
      <c r="Z353" s="172">
        <v>46232</v>
      </c>
      <c r="AA353" s="172">
        <v>46238</v>
      </c>
      <c r="AB353" s="143" t="str">
        <f t="shared" ca="1" si="59"/>
        <v>Expired</v>
      </c>
      <c r="AC353" s="13"/>
      <c r="AD353" s="12">
        <v>46220</v>
      </c>
      <c r="AE353" s="12"/>
      <c r="AF353" s="12"/>
      <c r="AG353" s="12"/>
      <c r="AH353" s="11">
        <v>46225</v>
      </c>
      <c r="AI353" s="11"/>
      <c r="AJ353" s="11"/>
      <c r="AK353" s="11"/>
      <c r="AL353" s="11"/>
      <c r="AM353" s="11"/>
      <c r="AN353" s="11"/>
      <c r="AO353" s="11" t="str">
        <f>+IF(AM353&lt;&gt;"","ATP App MS",IF(AJ353&lt;&gt;"","Inbound",IF(AH353&lt;&gt;"","Dismantle Perangkat",IF(AF353="Drop","Drop",IF(AE353&lt;&gt;"","Survey Report",IF(AD353&lt;&gt;"","Survey","NY Survey"))))))</f>
        <v>Dismantle Perangkat</v>
      </c>
      <c r="AP353" s="185" t="s">
        <v>4432</v>
      </c>
      <c r="AQ353" s="12">
        <v>46221</v>
      </c>
      <c r="AR353" s="12">
        <v>46225</v>
      </c>
      <c r="AS353" s="12"/>
      <c r="AT353" s="12"/>
      <c r="AU353" s="12"/>
      <c r="AV353" s="12"/>
      <c r="AW353" s="11" t="str">
        <f t="shared" si="60"/>
        <v>1st BOQ Pass TI</v>
      </c>
      <c r="AX353" s="12"/>
      <c r="AY353" s="12"/>
      <c r="AZ353" s="12"/>
      <c r="BA353" s="12"/>
      <c r="BB353" s="12"/>
      <c r="BC353" s="12"/>
      <c r="BD353" s="11" t="str">
        <f t="shared" si="61"/>
        <v>NY Submit</v>
      </c>
      <c r="BE353" s="174"/>
      <c r="BF353" s="12"/>
      <c r="BG353" s="12"/>
      <c r="BH353" s="12"/>
      <c r="BI353" s="12"/>
      <c r="BJ353" s="12"/>
      <c r="BK353" s="174"/>
      <c r="BL353" s="12" t="str">
        <f t="shared" si="62"/>
        <v>NY Submit</v>
      </c>
      <c r="BM353" s="12" t="str">
        <f t="shared" si="63"/>
        <v>NY Submit</v>
      </c>
      <c r="BN353" s="12"/>
      <c r="BO353" s="12"/>
      <c r="BP353" s="155" t="s">
        <v>2011</v>
      </c>
      <c r="BQ353" s="12" t="s">
        <v>3106</v>
      </c>
      <c r="BR353" s="12"/>
      <c r="BS353" s="143">
        <f ca="1">IF(AO353="Drop",
    "Drop",
    IF(ISBLANK(AV353),
        0,
        IF(ISBLANK(BR353),
            DATEDIF(AV353,TODAY(),"d"),
            DATEDIF(AV353,BR353,"d")
        )
    )
)</f>
        <v>0</v>
      </c>
      <c r="BT353" s="176"/>
      <c r="BU353" s="12"/>
      <c r="BV353" s="143">
        <f ca="1">IF(AO353="Drop",
    "Drop",
    IF(ISBLANK(BC353),
        0,
        IF(ISBLANK(BU353),
            DATEDIF(BC353,TODAY(),"d"),
            DATEDIF(BC353,BU353,"d")
        )
    )
)</f>
        <v>0</v>
      </c>
      <c r="BW353" s="12"/>
      <c r="BX353" s="12"/>
      <c r="BY353" s="143"/>
      <c r="BZ353" s="13"/>
      <c r="CA353" s="13"/>
      <c r="CB353" s="13"/>
      <c r="CC353" s="13"/>
      <c r="CD353" s="13"/>
      <c r="CE353" s="10"/>
      <c r="CF353" s="10"/>
      <c r="CG353" s="175"/>
      <c r="CH353" s="175"/>
      <c r="CI353" s="10"/>
      <c r="CJ353" s="10"/>
      <c r="CK353" s="10"/>
      <c r="CL353" s="10"/>
    </row>
    <row r="354" spans="1:90">
      <c r="A354" s="181">
        <v>349</v>
      </c>
      <c r="B354" s="190" t="s">
        <v>2486</v>
      </c>
      <c r="C354" s="190" t="s">
        <v>2487</v>
      </c>
      <c r="D354" s="190" t="s">
        <v>135</v>
      </c>
      <c r="E354" s="8" t="e">
        <f ca="1">+_xlfn.CONCAT(G354,"-",B354,"_",C354,"_",_xlfn.XLOOKUP(BP354,Account!M:M,Account!N:N))</f>
        <v>#NAME?</v>
      </c>
      <c r="F354" s="12">
        <v>46219</v>
      </c>
      <c r="G354" s="190" t="s">
        <v>4426</v>
      </c>
      <c r="H354" s="190" t="s">
        <v>4427</v>
      </c>
      <c r="I354" s="10" t="s">
        <v>4428</v>
      </c>
      <c r="J354" s="190">
        <v>15</v>
      </c>
      <c r="K354" s="190" t="s">
        <v>2486</v>
      </c>
      <c r="L354" s="190" t="s">
        <v>1279</v>
      </c>
      <c r="M354" s="190" t="s">
        <v>2884</v>
      </c>
      <c r="N354" s="10" t="s">
        <v>4429</v>
      </c>
      <c r="O354" s="178" t="s">
        <v>4430</v>
      </c>
      <c r="P354" s="178" t="s">
        <v>3514</v>
      </c>
      <c r="Q354" s="327"/>
      <c r="R354" s="190" t="s">
        <v>4431</v>
      </c>
      <c r="S354" s="190"/>
      <c r="T354" s="190" t="s">
        <v>2518</v>
      </c>
      <c r="U354" s="190" t="s">
        <v>2565</v>
      </c>
      <c r="V354" s="8" t="s">
        <v>1768</v>
      </c>
      <c r="W354" s="10"/>
      <c r="X354" s="9"/>
      <c r="Y354" s="172"/>
      <c r="Z354" s="172"/>
      <c r="AA354" s="172"/>
      <c r="AB354" s="143" t="str">
        <f t="shared" ca="1" si="59"/>
        <v>NY Submit</v>
      </c>
      <c r="AC354" s="13"/>
      <c r="AD354" s="12">
        <v>46220</v>
      </c>
      <c r="AE354" s="12"/>
      <c r="AF354" s="12"/>
      <c r="AG354" s="12"/>
      <c r="AH354" s="11"/>
      <c r="AI354" s="11"/>
      <c r="AJ354" s="11"/>
      <c r="AK354" s="11"/>
      <c r="AL354" s="11"/>
      <c r="AM354" s="11"/>
      <c r="AN354" s="11"/>
      <c r="AO354" s="11" t="str">
        <f>+IF(AM354&lt;&gt;"","ATP App MS",IF(AL354&lt;&gt;"","OA/RFS",IF(AK354&lt;&gt;"","Install",IF(AH354&lt;&gt;"","Dismantle Perangkat",IF(AF354="Drop","Drop",IF(AE354&lt;&gt;"","Survey Report",IF(AD354&lt;&gt;"","Survey","NY Survey")))))))</f>
        <v>Survey</v>
      </c>
      <c r="AP354" s="173"/>
      <c r="AQ354" s="12">
        <v>46221</v>
      </c>
      <c r="AR354" s="12">
        <v>46225</v>
      </c>
      <c r="AS354" s="12"/>
      <c r="AT354" s="12"/>
      <c r="AU354" s="12"/>
      <c r="AV354" s="12"/>
      <c r="AW354" s="11" t="str">
        <f t="shared" si="60"/>
        <v>1st BOQ Pass TI</v>
      </c>
      <c r="AX354" s="12"/>
      <c r="AY354" s="12"/>
      <c r="AZ354" s="12"/>
      <c r="BA354" s="12"/>
      <c r="BB354" s="12"/>
      <c r="BC354" s="12"/>
      <c r="BD354" s="11" t="str">
        <f t="shared" si="61"/>
        <v>NY Submit</v>
      </c>
      <c r="BE354" s="174"/>
      <c r="BF354" s="12"/>
      <c r="BG354" s="12"/>
      <c r="BH354" s="12"/>
      <c r="BI354" s="12"/>
      <c r="BJ354" s="12"/>
      <c r="BK354" s="174"/>
      <c r="BL354" s="12" t="str">
        <f t="shared" si="62"/>
        <v>NY Submit</v>
      </c>
      <c r="BM354" s="12" t="str">
        <f t="shared" si="63"/>
        <v>NY Submit</v>
      </c>
      <c r="BN354" s="12"/>
      <c r="BO354" s="12"/>
      <c r="BP354" s="155" t="s">
        <v>1768</v>
      </c>
      <c r="BQ354" s="12" t="s">
        <v>3106</v>
      </c>
      <c r="BR354" s="12"/>
      <c r="BS354" s="143">
        <f t="shared" ref="BS354:BS366" ca="1" si="66">IF(AO354="Drop",
"Drop",
IF(ISBLANK(AV354),
0,
IF(ISBLANK(BR354),
DATEDIF(AV354,TODAY(),"d"),
DATEDIF(AV354,BR354,"d")
)
)
)</f>
        <v>0</v>
      </c>
      <c r="BT354" s="176"/>
      <c r="BU354" s="12"/>
      <c r="BV354" s="143">
        <f t="shared" ref="BV354:BV366" ca="1" si="67">IF(AO354="Drop",
"Drop",
IF(ISBLANK(BC354),
0,
IF(ISBLANK(BU354),
DATEDIF(BC354,TODAY(),"d"),
DATEDIF(BC354,BU354,"d")
)
)
)</f>
        <v>0</v>
      </c>
      <c r="BW354" s="12"/>
      <c r="BX354" s="12"/>
      <c r="BY354" s="143"/>
      <c r="BZ354" s="13"/>
      <c r="CA354" s="13"/>
      <c r="CB354" s="13"/>
      <c r="CC354" s="13"/>
      <c r="CD354" s="13"/>
      <c r="CE354" s="10"/>
      <c r="CF354" s="10"/>
      <c r="CG354" s="175"/>
      <c r="CH354" s="175"/>
      <c r="CI354" s="10"/>
      <c r="CJ354" s="10"/>
      <c r="CK354" s="10"/>
      <c r="CL354" s="10"/>
    </row>
    <row r="355" spans="1:90">
      <c r="A355" s="253">
        <v>350</v>
      </c>
      <c r="B355" s="190" t="s">
        <v>2486</v>
      </c>
      <c r="C355" s="190" t="s">
        <v>2487</v>
      </c>
      <c r="D355" s="190" t="s">
        <v>135</v>
      </c>
      <c r="E355" s="8" t="e">
        <f ca="1">+_xlfn.CONCAT(G355,"-",B355,"_",C355,"_",_xlfn.XLOOKUP(BP355,Account!M:M,Account!N:N))</f>
        <v>#NAME?</v>
      </c>
      <c r="F355" s="12">
        <v>46219</v>
      </c>
      <c r="G355" s="190" t="s">
        <v>4433</v>
      </c>
      <c r="H355" s="190" t="s">
        <v>4434</v>
      </c>
      <c r="I355" s="10" t="s">
        <v>4435</v>
      </c>
      <c r="J355" s="190">
        <v>15</v>
      </c>
      <c r="K355" s="190" t="s">
        <v>2486</v>
      </c>
      <c r="L355" s="190" t="s">
        <v>1279</v>
      </c>
      <c r="M355" s="190" t="s">
        <v>2676</v>
      </c>
      <c r="N355" s="10" t="s">
        <v>4436</v>
      </c>
      <c r="O355" s="178" t="s">
        <v>4437</v>
      </c>
      <c r="P355" s="178" t="s">
        <v>4438</v>
      </c>
      <c r="Q355" s="327">
        <v>637.84050000000002</v>
      </c>
      <c r="R355" s="190" t="s">
        <v>4439</v>
      </c>
      <c r="S355" s="190"/>
      <c r="T355" s="190" t="s">
        <v>2518</v>
      </c>
      <c r="U355" s="190" t="s">
        <v>2565</v>
      </c>
      <c r="V355" s="8" t="s">
        <v>1760</v>
      </c>
      <c r="W355" s="10"/>
      <c r="X355" s="9"/>
      <c r="Y355" s="172" t="s">
        <v>2432</v>
      </c>
      <c r="Z355" s="172">
        <v>46226</v>
      </c>
      <c r="AA355" s="172">
        <v>46232</v>
      </c>
      <c r="AB355" s="143" t="str">
        <f t="shared" ca="1" si="59"/>
        <v>Expired</v>
      </c>
      <c r="AC355" s="13"/>
      <c r="AD355" s="12">
        <v>46230</v>
      </c>
      <c r="AE355" s="12">
        <v>46231</v>
      </c>
      <c r="AF355" s="12">
        <v>46253</v>
      </c>
      <c r="AG355" s="12"/>
      <c r="AH355" s="11"/>
      <c r="AI355" s="11"/>
      <c r="AJ355" s="11"/>
      <c r="AK355" s="11"/>
      <c r="AL355" s="11"/>
      <c r="AM355" s="11"/>
      <c r="AN355" s="11"/>
      <c r="AO355" s="11" t="str">
        <f>+IF(AN355&lt;&gt;"","BAST",IF(AI355&lt;&gt;"","Dismantle",IF(AG355&lt;&gt;"","RFD App",IF(AF355="Drop","Drop",IF(AE355&lt;&gt;"","Survey Report",IF(AD355&lt;&gt;"","Survey","NY Survey"))))))</f>
        <v>Survey Report</v>
      </c>
      <c r="AP355" s="173"/>
      <c r="AQ355" s="12"/>
      <c r="AR355" s="12"/>
      <c r="AS355" s="12"/>
      <c r="AT355" s="12"/>
      <c r="AU355" s="12"/>
      <c r="AV355" s="12"/>
      <c r="AW355" s="11" t="str">
        <f t="shared" si="60"/>
        <v>NY Submit</v>
      </c>
      <c r="AX355" s="12"/>
      <c r="AY355" s="12"/>
      <c r="AZ355" s="12"/>
      <c r="BA355" s="12"/>
      <c r="BB355" s="12"/>
      <c r="BC355" s="12"/>
      <c r="BD355" s="11" t="str">
        <f t="shared" si="61"/>
        <v>NY Submit</v>
      </c>
      <c r="BE355" s="174"/>
      <c r="BF355" s="12">
        <v>46232</v>
      </c>
      <c r="BG355" s="12"/>
      <c r="BH355" s="12" t="s">
        <v>4440</v>
      </c>
      <c r="BI355" s="12">
        <v>46232</v>
      </c>
      <c r="BJ355" s="12"/>
      <c r="BK355" s="174" t="s">
        <v>4441</v>
      </c>
      <c r="BL355" s="12" t="str">
        <f t="shared" si="62"/>
        <v>Submit</v>
      </c>
      <c r="BM355" s="12" t="str">
        <f t="shared" si="63"/>
        <v>Submit</v>
      </c>
      <c r="BN355" s="12"/>
      <c r="BO355" s="12"/>
      <c r="BP355" s="155" t="s">
        <v>1760</v>
      </c>
      <c r="BQ355" s="12" t="s">
        <v>3106</v>
      </c>
      <c r="BR355" s="12"/>
      <c r="BS355" s="143">
        <f t="shared" ca="1" si="66"/>
        <v>0</v>
      </c>
      <c r="BT355" s="176"/>
      <c r="BU355" s="12"/>
      <c r="BV355" s="143">
        <f t="shared" ca="1" si="67"/>
        <v>0</v>
      </c>
      <c r="BW355" s="12"/>
      <c r="BX355" s="12"/>
      <c r="BY355" s="143"/>
      <c r="BZ355" s="13"/>
      <c r="CA355" s="13"/>
      <c r="CB355" s="13"/>
      <c r="CC355" s="13"/>
      <c r="CD355" s="13"/>
      <c r="CE355" s="10"/>
      <c r="CF355" s="10"/>
      <c r="CG355" s="175"/>
      <c r="CH355" s="175"/>
      <c r="CI355" s="10"/>
      <c r="CJ355" s="10"/>
      <c r="CK355" s="10"/>
      <c r="CL355" s="10"/>
    </row>
    <row r="356" spans="1:90">
      <c r="A356" s="253">
        <v>351</v>
      </c>
      <c r="B356" s="190" t="s">
        <v>2486</v>
      </c>
      <c r="C356" s="190" t="s">
        <v>2487</v>
      </c>
      <c r="D356" s="190" t="s">
        <v>135</v>
      </c>
      <c r="E356" s="8" t="e">
        <f ca="1">+_xlfn.CONCAT(G356,"-",B356,"_",C356,"_",_xlfn.XLOOKUP(BP356,Account!M:M,Account!N:N))</f>
        <v>#NAME?</v>
      </c>
      <c r="F356" s="12">
        <v>46219</v>
      </c>
      <c r="G356" s="190" t="s">
        <v>4442</v>
      </c>
      <c r="H356" s="190" t="s">
        <v>4443</v>
      </c>
      <c r="I356" s="10" t="s">
        <v>4444</v>
      </c>
      <c r="J356" s="190">
        <v>15</v>
      </c>
      <c r="K356" s="190" t="s">
        <v>2038</v>
      </c>
      <c r="L356" s="190" t="s">
        <v>1279</v>
      </c>
      <c r="M356" s="190" t="s">
        <v>3072</v>
      </c>
      <c r="N356" s="10" t="s">
        <v>4445</v>
      </c>
      <c r="O356" s="178" t="s">
        <v>4446</v>
      </c>
      <c r="P356" s="178" t="s">
        <v>4447</v>
      </c>
      <c r="Q356" s="327">
        <v>496.77</v>
      </c>
      <c r="R356" s="190" t="s">
        <v>4448</v>
      </c>
      <c r="S356" s="190"/>
      <c r="T356" s="190" t="s">
        <v>2518</v>
      </c>
      <c r="U356" s="190" t="s">
        <v>2565</v>
      </c>
      <c r="V356" s="8" t="s">
        <v>1760</v>
      </c>
      <c r="W356" s="10"/>
      <c r="X356" s="9"/>
      <c r="Y356" s="172" t="s">
        <v>2432</v>
      </c>
      <c r="Z356" s="172">
        <v>46226</v>
      </c>
      <c r="AA356" s="172">
        <v>46232</v>
      </c>
      <c r="AB356" s="143" t="str">
        <f t="shared" ca="1" si="59"/>
        <v>Expired</v>
      </c>
      <c r="AC356" s="13"/>
      <c r="AD356" s="12">
        <v>46230</v>
      </c>
      <c r="AE356" s="12">
        <v>46231</v>
      </c>
      <c r="AF356" s="12">
        <v>46235</v>
      </c>
      <c r="AG356" s="12"/>
      <c r="AH356" s="11"/>
      <c r="AI356" s="11"/>
      <c r="AJ356" s="11"/>
      <c r="AK356" s="11"/>
      <c r="AL356" s="11"/>
      <c r="AM356" s="11"/>
      <c r="AN356" s="11"/>
      <c r="AO356" s="11" t="str">
        <f>+IF(AN356&lt;&gt;"","BAST",IF(AI356&lt;&gt;"","Dismantle",IF(AG356&lt;&gt;"","RFD App",IF(AF356="Drop","Drop",IF(AE356&lt;&gt;"","Survey Report",IF(AD356&lt;&gt;"","Survey","NY Survey"))))))</f>
        <v>Survey Report</v>
      </c>
      <c r="AP356" s="173"/>
      <c r="AQ356" s="12">
        <v>46231</v>
      </c>
      <c r="AR356" s="12"/>
      <c r="AS356" s="12">
        <v>46231</v>
      </c>
      <c r="AT356" s="12"/>
      <c r="AU356" s="12"/>
      <c r="AV356" s="12"/>
      <c r="AW356" s="11" t="str">
        <f t="shared" si="60"/>
        <v>Engineering Structural Manager App</v>
      </c>
      <c r="AX356" s="12"/>
      <c r="AY356" s="12"/>
      <c r="AZ356" s="12"/>
      <c r="BA356" s="12"/>
      <c r="BB356" s="12"/>
      <c r="BC356" s="12"/>
      <c r="BD356" s="11" t="str">
        <f t="shared" si="61"/>
        <v>NY Submit</v>
      </c>
      <c r="BE356" s="174"/>
      <c r="BF356" s="12">
        <v>46238</v>
      </c>
      <c r="BG356" s="12"/>
      <c r="BH356" s="12" t="s">
        <v>4449</v>
      </c>
      <c r="BI356" s="12">
        <v>46238</v>
      </c>
      <c r="BJ356" s="12"/>
      <c r="BK356" s="174" t="s">
        <v>4450</v>
      </c>
      <c r="BL356" s="12" t="str">
        <f t="shared" si="62"/>
        <v>Submit</v>
      </c>
      <c r="BM356" s="12" t="str">
        <f t="shared" si="63"/>
        <v>Submit</v>
      </c>
      <c r="BN356" s="12"/>
      <c r="BO356" s="12"/>
      <c r="BP356" s="155" t="s">
        <v>1760</v>
      </c>
      <c r="BQ356" s="12" t="s">
        <v>3106</v>
      </c>
      <c r="BR356" s="12"/>
      <c r="BS356" s="143">
        <f t="shared" ca="1" si="66"/>
        <v>0</v>
      </c>
      <c r="BT356" s="176"/>
      <c r="BU356" s="12"/>
      <c r="BV356" s="143">
        <f t="shared" ca="1" si="67"/>
        <v>0</v>
      </c>
      <c r="BW356" s="12"/>
      <c r="BX356" s="12"/>
      <c r="BY356" s="143"/>
      <c r="BZ356" s="13"/>
      <c r="CA356" s="13"/>
      <c r="CB356" s="13"/>
      <c r="CC356" s="13"/>
      <c r="CD356" s="13"/>
      <c r="CE356" s="10"/>
      <c r="CF356" s="10"/>
      <c r="CG356" s="175"/>
      <c r="CH356" s="175"/>
      <c r="CI356" s="10"/>
      <c r="CJ356" s="10"/>
      <c r="CK356" s="10"/>
      <c r="CL356" s="10"/>
    </row>
    <row r="357" spans="1:90">
      <c r="A357" s="253">
        <v>352</v>
      </c>
      <c r="B357" s="190" t="s">
        <v>2486</v>
      </c>
      <c r="C357" s="190" t="s">
        <v>2487</v>
      </c>
      <c r="D357" s="190" t="s">
        <v>135</v>
      </c>
      <c r="E357" s="8" t="e">
        <f ca="1">+_xlfn.CONCAT(G357,"-",B357,"_",C357,"_",_xlfn.XLOOKUP(BP357,Account!M:M,Account!N:N))</f>
        <v>#NAME?</v>
      </c>
      <c r="F357" s="12">
        <v>46223</v>
      </c>
      <c r="G357" s="190" t="s">
        <v>4451</v>
      </c>
      <c r="H357" s="190" t="s">
        <v>4452</v>
      </c>
      <c r="I357" s="10" t="s">
        <v>4453</v>
      </c>
      <c r="J357" s="190"/>
      <c r="K357" s="190" t="s">
        <v>2486</v>
      </c>
      <c r="L357" s="190" t="s">
        <v>1306</v>
      </c>
      <c r="M357" s="190" t="s">
        <v>4454</v>
      </c>
      <c r="N357" s="10" t="s">
        <v>4455</v>
      </c>
      <c r="O357" s="178" t="s">
        <v>4456</v>
      </c>
      <c r="P357" s="178" t="s">
        <v>4457</v>
      </c>
      <c r="Q357" s="327">
        <v>7260.3239999999996</v>
      </c>
      <c r="R357" s="190">
        <v>45</v>
      </c>
      <c r="S357" s="190"/>
      <c r="T357" s="190" t="s">
        <v>2494</v>
      </c>
      <c r="U357" s="190" t="s">
        <v>2495</v>
      </c>
      <c r="V357" s="8" t="s">
        <v>1760</v>
      </c>
      <c r="W357" s="10"/>
      <c r="X357" s="9"/>
      <c r="Y357" s="172" t="s">
        <v>2432</v>
      </c>
      <c r="Z357" s="172">
        <v>46226</v>
      </c>
      <c r="AA357" s="172">
        <v>46232</v>
      </c>
      <c r="AB357" s="143" t="str">
        <f t="shared" ca="1" si="59"/>
        <v>Expired</v>
      </c>
      <c r="AC357" s="13"/>
      <c r="AD357" s="12">
        <v>46233</v>
      </c>
      <c r="AE357" s="12"/>
      <c r="AF357" s="12">
        <v>46250</v>
      </c>
      <c r="AG357" s="12"/>
      <c r="AH357" s="11"/>
      <c r="AI357" s="11"/>
      <c r="AJ357" s="11"/>
      <c r="AK357" s="11"/>
      <c r="AL357" s="11"/>
      <c r="AM357" s="11"/>
      <c r="AN357" s="11"/>
      <c r="AO357" s="11" t="str">
        <f>+IF(AN357&lt;&gt;"","BAST",IF(AI357&lt;&gt;"","Dismantle",IF(AG357&lt;&gt;"","RFD App",IF(AF357="Drop","Drop",IF(AE357&lt;&gt;"","Survey Report",IF(AD357&lt;&gt;"","Survey","NY Survey"))))))</f>
        <v>Survey</v>
      </c>
      <c r="AP357" s="173"/>
      <c r="AQ357" s="12"/>
      <c r="AR357" s="12"/>
      <c r="AS357" s="12"/>
      <c r="AT357" s="12"/>
      <c r="AU357" s="12"/>
      <c r="AV357" s="12"/>
      <c r="AW357" s="11" t="str">
        <f t="shared" si="60"/>
        <v>NY Submit</v>
      </c>
      <c r="AX357" s="12"/>
      <c r="AY357" s="12"/>
      <c r="AZ357" s="12"/>
      <c r="BA357" s="12"/>
      <c r="BB357" s="12"/>
      <c r="BC357" s="12"/>
      <c r="BD357" s="11" t="str">
        <f t="shared" si="61"/>
        <v>NY Submit</v>
      </c>
      <c r="BE357" s="174"/>
      <c r="BF357" s="12"/>
      <c r="BG357" s="12"/>
      <c r="BH357" s="12"/>
      <c r="BI357" s="12"/>
      <c r="BJ357" s="12"/>
      <c r="BK357" s="174"/>
      <c r="BL357" s="12" t="str">
        <f t="shared" si="62"/>
        <v>NY Submit</v>
      </c>
      <c r="BM357" s="12" t="str">
        <f t="shared" si="63"/>
        <v>NY Submit</v>
      </c>
      <c r="BN357" s="12"/>
      <c r="BO357" s="12"/>
      <c r="BP357" s="155" t="s">
        <v>1760</v>
      </c>
      <c r="BQ357" s="12" t="s">
        <v>3106</v>
      </c>
      <c r="BR357" s="12"/>
      <c r="BS357" s="143">
        <f t="shared" ca="1" si="66"/>
        <v>0</v>
      </c>
      <c r="BT357" s="176"/>
      <c r="BU357" s="12"/>
      <c r="BV357" s="143">
        <f t="shared" ca="1" si="67"/>
        <v>0</v>
      </c>
      <c r="BW357" s="12"/>
      <c r="BX357" s="12"/>
      <c r="BY357" s="143"/>
      <c r="BZ357" s="13"/>
      <c r="CA357" s="13"/>
      <c r="CB357" s="13"/>
      <c r="CC357" s="13"/>
      <c r="CD357" s="13"/>
      <c r="CE357" s="10"/>
      <c r="CF357" s="10"/>
      <c r="CG357" s="175"/>
      <c r="CH357" s="175"/>
      <c r="CI357" s="10"/>
      <c r="CJ357" s="10"/>
      <c r="CK357" s="10"/>
      <c r="CL357" s="10"/>
    </row>
    <row r="358" spans="1:90">
      <c r="A358" s="253">
        <v>353</v>
      </c>
      <c r="B358" s="190" t="s">
        <v>2486</v>
      </c>
      <c r="C358" s="190" t="s">
        <v>2487</v>
      </c>
      <c r="D358" s="190" t="s">
        <v>135</v>
      </c>
      <c r="E358" s="8" t="e">
        <f ca="1">+_xlfn.CONCAT(G358,"-",B358,"_",C358,"_",_xlfn.XLOOKUP(BP358,Account!M:M,Account!N:N))</f>
        <v>#NAME?</v>
      </c>
      <c r="F358" s="12">
        <v>46226</v>
      </c>
      <c r="G358" s="190" t="s">
        <v>4458</v>
      </c>
      <c r="H358" s="190" t="s">
        <v>4459</v>
      </c>
      <c r="I358" s="10" t="s">
        <v>4460</v>
      </c>
      <c r="J358" s="190">
        <v>4</v>
      </c>
      <c r="K358" s="190" t="s">
        <v>2038</v>
      </c>
      <c r="L358" s="190" t="s">
        <v>3630</v>
      </c>
      <c r="M358" s="190" t="s">
        <v>4365</v>
      </c>
      <c r="N358" s="10" t="s">
        <v>4461</v>
      </c>
      <c r="O358" s="178" t="s">
        <v>4462</v>
      </c>
      <c r="P358" s="178" t="s">
        <v>4463</v>
      </c>
      <c r="Q358" s="327">
        <v>393.52949999999998</v>
      </c>
      <c r="R358" s="190" t="s">
        <v>4464</v>
      </c>
      <c r="S358" s="190"/>
      <c r="T358" s="190" t="s">
        <v>2518</v>
      </c>
      <c r="U358" s="190" t="s">
        <v>2565</v>
      </c>
      <c r="V358" s="8" t="s">
        <v>1760</v>
      </c>
      <c r="W358" s="10"/>
      <c r="X358" s="9"/>
      <c r="Y358" s="172" t="s">
        <v>2432</v>
      </c>
      <c r="Z358" s="172">
        <v>46228</v>
      </c>
      <c r="AA358" s="172">
        <v>46233</v>
      </c>
      <c r="AB358" s="143" t="str">
        <f t="shared" ca="1" si="59"/>
        <v>Expired</v>
      </c>
      <c r="AC358" s="13"/>
      <c r="AD358" s="12">
        <v>46228</v>
      </c>
      <c r="AE358" s="12">
        <v>46228</v>
      </c>
      <c r="AF358" s="12">
        <v>46241</v>
      </c>
      <c r="AG358" s="12"/>
      <c r="AH358" s="11"/>
      <c r="AI358" s="11"/>
      <c r="AJ358" s="11"/>
      <c r="AK358" s="11"/>
      <c r="AL358" s="11"/>
      <c r="AM358" s="11"/>
      <c r="AN358" s="11"/>
      <c r="AO358" s="11" t="str">
        <f>+IF(AN358&lt;&gt;"","BAST",IF(AI358&lt;&gt;"","Dismantle",IF(AG358&lt;&gt;"","RFD App",IF(AF358="Drop","Drop",IF(AE358&lt;&gt;"","Survey Report",IF(AD358&lt;&gt;"","Survey","NY Survey"))))))</f>
        <v>Survey Report</v>
      </c>
      <c r="AP358" s="173"/>
      <c r="AQ358" s="12"/>
      <c r="AR358" s="12"/>
      <c r="AS358" s="12"/>
      <c r="AT358" s="12"/>
      <c r="AU358" s="12"/>
      <c r="AV358" s="12"/>
      <c r="AW358" s="11" t="str">
        <f t="shared" si="60"/>
        <v>NY Submit</v>
      </c>
      <c r="AX358" s="12"/>
      <c r="AY358" s="12"/>
      <c r="AZ358" s="12"/>
      <c r="BA358" s="12"/>
      <c r="BB358" s="12"/>
      <c r="BC358" s="12"/>
      <c r="BD358" s="11" t="str">
        <f t="shared" si="61"/>
        <v>NY Submit</v>
      </c>
      <c r="BE358" s="174"/>
      <c r="BF358" s="12">
        <v>46232</v>
      </c>
      <c r="BG358" s="12">
        <v>46234</v>
      </c>
      <c r="BH358" s="12" t="s">
        <v>4465</v>
      </c>
      <c r="BI358" s="12">
        <v>46232</v>
      </c>
      <c r="BJ358" s="12"/>
      <c r="BK358" s="174" t="s">
        <v>4466</v>
      </c>
      <c r="BL358" s="12" t="str">
        <f t="shared" si="62"/>
        <v>Approved</v>
      </c>
      <c r="BM358" s="12" t="str">
        <f t="shared" si="63"/>
        <v>Submit</v>
      </c>
      <c r="BN358" s="12"/>
      <c r="BO358" s="12"/>
      <c r="BP358" s="155" t="s">
        <v>1760</v>
      </c>
      <c r="BQ358" s="12" t="s">
        <v>3106</v>
      </c>
      <c r="BR358" s="12"/>
      <c r="BS358" s="143">
        <f t="shared" ca="1" si="66"/>
        <v>0</v>
      </c>
      <c r="BT358" s="176"/>
      <c r="BU358" s="12"/>
      <c r="BV358" s="143">
        <f t="shared" ca="1" si="67"/>
        <v>0</v>
      </c>
      <c r="BW358" s="12"/>
      <c r="BX358" s="12"/>
      <c r="BY358" s="143"/>
      <c r="BZ358" s="13"/>
      <c r="CA358" s="13"/>
      <c r="CB358" s="13"/>
      <c r="CC358" s="13"/>
      <c r="CD358" s="13"/>
      <c r="CE358" s="10"/>
      <c r="CF358" s="10"/>
      <c r="CG358" s="175"/>
      <c r="CH358" s="175"/>
      <c r="CI358" s="10"/>
      <c r="CJ358" s="10"/>
      <c r="CK358" s="10"/>
      <c r="CL358" s="10"/>
    </row>
    <row r="359" spans="1:90">
      <c r="A359" s="253">
        <v>354</v>
      </c>
      <c r="B359" s="190" t="s">
        <v>2486</v>
      </c>
      <c r="C359" s="190" t="s">
        <v>2487</v>
      </c>
      <c r="D359" s="190" t="s">
        <v>135</v>
      </c>
      <c r="E359" s="8" t="e">
        <f ca="1">+_xlfn.CONCAT(G359,"-",B359,"_",C359,"_",_xlfn.XLOOKUP(BP359,Account!M:M,Account!N:N))</f>
        <v>#NAME?</v>
      </c>
      <c r="F359" s="12">
        <v>46203</v>
      </c>
      <c r="G359" s="190" t="s">
        <v>4384</v>
      </c>
      <c r="H359" s="190" t="s">
        <v>4385</v>
      </c>
      <c r="I359" s="10" t="s">
        <v>4386</v>
      </c>
      <c r="J359" s="190">
        <v>10</v>
      </c>
      <c r="K359" s="190" t="s">
        <v>2486</v>
      </c>
      <c r="L359" s="190" t="s">
        <v>3156</v>
      </c>
      <c r="M359" s="190" t="s">
        <v>3326</v>
      </c>
      <c r="N359" s="10" t="s">
        <v>4387</v>
      </c>
      <c r="O359" s="178" t="s">
        <v>4388</v>
      </c>
      <c r="P359" s="178" t="s">
        <v>4389</v>
      </c>
      <c r="Q359" s="327">
        <v>6828.5249999999996</v>
      </c>
      <c r="R359" s="190">
        <v>51</v>
      </c>
      <c r="S359" s="190" t="s">
        <v>55</v>
      </c>
      <c r="T359" s="190" t="s">
        <v>2494</v>
      </c>
      <c r="U359" s="190" t="s">
        <v>3330</v>
      </c>
      <c r="V359" s="8" t="s">
        <v>2011</v>
      </c>
      <c r="W359" s="10"/>
      <c r="X359" s="9"/>
      <c r="Y359" s="172"/>
      <c r="Z359" s="172"/>
      <c r="AA359" s="172"/>
      <c r="AB359" s="143" t="str">
        <f t="shared" ca="1" si="59"/>
        <v>NY Submit</v>
      </c>
      <c r="AC359" s="13"/>
      <c r="AD359" s="12">
        <v>46211</v>
      </c>
      <c r="AE359" s="12">
        <v>46218</v>
      </c>
      <c r="AF359" s="12">
        <v>46295</v>
      </c>
      <c r="AG359" s="12"/>
      <c r="AH359" s="11"/>
      <c r="AI359" s="11"/>
      <c r="AJ359" s="11"/>
      <c r="AK359" s="11"/>
      <c r="AL359" s="11"/>
      <c r="AM359" s="11"/>
      <c r="AN359" s="11"/>
      <c r="AO359" s="11" t="str">
        <f>+IF(AM359&lt;&gt;"","ATP App MS",IF(AJ359&lt;&gt;"","Inbound",IF(AH359&lt;&gt;"","Dismantle Perangkat",IF(AF359="Drop","Drop",IF(AE359&lt;&gt;"","Survey Report",IF(AD359&lt;&gt;"","Survey","NY Survey"))))))</f>
        <v>Survey Report</v>
      </c>
      <c r="AP359" s="173"/>
      <c r="AQ359" s="12">
        <v>46230</v>
      </c>
      <c r="AR359" s="12"/>
      <c r="AS359" s="12">
        <v>46231</v>
      </c>
      <c r="AT359" s="12"/>
      <c r="AU359" s="12"/>
      <c r="AV359" s="12"/>
      <c r="AW359" s="11" t="str">
        <f t="shared" si="60"/>
        <v>Engineering Structural Manager App</v>
      </c>
      <c r="AX359" s="12"/>
      <c r="AY359" s="12"/>
      <c r="AZ359" s="12"/>
      <c r="BA359" s="12"/>
      <c r="BB359" s="12"/>
      <c r="BC359" s="12"/>
      <c r="BD359" s="11" t="str">
        <f t="shared" si="61"/>
        <v>NY Submit</v>
      </c>
      <c r="BE359" s="174"/>
      <c r="BF359" s="12"/>
      <c r="BG359" s="12"/>
      <c r="BH359" s="12"/>
      <c r="BI359" s="12"/>
      <c r="BJ359" s="12"/>
      <c r="BK359" s="174"/>
      <c r="BL359" s="12" t="str">
        <f t="shared" si="62"/>
        <v>NY Submit</v>
      </c>
      <c r="BM359" s="12" t="str">
        <f t="shared" si="63"/>
        <v>NY Submit</v>
      </c>
      <c r="BN359" s="12"/>
      <c r="BO359" s="12"/>
      <c r="BP359" s="155" t="s">
        <v>2011</v>
      </c>
      <c r="BQ359" s="12" t="s">
        <v>3106</v>
      </c>
      <c r="BR359" s="12"/>
      <c r="BS359" s="143">
        <f t="shared" ca="1" si="66"/>
        <v>0</v>
      </c>
      <c r="BT359" s="176"/>
      <c r="BU359" s="12"/>
      <c r="BV359" s="143">
        <f t="shared" ca="1" si="67"/>
        <v>0</v>
      </c>
      <c r="BW359" s="12"/>
      <c r="BX359" s="12"/>
      <c r="BY359" s="143"/>
      <c r="BZ359" s="13"/>
      <c r="CA359" s="13"/>
      <c r="CB359" s="13"/>
      <c r="CC359" s="13"/>
      <c r="CD359" s="13"/>
      <c r="CE359" s="10"/>
      <c r="CF359" s="10"/>
      <c r="CG359" s="175"/>
      <c r="CH359" s="175"/>
      <c r="CI359" s="10"/>
      <c r="CJ359" s="10"/>
      <c r="CK359" s="10"/>
      <c r="CL359" s="10"/>
    </row>
    <row r="360" spans="1:90">
      <c r="A360" s="181">
        <v>355</v>
      </c>
      <c r="B360" s="190" t="s">
        <v>2486</v>
      </c>
      <c r="C360" s="190" t="s">
        <v>2487</v>
      </c>
      <c r="D360" s="190" t="s">
        <v>135</v>
      </c>
      <c r="E360" s="8" t="e">
        <f ca="1">+_xlfn.CONCAT(G360,"-",B360,"_",C360,"_",_xlfn.XLOOKUP(BP360,Account!M:M,Account!N:N))</f>
        <v>#NAME?</v>
      </c>
      <c r="F360" s="12">
        <v>46219</v>
      </c>
      <c r="G360" s="190" t="s">
        <v>2008</v>
      </c>
      <c r="H360" s="190"/>
      <c r="I360" s="10" t="s">
        <v>2009</v>
      </c>
      <c r="J360" s="190">
        <v>1</v>
      </c>
      <c r="K360" s="190" t="s">
        <v>2038</v>
      </c>
      <c r="L360" s="190" t="s">
        <v>1419</v>
      </c>
      <c r="M360" s="190" t="s">
        <v>4421</v>
      </c>
      <c r="N360" s="10" t="s">
        <v>4422</v>
      </c>
      <c r="O360" s="178" t="s">
        <v>4423</v>
      </c>
      <c r="P360" s="178" t="s">
        <v>4424</v>
      </c>
      <c r="Q360" s="327">
        <v>22120.78</v>
      </c>
      <c r="R360" s="190">
        <v>70</v>
      </c>
      <c r="S360" s="190"/>
      <c r="T360" s="190" t="s">
        <v>2494</v>
      </c>
      <c r="U360" s="190" t="s">
        <v>2495</v>
      </c>
      <c r="V360" s="8" t="s">
        <v>1768</v>
      </c>
      <c r="W360" s="10"/>
      <c r="X360" s="9"/>
      <c r="Y360" s="172"/>
      <c r="Z360" s="172"/>
      <c r="AA360" s="172"/>
      <c r="AB360" s="143" t="str">
        <f t="shared" ca="1" si="59"/>
        <v>NY Submit</v>
      </c>
      <c r="AC360" s="13"/>
      <c r="AD360" s="12">
        <v>46223</v>
      </c>
      <c r="AE360" s="12">
        <v>46223</v>
      </c>
      <c r="AF360" s="12"/>
      <c r="AG360" s="12"/>
      <c r="AH360" s="11"/>
      <c r="AI360" s="11"/>
      <c r="AJ360" s="11"/>
      <c r="AK360" s="11"/>
      <c r="AL360" s="11"/>
      <c r="AM360" s="11"/>
      <c r="AN360" s="11"/>
      <c r="AO360" s="11" t="str">
        <f>+IF(AM360&lt;&gt;"","ATP App MS",IF(AL360&lt;&gt;"","OA/RFS",IF(AK360&lt;&gt;"","Install",IF(AH360&lt;&gt;"","Dismantle Perangkat",IF(AF360="Drop","Drop",IF(AE360&lt;&gt;"","Survey Report",IF(AD360&lt;&gt;"","Survey","NY Survey")))))))</f>
        <v>Survey Report</v>
      </c>
      <c r="AP360" s="173"/>
      <c r="AQ360" s="12">
        <v>46231</v>
      </c>
      <c r="AR360" s="12">
        <v>46232</v>
      </c>
      <c r="AS360" s="12" t="s">
        <v>3207</v>
      </c>
      <c r="AT360" s="12" t="s">
        <v>1754</v>
      </c>
      <c r="AU360" s="12"/>
      <c r="AV360" s="12"/>
      <c r="AW360" s="11" t="str">
        <f t="shared" si="60"/>
        <v>need DRM</v>
      </c>
      <c r="AX360" s="12"/>
      <c r="AY360" s="12"/>
      <c r="AZ360" s="12"/>
      <c r="BA360" s="12"/>
      <c r="BB360" s="12"/>
      <c r="BC360" s="12"/>
      <c r="BD360" s="11" t="str">
        <f t="shared" si="61"/>
        <v>NY Submit</v>
      </c>
      <c r="BE360" s="282" t="s">
        <v>4467</v>
      </c>
      <c r="BF360" s="12"/>
      <c r="BG360" s="12"/>
      <c r="BH360" s="12"/>
      <c r="BI360" s="12"/>
      <c r="BJ360" s="12"/>
      <c r="BK360" s="174"/>
      <c r="BL360" s="12" t="str">
        <f t="shared" si="62"/>
        <v>NY Submit</v>
      </c>
      <c r="BM360" s="12" t="str">
        <f t="shared" si="63"/>
        <v>NY Submit</v>
      </c>
      <c r="BN360" s="12"/>
      <c r="BO360" s="12"/>
      <c r="BP360" s="155" t="s">
        <v>1768</v>
      </c>
      <c r="BQ360" s="12" t="s">
        <v>3106</v>
      </c>
      <c r="BR360" s="12"/>
      <c r="BS360" s="143">
        <f t="shared" ca="1" si="66"/>
        <v>0</v>
      </c>
      <c r="BT360" s="176"/>
      <c r="BU360" s="12"/>
      <c r="BV360" s="143">
        <f t="shared" ca="1" si="67"/>
        <v>0</v>
      </c>
      <c r="BW360" s="12"/>
      <c r="BX360" s="12"/>
      <c r="BY360" s="143"/>
      <c r="BZ360" s="13"/>
      <c r="CA360" s="13"/>
      <c r="CB360" s="13"/>
      <c r="CC360" s="13"/>
      <c r="CD360" s="13"/>
      <c r="CE360" s="10"/>
      <c r="CF360" s="10"/>
      <c r="CG360" s="175"/>
      <c r="CH360" s="175"/>
      <c r="CI360" s="10"/>
      <c r="CJ360" s="10"/>
      <c r="CK360" s="10"/>
      <c r="CL360" s="10"/>
    </row>
    <row r="361" spans="1:90">
      <c r="A361" s="181">
        <v>356</v>
      </c>
      <c r="B361" s="190" t="s">
        <v>2486</v>
      </c>
      <c r="C361" s="190" t="s">
        <v>2487</v>
      </c>
      <c r="D361" s="190" t="s">
        <v>135</v>
      </c>
      <c r="E361" s="8" t="e">
        <f ca="1">+_xlfn.CONCAT(G361,"-",B361,"_",C361,"_",_xlfn.XLOOKUP(BP361,Account!M:M,Account!N:N))</f>
        <v>#NAME?</v>
      </c>
      <c r="F361" s="12">
        <v>46231</v>
      </c>
      <c r="G361" s="190" t="s">
        <v>108</v>
      </c>
      <c r="H361" s="190" t="s">
        <v>3177</v>
      </c>
      <c r="I361" s="10" t="s">
        <v>109</v>
      </c>
      <c r="J361" s="190">
        <v>10</v>
      </c>
      <c r="K361" s="190" t="s">
        <v>2038</v>
      </c>
      <c r="L361" s="190" t="s">
        <v>3156</v>
      </c>
      <c r="M361" s="190" t="s">
        <v>3178</v>
      </c>
      <c r="N361" s="10" t="s">
        <v>3179</v>
      </c>
      <c r="O361" s="178" t="s">
        <v>3180</v>
      </c>
      <c r="P361" s="178" t="s">
        <v>3181</v>
      </c>
      <c r="Q361" s="327">
        <v>18868.812000000002</v>
      </c>
      <c r="R361" s="190">
        <v>70</v>
      </c>
      <c r="S361" s="190" t="s">
        <v>3182</v>
      </c>
      <c r="T361" s="190" t="s">
        <v>2494</v>
      </c>
      <c r="U361" s="190" t="s">
        <v>2495</v>
      </c>
      <c r="V361" s="8" t="s">
        <v>4468</v>
      </c>
      <c r="W361" s="10"/>
      <c r="X361" s="9"/>
      <c r="Y361" s="172"/>
      <c r="Z361" s="172"/>
      <c r="AA361" s="172"/>
      <c r="AB361" s="143" t="str">
        <f t="shared" ca="1" si="59"/>
        <v>NY Submit</v>
      </c>
      <c r="AC361" s="13"/>
      <c r="AD361" s="12">
        <v>46233</v>
      </c>
      <c r="AE361" s="12">
        <v>46234</v>
      </c>
      <c r="AF361" s="12"/>
      <c r="AG361" s="12"/>
      <c r="AH361" s="11"/>
      <c r="AI361" s="11"/>
      <c r="AJ361" s="11"/>
      <c r="AK361" s="11"/>
      <c r="AL361" s="11"/>
      <c r="AM361" s="11">
        <v>46234</v>
      </c>
      <c r="AN361" s="11"/>
      <c r="AO361" s="11" t="str">
        <f>+IF(AM361&lt;&gt;"","Survey LOS App",IF(AF361="Drop","Drop",IF(AE361&lt;&gt;"","Survey Report",IF(AD361&lt;&gt;"","Survey","NY Survey"))))</f>
        <v>Survey LOS App</v>
      </c>
      <c r="AP361" s="173"/>
      <c r="AQ361" s="12"/>
      <c r="AR361" s="12"/>
      <c r="AS361" s="12"/>
      <c r="AT361" s="12"/>
      <c r="AU361" s="12"/>
      <c r="AV361" s="12"/>
      <c r="AW361" s="11" t="str">
        <f t="shared" si="60"/>
        <v>NY Submit</v>
      </c>
      <c r="AX361" s="12"/>
      <c r="AY361" s="12"/>
      <c r="AZ361" s="12"/>
      <c r="BA361" s="12"/>
      <c r="BB361" s="12"/>
      <c r="BC361" s="12"/>
      <c r="BD361" s="11" t="str">
        <f t="shared" si="61"/>
        <v>NY Submit</v>
      </c>
      <c r="BE361" s="174"/>
      <c r="BF361" s="12"/>
      <c r="BG361" s="12"/>
      <c r="BH361" s="12"/>
      <c r="BI361" s="12"/>
      <c r="BJ361" s="12"/>
      <c r="BK361" s="174"/>
      <c r="BL361" s="12" t="str">
        <f t="shared" si="62"/>
        <v>NY Submit</v>
      </c>
      <c r="BM361" s="12" t="str">
        <f t="shared" si="63"/>
        <v>NY Submit</v>
      </c>
      <c r="BN361" s="12">
        <v>46234</v>
      </c>
      <c r="BO361" s="12">
        <v>46234</v>
      </c>
      <c r="BP361" s="155" t="s">
        <v>2507</v>
      </c>
      <c r="BQ361" s="12" t="s">
        <v>3106</v>
      </c>
      <c r="BR361" s="12"/>
      <c r="BS361" s="143">
        <f t="shared" ca="1" si="66"/>
        <v>0</v>
      </c>
      <c r="BT361" s="176"/>
      <c r="BU361" s="12"/>
      <c r="BV361" s="143">
        <f t="shared" ca="1" si="67"/>
        <v>0</v>
      </c>
      <c r="BW361" s="12"/>
      <c r="BX361" s="12"/>
      <c r="BY361" s="143"/>
      <c r="BZ361" s="13" t="s">
        <v>4469</v>
      </c>
      <c r="CA361" s="13"/>
      <c r="CB361" s="13"/>
      <c r="CC361" s="13"/>
      <c r="CD361" s="13"/>
      <c r="CE361" s="10"/>
      <c r="CF361" s="10"/>
      <c r="CG361" s="175"/>
      <c r="CH361" s="175"/>
      <c r="CI361" s="10"/>
      <c r="CJ361" s="10"/>
      <c r="CK361" s="10"/>
      <c r="CL361" s="10"/>
    </row>
    <row r="362" spans="1:90">
      <c r="A362" s="190">
        <v>357</v>
      </c>
      <c r="B362" s="190" t="s">
        <v>2486</v>
      </c>
      <c r="C362" s="190" t="s">
        <v>2487</v>
      </c>
      <c r="D362" s="190" t="s">
        <v>135</v>
      </c>
      <c r="E362" s="8" t="e">
        <f ca="1">+_xlfn.CONCAT(G362,"-",B362,"_",C362,"_",_xlfn.XLOOKUP(BP362,Account!M:M,Account!N:N))</f>
        <v>#NAME?</v>
      </c>
      <c r="F362" s="12"/>
      <c r="G362" s="190"/>
      <c r="H362" s="190"/>
      <c r="I362" s="10"/>
      <c r="J362" s="190"/>
      <c r="K362" s="190"/>
      <c r="L362" s="190"/>
      <c r="M362" s="190"/>
      <c r="N362" s="10"/>
      <c r="O362" s="178"/>
      <c r="P362" s="178"/>
      <c r="Q362" s="327"/>
      <c r="R362" s="190"/>
      <c r="S362" s="190"/>
      <c r="T362" s="190"/>
      <c r="U362" s="190"/>
      <c r="V362" s="8"/>
      <c r="W362" s="10"/>
      <c r="X362" s="9"/>
      <c r="Y362" s="172"/>
      <c r="Z362" s="172"/>
      <c r="AA362" s="172"/>
      <c r="AB362" s="143" t="str">
        <f t="shared" ca="1" si="59"/>
        <v>NY Submit</v>
      </c>
      <c r="AC362" s="13"/>
      <c r="AD362" s="12"/>
      <c r="AE362" s="12"/>
      <c r="AF362" s="12"/>
      <c r="AG362" s="12"/>
      <c r="AH362" s="11"/>
      <c r="AI362" s="11"/>
      <c r="AJ362" s="11"/>
      <c r="AK362" s="11"/>
      <c r="AL362" s="11"/>
      <c r="AM362" s="11"/>
      <c r="AN362" s="11"/>
      <c r="AO362" s="11"/>
      <c r="AP362" s="173"/>
      <c r="AQ362" s="12"/>
      <c r="AR362" s="12"/>
      <c r="AS362" s="12"/>
      <c r="AT362" s="12"/>
      <c r="AU362" s="12"/>
      <c r="AV362" s="12"/>
      <c r="AW362" s="11" t="str">
        <f t="shared" si="60"/>
        <v>NY Submit</v>
      </c>
      <c r="AX362" s="12"/>
      <c r="AY362" s="12"/>
      <c r="AZ362" s="12"/>
      <c r="BA362" s="12"/>
      <c r="BB362" s="12"/>
      <c r="BC362" s="12"/>
      <c r="BD362" s="11" t="str">
        <f t="shared" si="61"/>
        <v>NY Submit</v>
      </c>
      <c r="BE362" s="174"/>
      <c r="BF362" s="12"/>
      <c r="BG362" s="12"/>
      <c r="BH362" s="12"/>
      <c r="BI362" s="12"/>
      <c r="BJ362" s="12"/>
      <c r="BK362" s="174"/>
      <c r="BL362" s="12" t="str">
        <f t="shared" si="62"/>
        <v>NY Submit</v>
      </c>
      <c r="BM362" s="12" t="str">
        <f t="shared" si="63"/>
        <v>NY Submit</v>
      </c>
      <c r="BN362" s="12"/>
      <c r="BO362" s="12"/>
      <c r="BP362" s="155"/>
      <c r="BQ362" s="12" t="s">
        <v>3106</v>
      </c>
      <c r="BR362" s="12"/>
      <c r="BS362" s="143">
        <f t="shared" ca="1" si="66"/>
        <v>0</v>
      </c>
      <c r="BT362" s="176"/>
      <c r="BU362" s="12"/>
      <c r="BV362" s="143">
        <f t="shared" ca="1" si="67"/>
        <v>0</v>
      </c>
      <c r="BW362" s="12"/>
      <c r="BX362" s="12"/>
      <c r="BY362" s="143"/>
      <c r="BZ362" s="13"/>
      <c r="CA362" s="13"/>
      <c r="CB362" s="13"/>
      <c r="CC362" s="13"/>
      <c r="CD362" s="13"/>
      <c r="CE362" s="10"/>
      <c r="CF362" s="10"/>
      <c r="CG362" s="175"/>
      <c r="CH362" s="175"/>
      <c r="CI362" s="10"/>
      <c r="CJ362" s="10"/>
      <c r="CK362" s="10"/>
      <c r="CL362" s="10"/>
    </row>
    <row r="363" spans="1:90">
      <c r="A363" s="190">
        <v>358</v>
      </c>
      <c r="B363" s="190" t="s">
        <v>2486</v>
      </c>
      <c r="C363" s="190" t="s">
        <v>2487</v>
      </c>
      <c r="D363" s="190" t="s">
        <v>135</v>
      </c>
      <c r="E363" s="8" t="e">
        <f ca="1">+_xlfn.CONCAT(G363,"-",B363,"_",C363,"_",_xlfn.XLOOKUP(BP363,Account!M:M,Account!N:N))</f>
        <v>#NAME?</v>
      </c>
      <c r="F363" s="12"/>
      <c r="G363" s="190"/>
      <c r="H363" s="190"/>
      <c r="I363" s="10"/>
      <c r="J363" s="190"/>
      <c r="K363" s="190"/>
      <c r="L363" s="190"/>
      <c r="M363" s="190"/>
      <c r="N363" s="10"/>
      <c r="O363" s="178"/>
      <c r="P363" s="178"/>
      <c r="Q363" s="327"/>
      <c r="R363" s="190"/>
      <c r="S363" s="190"/>
      <c r="T363" s="190"/>
      <c r="U363" s="190"/>
      <c r="V363" s="8"/>
      <c r="W363" s="10"/>
      <c r="X363" s="9"/>
      <c r="Y363" s="172"/>
      <c r="Z363" s="172"/>
      <c r="AA363" s="172"/>
      <c r="AB363" s="143" t="str">
        <f t="shared" ca="1" si="59"/>
        <v>NY Submit</v>
      </c>
      <c r="AC363" s="13"/>
      <c r="AD363" s="12"/>
      <c r="AE363" s="12"/>
      <c r="AF363" s="12"/>
      <c r="AG363" s="12"/>
      <c r="AH363" s="11"/>
      <c r="AI363" s="11"/>
      <c r="AJ363" s="11"/>
      <c r="AK363" s="11"/>
      <c r="AL363" s="11"/>
      <c r="AM363" s="11"/>
      <c r="AN363" s="11"/>
      <c r="AO363" s="11"/>
      <c r="AP363" s="173"/>
      <c r="AQ363" s="12"/>
      <c r="AR363" s="12"/>
      <c r="AS363" s="12"/>
      <c r="AT363" s="12"/>
      <c r="AU363" s="12"/>
      <c r="AV363" s="12"/>
      <c r="AW363" s="11" t="str">
        <f t="shared" si="60"/>
        <v>NY Submit</v>
      </c>
      <c r="AX363" s="12"/>
      <c r="AY363" s="12"/>
      <c r="AZ363" s="12"/>
      <c r="BA363" s="12"/>
      <c r="BB363" s="12"/>
      <c r="BC363" s="12"/>
      <c r="BD363" s="11" t="str">
        <f t="shared" si="61"/>
        <v>NY Submit</v>
      </c>
      <c r="BE363" s="174"/>
      <c r="BF363" s="12"/>
      <c r="BG363" s="12"/>
      <c r="BH363" s="12"/>
      <c r="BI363" s="12"/>
      <c r="BJ363" s="12"/>
      <c r="BK363" s="174"/>
      <c r="BL363" s="12" t="str">
        <f t="shared" si="62"/>
        <v>NY Submit</v>
      </c>
      <c r="BM363" s="12" t="str">
        <f t="shared" si="63"/>
        <v>NY Submit</v>
      </c>
      <c r="BN363" s="12"/>
      <c r="BO363" s="12"/>
      <c r="BP363" s="155"/>
      <c r="BQ363" s="12" t="s">
        <v>3106</v>
      </c>
      <c r="BR363" s="12"/>
      <c r="BS363" s="143">
        <f t="shared" ca="1" si="66"/>
        <v>0</v>
      </c>
      <c r="BT363" s="176"/>
      <c r="BU363" s="12"/>
      <c r="BV363" s="143">
        <f t="shared" ca="1" si="67"/>
        <v>0</v>
      </c>
      <c r="BW363" s="12"/>
      <c r="BX363" s="12"/>
      <c r="BY363" s="143"/>
      <c r="BZ363" s="13"/>
      <c r="CA363" s="13"/>
      <c r="CB363" s="13"/>
      <c r="CC363" s="13"/>
      <c r="CD363" s="13"/>
      <c r="CE363" s="10"/>
      <c r="CF363" s="10"/>
      <c r="CG363" s="175"/>
      <c r="CH363" s="175"/>
      <c r="CI363" s="10"/>
      <c r="CJ363" s="10"/>
      <c r="CK363" s="10"/>
      <c r="CL363" s="10"/>
    </row>
    <row r="364" spans="1:90">
      <c r="A364" s="190">
        <v>359</v>
      </c>
      <c r="B364" s="190" t="s">
        <v>2486</v>
      </c>
      <c r="C364" s="190" t="s">
        <v>2487</v>
      </c>
      <c r="D364" s="190" t="s">
        <v>135</v>
      </c>
      <c r="E364" s="8" t="e">
        <f ca="1">+_xlfn.CONCAT(G364,"-",B364,"_",C364,"_",_xlfn.XLOOKUP(BP364,Account!M:M,Account!N:N))</f>
        <v>#NAME?</v>
      </c>
      <c r="F364" s="12"/>
      <c r="G364" s="190"/>
      <c r="H364" s="190"/>
      <c r="I364" s="10"/>
      <c r="J364" s="190"/>
      <c r="K364" s="190"/>
      <c r="L364" s="190"/>
      <c r="M364" s="190"/>
      <c r="N364" s="10"/>
      <c r="O364" s="178"/>
      <c r="P364" s="178"/>
      <c r="Q364" s="327"/>
      <c r="R364" s="190"/>
      <c r="S364" s="190"/>
      <c r="T364" s="190"/>
      <c r="U364" s="190"/>
      <c r="V364" s="8"/>
      <c r="W364" s="10"/>
      <c r="X364" s="9"/>
      <c r="Y364" s="172"/>
      <c r="Z364" s="172"/>
      <c r="AA364" s="172"/>
      <c r="AB364" s="143" t="str">
        <f t="shared" ca="1" si="59"/>
        <v>NY Submit</v>
      </c>
      <c r="AC364" s="13"/>
      <c r="AD364" s="12"/>
      <c r="AE364" s="12"/>
      <c r="AF364" s="12"/>
      <c r="AG364" s="12"/>
      <c r="AH364" s="11"/>
      <c r="AI364" s="11"/>
      <c r="AJ364" s="11"/>
      <c r="AK364" s="11"/>
      <c r="AL364" s="11"/>
      <c r="AM364" s="11"/>
      <c r="AN364" s="11"/>
      <c r="AO364" s="11"/>
      <c r="AP364" s="173"/>
      <c r="AQ364" s="12"/>
      <c r="AR364" s="12"/>
      <c r="AS364" s="12"/>
      <c r="AT364" s="12"/>
      <c r="AU364" s="12"/>
      <c r="AV364" s="12"/>
      <c r="AW364" s="11" t="str">
        <f t="shared" si="60"/>
        <v>NY Submit</v>
      </c>
      <c r="AX364" s="12"/>
      <c r="AY364" s="12"/>
      <c r="AZ364" s="12"/>
      <c r="BA364" s="12"/>
      <c r="BB364" s="12"/>
      <c r="BC364" s="12"/>
      <c r="BD364" s="11" t="str">
        <f t="shared" si="61"/>
        <v>NY Submit</v>
      </c>
      <c r="BE364" s="174"/>
      <c r="BF364" s="12"/>
      <c r="BG364" s="12"/>
      <c r="BH364" s="12"/>
      <c r="BI364" s="12"/>
      <c r="BJ364" s="12"/>
      <c r="BK364" s="174"/>
      <c r="BL364" s="12" t="str">
        <f t="shared" si="62"/>
        <v>NY Submit</v>
      </c>
      <c r="BM364" s="12" t="str">
        <f t="shared" si="63"/>
        <v>NY Submit</v>
      </c>
      <c r="BN364" s="12"/>
      <c r="BO364" s="12"/>
      <c r="BP364" s="155"/>
      <c r="BQ364" s="12" t="s">
        <v>3106</v>
      </c>
      <c r="BR364" s="12"/>
      <c r="BS364" s="143">
        <f t="shared" ca="1" si="66"/>
        <v>0</v>
      </c>
      <c r="BT364" s="176"/>
      <c r="BU364" s="12"/>
      <c r="BV364" s="143">
        <f t="shared" ca="1" si="67"/>
        <v>0</v>
      </c>
      <c r="BW364" s="12"/>
      <c r="BX364" s="12"/>
      <c r="BY364" s="143"/>
      <c r="BZ364" s="13"/>
      <c r="CA364" s="13"/>
      <c r="CB364" s="13"/>
      <c r="CC364" s="13"/>
      <c r="CD364" s="13"/>
      <c r="CE364" s="10"/>
      <c r="CF364" s="10"/>
      <c r="CG364" s="175"/>
      <c r="CH364" s="175"/>
      <c r="CI364" s="10"/>
      <c r="CJ364" s="10"/>
      <c r="CK364" s="10"/>
      <c r="CL364" s="10"/>
    </row>
    <row r="365" spans="1:90">
      <c r="A365" s="190">
        <v>360</v>
      </c>
      <c r="B365" s="190" t="s">
        <v>2486</v>
      </c>
      <c r="C365" s="190" t="s">
        <v>2487</v>
      </c>
      <c r="D365" s="190" t="s">
        <v>135</v>
      </c>
      <c r="E365" s="8" t="e">
        <f ca="1">+_xlfn.CONCAT(G365,"-",B365,"_",C365,"_",_xlfn.XLOOKUP(BP365,Account!M:M,Account!N:N))</f>
        <v>#NAME?</v>
      </c>
      <c r="F365" s="12"/>
      <c r="G365" s="190"/>
      <c r="H365" s="190"/>
      <c r="I365" s="10"/>
      <c r="J365" s="190"/>
      <c r="K365" s="190"/>
      <c r="L365" s="190"/>
      <c r="M365" s="190"/>
      <c r="N365" s="10"/>
      <c r="O365" s="178"/>
      <c r="P365" s="178"/>
      <c r="Q365" s="327"/>
      <c r="R365" s="190"/>
      <c r="S365" s="190"/>
      <c r="T365" s="190"/>
      <c r="U365" s="190"/>
      <c r="V365" s="8"/>
      <c r="W365" s="10"/>
      <c r="X365" s="9"/>
      <c r="Y365" s="172"/>
      <c r="Z365" s="172"/>
      <c r="AA365" s="172"/>
      <c r="AB365" s="143" t="str">
        <f t="shared" ca="1" si="59"/>
        <v>NY Submit</v>
      </c>
      <c r="AC365" s="13"/>
      <c r="AD365" s="12"/>
      <c r="AE365" s="12"/>
      <c r="AF365" s="12"/>
      <c r="AG365" s="12"/>
      <c r="AH365" s="11"/>
      <c r="AI365" s="11"/>
      <c r="AJ365" s="11"/>
      <c r="AK365" s="11"/>
      <c r="AL365" s="11"/>
      <c r="AM365" s="11"/>
      <c r="AN365" s="11"/>
      <c r="AO365" s="11"/>
      <c r="AP365" s="173"/>
      <c r="AQ365" s="12"/>
      <c r="AR365" s="12"/>
      <c r="AS365" s="12"/>
      <c r="AT365" s="12"/>
      <c r="AU365" s="12"/>
      <c r="AV365" s="12"/>
      <c r="AW365" s="11" t="str">
        <f t="shared" si="60"/>
        <v>NY Submit</v>
      </c>
      <c r="AX365" s="12"/>
      <c r="AY365" s="12"/>
      <c r="AZ365" s="12"/>
      <c r="BA365" s="12"/>
      <c r="BB365" s="12"/>
      <c r="BC365" s="12"/>
      <c r="BD365" s="11" t="str">
        <f t="shared" si="61"/>
        <v>NY Submit</v>
      </c>
      <c r="BE365" s="174"/>
      <c r="BF365" s="12"/>
      <c r="BG365" s="12"/>
      <c r="BH365" s="12"/>
      <c r="BI365" s="12"/>
      <c r="BJ365" s="12"/>
      <c r="BK365" s="174"/>
      <c r="BL365" s="12" t="str">
        <f t="shared" si="62"/>
        <v>NY Submit</v>
      </c>
      <c r="BM365" s="12" t="str">
        <f t="shared" si="63"/>
        <v>NY Submit</v>
      </c>
      <c r="BN365" s="12"/>
      <c r="BO365" s="12"/>
      <c r="BP365" s="155"/>
      <c r="BQ365" s="12" t="s">
        <v>3106</v>
      </c>
      <c r="BR365" s="12"/>
      <c r="BS365" s="143">
        <f t="shared" ca="1" si="66"/>
        <v>0</v>
      </c>
      <c r="BT365" s="176"/>
      <c r="BU365" s="12"/>
      <c r="BV365" s="143">
        <f t="shared" ca="1" si="67"/>
        <v>0</v>
      </c>
      <c r="BW365" s="12"/>
      <c r="BX365" s="12"/>
      <c r="BY365" s="143"/>
      <c r="BZ365" s="13"/>
      <c r="CA365" s="13"/>
      <c r="CB365" s="13"/>
      <c r="CC365" s="13"/>
      <c r="CD365" s="13"/>
      <c r="CE365" s="10"/>
      <c r="CF365" s="10"/>
      <c r="CG365" s="175"/>
      <c r="CH365" s="175"/>
      <c r="CI365" s="10"/>
      <c r="CJ365" s="10"/>
      <c r="CK365" s="10"/>
      <c r="CL365" s="10"/>
    </row>
    <row r="366" spans="1:90">
      <c r="A366" s="190">
        <v>361</v>
      </c>
      <c r="B366" s="190" t="s">
        <v>2486</v>
      </c>
      <c r="C366" s="190" t="s">
        <v>2487</v>
      </c>
      <c r="D366" s="190" t="s">
        <v>135</v>
      </c>
      <c r="E366" s="8" t="e">
        <f ca="1">+_xlfn.CONCAT(G366,"-",B366,"_",C366,"_",_xlfn.XLOOKUP(BP366,Account!M:M,Account!N:N))</f>
        <v>#NAME?</v>
      </c>
      <c r="F366" s="12"/>
      <c r="G366" s="190"/>
      <c r="H366" s="190"/>
      <c r="I366" s="10"/>
      <c r="J366" s="190"/>
      <c r="K366" s="190"/>
      <c r="L366" s="190"/>
      <c r="M366" s="190"/>
      <c r="N366" s="10"/>
      <c r="O366" s="178"/>
      <c r="P366" s="178"/>
      <c r="Q366" s="327"/>
      <c r="R366" s="190"/>
      <c r="S366" s="190"/>
      <c r="T366" s="190"/>
      <c r="U366" s="190"/>
      <c r="V366" s="8"/>
      <c r="W366" s="10"/>
      <c r="X366" s="9"/>
      <c r="Y366" s="172"/>
      <c r="Z366" s="172"/>
      <c r="AA366" s="172"/>
      <c r="AB366" s="143" t="str">
        <f t="shared" ca="1" si="59"/>
        <v>NY Submit</v>
      </c>
      <c r="AC366" s="13"/>
      <c r="AD366" s="12"/>
      <c r="AE366" s="12"/>
      <c r="AF366" s="12"/>
      <c r="AG366" s="12"/>
      <c r="AH366" s="11"/>
      <c r="AI366" s="11"/>
      <c r="AJ366" s="11"/>
      <c r="AK366" s="11"/>
      <c r="AL366" s="11"/>
      <c r="AM366" s="11"/>
      <c r="AN366" s="11"/>
      <c r="AO366" s="11"/>
      <c r="AP366" s="173"/>
      <c r="AQ366" s="12"/>
      <c r="AR366" s="12"/>
      <c r="AS366" s="12"/>
      <c r="AT366" s="12"/>
      <c r="AU366" s="12"/>
      <c r="AV366" s="12"/>
      <c r="AW366" s="11" t="str">
        <f t="shared" si="60"/>
        <v>NY Submit</v>
      </c>
      <c r="AX366" s="12"/>
      <c r="AY366" s="12"/>
      <c r="AZ366" s="12"/>
      <c r="BA366" s="12"/>
      <c r="BB366" s="12"/>
      <c r="BC366" s="12"/>
      <c r="BD366" s="11" t="str">
        <f t="shared" si="61"/>
        <v>NY Submit</v>
      </c>
      <c r="BE366" s="174"/>
      <c r="BF366" s="12"/>
      <c r="BG366" s="12"/>
      <c r="BH366" s="12"/>
      <c r="BI366" s="12"/>
      <c r="BJ366" s="12"/>
      <c r="BK366" s="174"/>
      <c r="BL366" s="12" t="str">
        <f t="shared" si="62"/>
        <v>NY Submit</v>
      </c>
      <c r="BM366" s="12" t="str">
        <f t="shared" si="63"/>
        <v>NY Submit</v>
      </c>
      <c r="BN366" s="12"/>
      <c r="BO366" s="12"/>
      <c r="BP366" s="155"/>
      <c r="BQ366" s="12" t="s">
        <v>3106</v>
      </c>
      <c r="BR366" s="12"/>
      <c r="BS366" s="143">
        <f t="shared" ca="1" si="66"/>
        <v>0</v>
      </c>
      <c r="BT366" s="176"/>
      <c r="BU366" s="12"/>
      <c r="BV366" s="143">
        <f t="shared" ca="1" si="67"/>
        <v>0</v>
      </c>
      <c r="BW366" s="12"/>
      <c r="BX366" s="12"/>
      <c r="BY366" s="143"/>
      <c r="BZ366" s="13"/>
      <c r="CA366" s="13"/>
      <c r="CB366" s="13"/>
      <c r="CC366" s="13"/>
      <c r="CD366" s="13"/>
      <c r="CE366" s="10"/>
      <c r="CF366" s="10"/>
      <c r="CG366" s="175"/>
      <c r="CH366" s="175"/>
      <c r="CI366" s="10"/>
      <c r="CJ366" s="10"/>
      <c r="CK366" s="10"/>
      <c r="CL366" s="10"/>
    </row>
    <row r="369" spans="17:17" ht="15" customHeight="1">
      <c r="Q369" s="320"/>
    </row>
  </sheetData>
  <autoFilter ref="A5:CC366" xr:uid="{00000000-0009-0000-0000-000009000000}"/>
  <mergeCells count="4">
    <mergeCell ref="BF4:BM4"/>
    <mergeCell ref="AD4:AP4"/>
    <mergeCell ref="AQ4:BE4"/>
    <mergeCell ref="W4:AC4"/>
  </mergeCells>
  <conditionalFormatting sqref="E1:E2 E4:E1048576">
    <cfRule type="duplicateValues" dxfId="61" priority="732"/>
  </conditionalFormatting>
  <conditionalFormatting sqref="H5">
    <cfRule type="duplicateValues" dxfId="60" priority="946"/>
  </conditionalFormatting>
  <conditionalFormatting sqref="H2:I2">
    <cfRule type="duplicateValues" dxfId="59" priority="945"/>
  </conditionalFormatting>
  <conditionalFormatting sqref="P2:V2">
    <cfRule type="duplicateValues" dxfId="58" priority="1033"/>
  </conditionalFormatting>
  <conditionalFormatting sqref="AB6:AB366">
    <cfRule type="colorScale" priority="640">
      <colorScale>
        <cfvo type="num" val="0"/>
        <cfvo type="num" val="7"/>
        <cfvo type="num" val="14"/>
        <color rgb="FFFF0000"/>
        <color rgb="FF92D050"/>
        <color rgb="FF00B050"/>
      </colorScale>
    </cfRule>
  </conditionalFormatting>
  <conditionalFormatting sqref="AB7:AB115">
    <cfRule type="colorScale" priority="641">
      <colorScale>
        <cfvo type="num" val="0"/>
        <cfvo type="num" val="14"/>
        <color rgb="FFFF0000"/>
        <color rgb="FF00B050"/>
      </colorScale>
    </cfRule>
  </conditionalFormatting>
  <conditionalFormatting sqref="AF6:AF366">
    <cfRule type="expression" dxfId="57" priority="227">
      <formula>AND(AF6-TODAY()&lt;=90,AF6-TODAY()&gt;0)</formula>
    </cfRule>
  </conditionalFormatting>
  <conditionalFormatting sqref="AF279">
    <cfRule type="expression" dxfId="56" priority="225">
      <formula>AND(AF279-TODAY()&lt;=30, AF279-TODAY()&gt;0)</formula>
    </cfRule>
  </conditionalFormatting>
  <conditionalFormatting sqref="AO157:AO167 BZ151:CB152 BZ153:BZ160 CA143:CB144 CB153:CB154">
    <cfRule type="colorScale" priority="70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195">
    <cfRule type="colorScale" priority="17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197">
    <cfRule type="colorScale" priority="17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7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198">
    <cfRule type="colorScale" priority="13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199">
    <cfRule type="colorScale" priority="107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1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00">
    <cfRule type="colorScale" priority="106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1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01">
    <cfRule type="colorScale" priority="10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1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02">
    <cfRule type="colorScale" priority="10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1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03">
    <cfRule type="colorScale" priority="10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1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05">
    <cfRule type="colorScale" priority="13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07">
    <cfRule type="colorScale" priority="10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0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08">
    <cfRule type="colorScale" priority="17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7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10">
    <cfRule type="colorScale" priority="16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11">
    <cfRule type="colorScale" priority="13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14">
    <cfRule type="colorScale" priority="16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15">
    <cfRule type="colorScale" priority="13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17">
    <cfRule type="colorScale" priority="16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18">
    <cfRule type="colorScale" priority="13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26">
    <cfRule type="colorScale" priority="16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28">
    <cfRule type="colorScale" priority="16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29">
    <cfRule type="colorScale" priority="13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30">
    <cfRule type="colorScale" priority="16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32">
    <cfRule type="colorScale" priority="16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34">
    <cfRule type="colorScale" priority="16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35">
    <cfRule type="colorScale" priority="16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36">
    <cfRule type="colorScale" priority="13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38">
    <cfRule type="colorScale" priority="16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39">
    <cfRule type="colorScale" priority="13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47">
    <cfRule type="colorScale" priority="15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195 AO192 AO197 AO208 AO210 AO214 AO217 AO226 AO228 AO230 AO232 AO234:AO235 AO238 AO247:AO253 AO255 AO278 AO281 AO284 AO287 AO290 AO293 AO298 AO302 AO304 AO307 AO315 AO322">
    <cfRule type="colorScale" priority="17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48">
    <cfRule type="colorScale" priority="15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49">
    <cfRule type="colorScale" priority="15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50">
    <cfRule type="colorScale" priority="15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51">
    <cfRule type="colorScale" priority="15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52">
    <cfRule type="colorScale" priority="15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53">
    <cfRule type="colorScale" priority="15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55">
    <cfRule type="colorScale" priority="15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56">
    <cfRule type="colorScale" priority="13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57">
    <cfRule type="colorScale" priority="12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78">
    <cfRule type="colorScale" priority="15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79">
    <cfRule type="colorScale" priority="12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81">
    <cfRule type="colorScale" priority="15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82">
    <cfRule type="colorScale" priority="12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84">
    <cfRule type="colorScale" priority="14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85">
    <cfRule type="colorScale" priority="12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87">
    <cfRule type="colorScale" priority="14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88">
    <cfRule type="colorScale" priority="12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90">
    <cfRule type="colorScale" priority="14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91">
    <cfRule type="colorScale" priority="12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93">
    <cfRule type="colorScale" priority="14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94">
    <cfRule type="colorScale" priority="12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298">
    <cfRule type="colorScale" priority="14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01">
    <cfRule type="colorScale" priority="12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02">
    <cfRule type="colorScale" priority="14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03">
    <cfRule type="colorScale" priority="12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04">
    <cfRule type="colorScale" priority="14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05">
    <cfRule type="colorScale" priority="12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198 AO193 AO205 AO211 AO215 AO218 AO229 AO236 AO239 AO256:AO257 AO279 AO282 AO285 AO288 AO291 AO294 AO301 AO303 AO305:AO306 AO308 AO316 AO320 AO323">
    <cfRule type="colorScale" priority="17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06">
    <cfRule type="colorScale" priority="11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07">
    <cfRule type="colorScale" priority="14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08">
    <cfRule type="colorScale" priority="11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15">
    <cfRule type="colorScale" priority="14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16">
    <cfRule type="colorScale" priority="11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20">
    <cfRule type="colorScale" priority="11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22">
    <cfRule type="colorScale" priority="14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23">
    <cfRule type="colorScale" priority="11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24">
    <cfRule type="colorScale" priority="10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0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194 AO191 AO196 AO204 AO206 AO209 AO212:AO213 AO216 AO219:AO225 AO227 AO231 AO233 AO237 AO240:AO246 AO254 AO258:AO277 AO280 AO283 AO286 AO289 AO292 AO295:AO297 AO299:AO300 AO309:AO314 AO317:AO319 AO321 AO325:AO328 AO330:AO332">
    <cfRule type="colorScale" priority="17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196 AO194 AO204 AO206 AO209 AO212:AO213 AO216 AO219:AO225 AO227 AO231 AO233 AO237 AO240:AO246 AO254 AO258:AO277 AO280 AO283 AO286 AO289 AO292 AO295:AO297 AO299:AO300 AO309:AO314 AO317:AO319 AO321 AO325:AO328 AO330:AO332">
    <cfRule type="colorScale" priority="17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29">
    <cfRule type="colorScale" priority="10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33">
    <cfRule type="colorScale" priority="9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34:AO335">
    <cfRule type="colorScale" priority="97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9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36">
    <cfRule type="colorScale" priority="9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9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37:AO338">
    <cfRule type="colorScale" priority="8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9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9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9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38">
    <cfRule type="colorScale" priority="9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9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39:AO342">
    <cfRule type="colorScale" priority="6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42">
    <cfRule type="colorScale" priority="1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6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43">
    <cfRule type="colorScale" priority="1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43:AO344">
    <cfRule type="colorScale" priority="57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44">
    <cfRule type="colorScale" priority="8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45">
    <cfRule type="colorScale" priority="5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46">
    <cfRule type="colorScale" priority="4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47">
    <cfRule type="colorScale" priority="47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48">
    <cfRule type="colorScale" priority="4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49">
    <cfRule type="colorScale" priority="3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50">
    <cfRule type="colorScale" priority="37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3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51:AO352">
    <cfRule type="colorScale" priority="3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3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3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3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3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3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52">
    <cfRule type="colorScale" priority="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52:AO353">
    <cfRule type="colorScale" priority="2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3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54">
    <cfRule type="colorScale" priority="27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55:AO358">
    <cfRule type="colorScale" priority="2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59">
    <cfRule type="colorScale" priority="6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60">
    <cfRule type="colorScale" priority="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361">
    <cfRule type="colorScale" priority="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128 AW128 BD128 BM128 BZ128:CB128">
    <cfRule type="colorScale" priority="71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71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D6:BD366">
    <cfRule type="colorScale" priority="18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K1:BK3 BK5:BK159 BK161:BK163 BK165:BK167 BK169:BK219 BK221:BK224 BK226:BK1048576">
    <cfRule type="duplicateValues" dxfId="55" priority="633"/>
  </conditionalFormatting>
  <conditionalFormatting sqref="BK1:BK2 BK5:BK117 BK119 BK121:BK141 BK143:BK146 BK148:BK149 BK151:BK159 BK161:BK163 BK165:BK167 BK169:BK219 BK221:BK224 BK226:BK1048576">
    <cfRule type="duplicateValues" dxfId="54" priority="748"/>
  </conditionalFormatting>
  <conditionalFormatting sqref="BQ1:BQ2 BQ6:BQ107 BQ110:BQ1048576">
    <cfRule type="duplicateValues" dxfId="53" priority="749"/>
  </conditionalFormatting>
  <conditionalFormatting sqref="BQ6:BQ50 BQ54:BQ107 BQ110:BQ366">
    <cfRule type="duplicateValues" dxfId="52" priority="1345"/>
  </conditionalFormatting>
  <conditionalFormatting sqref="BQ9">
    <cfRule type="duplicateValues" dxfId="51" priority="770"/>
  </conditionalFormatting>
  <conditionalFormatting sqref="BQ16:BQ19">
    <cfRule type="duplicateValues" dxfId="50" priority="768"/>
    <cfRule type="duplicateValues" dxfId="49" priority="769"/>
  </conditionalFormatting>
  <conditionalFormatting sqref="BQ21">
    <cfRule type="duplicateValues" dxfId="48" priority="766"/>
    <cfRule type="duplicateValues" dxfId="47" priority="767"/>
  </conditionalFormatting>
  <conditionalFormatting sqref="BQ22">
    <cfRule type="duplicateValues" dxfId="46" priority="764"/>
    <cfRule type="duplicateValues" dxfId="45" priority="765"/>
  </conditionalFormatting>
  <conditionalFormatting sqref="BQ53">
    <cfRule type="duplicateValues" dxfId="44" priority="761"/>
  </conditionalFormatting>
  <conditionalFormatting sqref="BQ108">
    <cfRule type="duplicateValues" dxfId="43" priority="739"/>
    <cfRule type="duplicateValues" dxfId="42" priority="740"/>
    <cfRule type="duplicateValues" dxfId="41" priority="741"/>
  </conditionalFormatting>
  <conditionalFormatting sqref="BQ109">
    <cfRule type="duplicateValues" dxfId="40" priority="733"/>
    <cfRule type="duplicateValues" dxfId="39" priority="734"/>
    <cfRule type="duplicateValues" dxfId="38" priority="735"/>
  </conditionalFormatting>
  <conditionalFormatting sqref="BQ339">
    <cfRule type="duplicateValues" dxfId="37" priority="218"/>
  </conditionalFormatting>
  <conditionalFormatting sqref="BT1:BT2 BT6:BT107 BT110:BT256 BT258:BT1048576">
    <cfRule type="duplicateValues" dxfId="36" priority="207"/>
  </conditionalFormatting>
  <conditionalFormatting sqref="BT6:BT366">
    <cfRule type="duplicateValues" dxfId="35" priority="85"/>
  </conditionalFormatting>
  <conditionalFormatting sqref="BT9">
    <cfRule type="duplicateValues" dxfId="34" priority="215"/>
  </conditionalFormatting>
  <conditionalFormatting sqref="BT16:BT19">
    <cfRule type="duplicateValues" dxfId="33" priority="213"/>
    <cfRule type="duplicateValues" dxfId="32" priority="214"/>
  </conditionalFormatting>
  <conditionalFormatting sqref="BT21">
    <cfRule type="duplicateValues" dxfId="31" priority="211"/>
    <cfRule type="duplicateValues" dxfId="30" priority="212"/>
  </conditionalFormatting>
  <conditionalFormatting sqref="BT22">
    <cfRule type="duplicateValues" dxfId="29" priority="209"/>
    <cfRule type="duplicateValues" dxfId="28" priority="210"/>
  </conditionalFormatting>
  <conditionalFormatting sqref="BT53">
    <cfRule type="duplicateValues" dxfId="27" priority="208"/>
  </conditionalFormatting>
  <conditionalFormatting sqref="BT6:BT50 BT54:BT107 BT110:BT256 BT258:BT366">
    <cfRule type="duplicateValues" dxfId="26" priority="216"/>
  </conditionalFormatting>
  <conditionalFormatting sqref="BT108">
    <cfRule type="duplicateValues" dxfId="25" priority="204"/>
    <cfRule type="duplicateValues" dxfId="24" priority="205"/>
    <cfRule type="duplicateValues" dxfId="23" priority="206"/>
  </conditionalFormatting>
  <conditionalFormatting sqref="BT109">
    <cfRule type="duplicateValues" dxfId="22" priority="201"/>
    <cfRule type="duplicateValues" dxfId="21" priority="202"/>
    <cfRule type="duplicateValues" dxfId="20" priority="203"/>
  </conditionalFormatting>
  <conditionalFormatting sqref="BT257">
    <cfRule type="duplicateValues" dxfId="19" priority="86"/>
    <cfRule type="duplicateValues" dxfId="18" priority="87"/>
  </conditionalFormatting>
  <conditionalFormatting sqref="BT339">
    <cfRule type="duplicateValues" dxfId="17" priority="200"/>
  </conditionalFormatting>
  <conditionalFormatting sqref="BW1:BW2 BW6:BW107 BW110:BW1048576">
    <cfRule type="duplicateValues" dxfId="16" priority="190"/>
  </conditionalFormatting>
  <conditionalFormatting sqref="BW9">
    <cfRule type="duplicateValues" dxfId="15" priority="198"/>
  </conditionalFormatting>
  <conditionalFormatting sqref="BW16:BW19">
    <cfRule type="duplicateValues" dxfId="14" priority="196"/>
    <cfRule type="duplicateValues" dxfId="13" priority="197"/>
  </conditionalFormatting>
  <conditionalFormatting sqref="BW21">
    <cfRule type="duplicateValues" dxfId="12" priority="194"/>
    <cfRule type="duplicateValues" dxfId="11" priority="195"/>
  </conditionalFormatting>
  <conditionalFormatting sqref="BW22">
    <cfRule type="duplicateValues" dxfId="10" priority="192"/>
    <cfRule type="duplicateValues" dxfId="9" priority="193"/>
  </conditionalFormatting>
  <conditionalFormatting sqref="BW53">
    <cfRule type="duplicateValues" dxfId="8" priority="191"/>
  </conditionalFormatting>
  <conditionalFormatting sqref="BW6:BW50 BW54:BW107 BW110:BW366">
    <cfRule type="duplicateValues" dxfId="7" priority="199"/>
  </conditionalFormatting>
  <conditionalFormatting sqref="BW108">
    <cfRule type="duplicateValues" dxfId="6" priority="187"/>
    <cfRule type="duplicateValues" dxfId="5" priority="188"/>
    <cfRule type="duplicateValues" dxfId="4" priority="189"/>
  </conditionalFormatting>
  <conditionalFormatting sqref="BW109">
    <cfRule type="duplicateValues" dxfId="3" priority="184"/>
    <cfRule type="duplicateValues" dxfId="2" priority="185"/>
    <cfRule type="duplicateValues" dxfId="1" priority="186"/>
  </conditionalFormatting>
  <conditionalFormatting sqref="BW339">
    <cfRule type="duplicateValues" dxfId="0" priority="183"/>
  </conditionalFormatting>
  <conditionalFormatting sqref="BS6:BS366 BV6:BV366 BY6:BY366">
    <cfRule type="colorScale" priority="82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6:AO366 AW6:AW366 BZ6:BZ10">
    <cfRule type="colorScale" priority="75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0">
    <cfRule type="colorScale" priority="24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1:BZ12">
    <cfRule type="colorScale" priority="24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38:BZ39">
    <cfRule type="colorScale" priority="50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87">
    <cfRule type="colorScale" priority="34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3:BZ37 BZ40:BZ43 BZ46:BZ49 BZ51:BZ61 BZ65 BZ68:BZ69 BZ71:BZ72 BZ75:BZ79 BZ85:BZ86 BZ88:BZ91 BZ94:BZ101 BZ105:BZ111 BZ114 BZ244">
    <cfRule type="colorScale" priority="24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12:BZ113">
    <cfRule type="colorScale" priority="26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15:BZ120">
    <cfRule type="colorScale" priority="65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21:BZ123">
    <cfRule type="colorScale" priority="64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32">
    <cfRule type="colorScale" priority="49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43:BZ144">
    <cfRule type="colorScale" priority="47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50">
    <cfRule type="colorScale" priority="57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29:BZ131 BZ133 BZ135:BZ141 BZ147 BZ161 BZ164:BZ167 BZ173 BZ175 BZ191 BZ194 BZ206 BZ221 BZ225">
    <cfRule type="colorScale" priority="25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71:BZ172">
    <cfRule type="colorScale" priority="57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87">
    <cfRule type="colorScale" priority="22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42 BZ134 BZ149 BZ189:BZ190 BZ196 BZ212 BZ230">
    <cfRule type="colorScale" priority="25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97:BZ198">
    <cfRule type="colorScale" priority="45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99">
    <cfRule type="colorScale" priority="61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00:BZ203">
    <cfRule type="colorScale" priority="43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04">
    <cfRule type="colorScale" priority="28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14:BZ215">
    <cfRule type="colorScale" priority="22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24">
    <cfRule type="colorScale" priority="24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28:BZ229">
    <cfRule type="colorScale" priority="25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5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31">
    <cfRule type="colorScale" priority="33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37:BZ239">
    <cfRule type="colorScale" priority="33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40:BZ242">
    <cfRule type="colorScale" priority="33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47">
    <cfRule type="colorScale" priority="32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49">
    <cfRule type="colorScale" priority="8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54:BZ256">
    <cfRule type="colorScale" priority="21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57">
    <cfRule type="colorScale" priority="26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64">
    <cfRule type="colorScale" priority="6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70">
    <cfRule type="colorScale" priority="6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77:BZ278">
    <cfRule type="colorScale" priority="23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303">
    <cfRule type="colorScale" priority="18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1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320">
    <cfRule type="colorScale" priority="6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333">
    <cfRule type="colorScale" priority="5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7:CB8 CA51:CB52">
    <cfRule type="colorScale" priority="61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AO6:AO193 AW6:AW366 BD7:BD127 BD129:BD366 BM6:BM366 BZ6:CB6 BZ9:CB9 BZ44:CB45 BZ50:CB50 BZ62:CB64 BZ66:CB67 BZ70:CB70 BZ73:CB74 BZ80:CB84 BZ92:CB93 BZ102 BZ103:CB104 BZ124:CA127 BZ145:BZ146 BZ148:CB148 BZ151:CB152 BZ153:BZ154 BZ155:CB156 BZ157:BZ160 BZ162:BZ163 BZ168:CB170 BZ174 BZ176:BZ177 BZ178:CB179 BZ180:BZ182 BZ183:CB186 BZ188:CB188 BZ192:CB193 BZ195 BZ205:CB205 BZ207:CB207 BZ208 BZ209:CB211 BZ216:CB220 BZ222:CB223 BZ226:CB226 BZ232:CB233 BZ235:CB236 BZ245:CA246 BZ250:CB253 BZ258:CB263 BZ265:CB269 BZ271:CB275 BZ276 BZ279:CB302 BZ304:BZ306 BZ304:CB305 BZ307:CB319 BZ321:CB323 BZ324 BZ325:CB328 BZ329 BZ330:CB332 BZ334:CB366 CA320:CB320 CB102 CB153 CB264 CB270 CB276 CB303 CB306 CB324 CB329 CB333">
    <cfRule type="colorScale" priority="59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27:BZ229 BZ227:CB227">
    <cfRule type="colorScale" priority="34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34:CB234">
    <cfRule type="colorScale" priority="22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8">
    <cfRule type="colorScale" priority="22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02">
    <cfRule type="colorScale" priority="6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05:CA107 CA110">
    <cfRule type="colorScale" priority="74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15:CA123">
    <cfRule type="colorScale" priority="72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213:CB213 BZ243:CA243 BZ248:CA248 CA121:CA123 CA214:CB215 CA244 CA249 CA254:CB256">
    <cfRule type="colorScale" priority="72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23">
    <cfRule type="colorScale" priority="69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24">
    <cfRule type="colorScale" priority="43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3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26">
    <cfRule type="colorScale" priority="688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8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45:CA146">
    <cfRule type="colorScale" priority="56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6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6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6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6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53">
    <cfRule type="colorScale" priority="8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8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8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8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8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54">
    <cfRule type="colorScale" priority="7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76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77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78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7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58:CA159">
    <cfRule type="colorScale" priority="556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57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58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5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6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63">
    <cfRule type="colorScale" priority="54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5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5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5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5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33 CA111 CA135:CA141 CA147 CA161 CA164:CA167 CA173 CA175 CA187 CA191 CA194 CA206 CA221 CA225">
    <cfRule type="colorScale" priority="25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71:CA172 CA174 CA176:CA177">
    <cfRule type="colorScale" priority="53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4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4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4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4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99">
    <cfRule type="colorScale" priority="61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04">
    <cfRule type="colorScale" priority="28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24">
    <cfRule type="colorScale" priority="24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4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24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39">
    <cfRule type="colorScale" priority="7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64">
    <cfRule type="colorScale" priority="6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70">
    <cfRule type="colorScale" priority="6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76">
    <cfRule type="colorScale" priority="6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303">
    <cfRule type="colorScale" priority="7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306">
    <cfRule type="colorScale" priority="7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324">
    <cfRule type="colorScale" priority="6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329">
    <cfRule type="colorScale" priority="7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333">
    <cfRule type="colorScale" priority="7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BZ127:CA128 CA10:CB12 CA15:CB17 CA19:CB35 CA37:CB39 CA43:CB43 CA46:CB49 CA53:CB61 CA65:CB65 CA68:CB68 CA76:CA79 CA85:CB91 CA94:CB96 CA110:CB110 CA112:CB113 CA129:CA131 CB79 CB105:CB107 CB130:CB131">
    <cfRule type="colorScale" priority="73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40:CB41">
    <cfRule type="colorScale" priority="60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0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0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0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15:CB128">
    <cfRule type="colorScale" priority="71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32:CB132">
    <cfRule type="colorScale" priority="49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9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9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9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42:CB142">
    <cfRule type="colorScale" priority="37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43:CB144">
    <cfRule type="colorScale" priority="68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8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8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8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3:CB14 CA36:CB36 CA42:CB42 CA69:CB69 CA71:CB72 CA75:CB75 CA97:CB101 CA108:CB109 CA114:CB114 CA134:CB134 CA149:CB149 CB18">
    <cfRule type="colorScale" priority="37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50:CB150">
    <cfRule type="colorScale" priority="41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55:CB157 CA162:CB162 CB154">
    <cfRule type="colorScale" priority="676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77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78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7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60:CB160">
    <cfRule type="colorScale" priority="55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80:CB180">
    <cfRule type="colorScale" priority="46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81:CB181">
    <cfRule type="colorScale" priority="26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82:CB182">
    <cfRule type="colorScale" priority="26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89:CB189">
    <cfRule type="colorScale" priority="38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90:CB190">
    <cfRule type="colorScale" priority="30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95:CB195">
    <cfRule type="colorScale" priority="52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3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3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3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3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96:CB196">
    <cfRule type="colorScale" priority="36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97:CB197">
    <cfRule type="colorScale" priority="42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2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25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26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2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98:CB198">
    <cfRule type="colorScale" priority="418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1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2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2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2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199:CB199">
    <cfRule type="colorScale" priority="608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0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1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00:CB203">
    <cfRule type="colorScale" priority="428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2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3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3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43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08:CB208">
    <cfRule type="colorScale" priority="509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10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11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12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51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12:CB212">
    <cfRule type="colorScale" priority="37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24:CB224">
    <cfRule type="colorScale" priority="24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28:CB228">
    <cfRule type="colorScale" priority="24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29:CB229">
    <cfRule type="colorScale" priority="24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30:CB230">
    <cfRule type="colorScale" priority="30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31:CB231">
    <cfRule type="colorScale" priority="34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37:CB237">
    <cfRule type="colorScale" priority="33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38:CB238">
    <cfRule type="colorScale" priority="33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40:CB240">
    <cfRule type="colorScale" priority="33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41:CB241">
    <cfRule type="colorScale" priority="33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42:CB242">
    <cfRule type="colorScale" priority="32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47:CB247">
    <cfRule type="colorScale" priority="32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57:CB257">
    <cfRule type="colorScale" priority="26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77:CB277">
    <cfRule type="colorScale" priority="23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A278:CB278">
    <cfRule type="colorScale" priority="23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76">
    <cfRule type="colorScale" priority="38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77">
    <cfRule type="colorScale" priority="25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78">
    <cfRule type="colorScale" priority="25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11">
    <cfRule type="colorScale" priority="38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29">
    <cfRule type="colorScale" priority="38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33">
    <cfRule type="colorScale" priority="40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35">
    <cfRule type="colorScale" priority="46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36">
    <cfRule type="colorScale" priority="46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37">
    <cfRule type="colorScale" priority="46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38">
    <cfRule type="colorScale" priority="37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39">
    <cfRule type="colorScale" priority="25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40">
    <cfRule type="colorScale" priority="25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41">
    <cfRule type="colorScale" priority="39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45">
    <cfRule type="colorScale" priority="653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54">
      <colorScale>
        <cfvo type="num" val="0"/>
        <cfvo type="num" val="15"/>
        <cfvo type="num" val="30"/>
        <color rgb="FF00B050"/>
        <color rgb="FFFFEB84"/>
        <color rgb="FFFF0000"/>
      </colorScale>
    </cfRule>
    <cfRule type="colorScale" priority="65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46">
    <cfRule type="colorScale" priority="63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47">
    <cfRule type="colorScale" priority="276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58:CB159">
    <cfRule type="colorScale" priority="56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61">
    <cfRule type="colorScale" priority="39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63">
    <cfRule type="colorScale" priority="55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64">
    <cfRule type="colorScale" priority="30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65">
    <cfRule type="colorScale" priority="30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66">
    <cfRule type="colorScale" priority="39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67">
    <cfRule type="colorScale" priority="27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71:CB172 CB174 CB176:CB177">
    <cfRule type="colorScale" priority="54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73">
    <cfRule type="colorScale" priority="27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75">
    <cfRule type="colorScale" priority="27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87">
    <cfRule type="colorScale" priority="390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91">
    <cfRule type="colorScale" priority="30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194">
    <cfRule type="colorScale" priority="30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204">
    <cfRule type="colorScale" priority="315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206">
    <cfRule type="colorScale" priority="272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221">
    <cfRule type="colorScale" priority="27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225">
    <cfRule type="colorScale" priority="301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239">
    <cfRule type="colorScale" priority="334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243:CB246">
    <cfRule type="colorScale" priority="32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248">
    <cfRule type="colorScale" priority="238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B249">
    <cfRule type="colorScale" priority="229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C50:CD50">
    <cfRule type="colorScale" priority="743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conditionalFormatting sqref="CC68:CD68">
    <cfRule type="colorScale" priority="747">
      <colorScale>
        <cfvo type="num" val="0"/>
        <cfvo type="num" val="15"/>
        <cfvo type="num" val="30"/>
        <color rgb="FF00B050"/>
        <color rgb="FFFFEB84"/>
        <color rgb="FFFF0000"/>
      </colorScale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Reloc</vt:lpstr>
      <vt:lpstr>Account</vt:lpstr>
      <vt:lpstr>List Material Inbound</vt:lpstr>
      <vt:lpstr>LOS Survey</vt:lpstr>
      <vt:lpstr>List team</vt:lpstr>
      <vt:lpstr>Email Permit</vt:lpstr>
      <vt:lpstr>SPH</vt:lpstr>
      <vt:lpstr>oret2</vt:lpstr>
      <vt:lpstr>Update Boram</vt:lpstr>
      <vt:lpstr>CMI-RLC-Nasional</vt:lpstr>
      <vt:lpstr>'List Material Inbound'!Print_Area</vt:lpstr>
      <vt:lpstr>'LOS Survey'!Print_Area</vt:lpstr>
      <vt:lpstr>oret2!Print_Titles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Prayudi</dc:creator>
  <cp:lastModifiedBy>Moh. Rifky Bagas Pratama</cp:lastModifiedBy>
  <dcterms:created xsi:type="dcterms:W3CDTF">2025-01-21T08:11:00Z</dcterms:created>
  <dcterms:modified xsi:type="dcterms:W3CDTF">2026-08-05T05:03:36Z</dcterms:modified>
</cp:coreProperties>
</file>